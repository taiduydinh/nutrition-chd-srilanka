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p lap\My research work\"/>
    </mc:Choice>
  </mc:AlternateContent>
  <xr:revisionPtr revIDLastSave="0" documentId="13_ncr:1_{5E4BD5A9-5352-4ED6-A118-903A4761C0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 CoCo heart study" sheetId="1" r:id="rId1"/>
  </sheets>
  <definedNames>
    <definedName name="_xlnm._FilterDatabase" localSheetId="0" hidden="1">' CoCo heart study'!$CP$1:$CP$409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404" i="1" l="1"/>
  <c r="AN403" i="1"/>
  <c r="AN402" i="1"/>
  <c r="AN401" i="1"/>
  <c r="AN400" i="1"/>
  <c r="AN399" i="1"/>
  <c r="AN398" i="1"/>
  <c r="AN397" i="1"/>
  <c r="AN396" i="1"/>
  <c r="AN395" i="1"/>
  <c r="AN394" i="1"/>
  <c r="AN393" i="1"/>
  <c r="AN392" i="1"/>
  <c r="AN391" i="1"/>
  <c r="AN390" i="1"/>
  <c r="AN389" i="1"/>
  <c r="AN388" i="1"/>
  <c r="AN387" i="1"/>
  <c r="AN386" i="1"/>
  <c r="AN385" i="1"/>
  <c r="AN384" i="1"/>
  <c r="AN383" i="1"/>
  <c r="AN382" i="1"/>
  <c r="AN381" i="1"/>
  <c r="AN380" i="1"/>
  <c r="AN379" i="1"/>
  <c r="AN378" i="1"/>
  <c r="AN377" i="1"/>
  <c r="AN376" i="1"/>
  <c r="AN375" i="1"/>
  <c r="AN374" i="1"/>
  <c r="AN373" i="1"/>
  <c r="AN372" i="1"/>
  <c r="AN371" i="1"/>
  <c r="AN370" i="1"/>
  <c r="AN369" i="1"/>
  <c r="AN368" i="1"/>
  <c r="AN367" i="1"/>
  <c r="AN366" i="1"/>
  <c r="AN365" i="1"/>
  <c r="AN364" i="1"/>
  <c r="AN363" i="1"/>
  <c r="AN362" i="1"/>
  <c r="AN361" i="1"/>
  <c r="AN360" i="1"/>
  <c r="AN359" i="1"/>
  <c r="AN358" i="1"/>
  <c r="AN357" i="1"/>
  <c r="AN356" i="1"/>
  <c r="AN355" i="1"/>
  <c r="AN354" i="1"/>
  <c r="AN353" i="1"/>
  <c r="AN352" i="1"/>
  <c r="AN351" i="1"/>
  <c r="AN350" i="1"/>
  <c r="AN349" i="1"/>
  <c r="AN348" i="1"/>
  <c r="AN347" i="1"/>
  <c r="AN346" i="1"/>
  <c r="AN345" i="1"/>
  <c r="AN344" i="1"/>
  <c r="AN343" i="1"/>
  <c r="AN342" i="1"/>
  <c r="AN341" i="1"/>
  <c r="AN340" i="1"/>
  <c r="AN339" i="1"/>
  <c r="AN338" i="1"/>
  <c r="AN337" i="1"/>
  <c r="AN336" i="1"/>
  <c r="AN335" i="1"/>
  <c r="AN334" i="1"/>
  <c r="AN333" i="1"/>
  <c r="AN332" i="1"/>
  <c r="AN331" i="1"/>
  <c r="AN330" i="1"/>
  <c r="AN329" i="1"/>
  <c r="AN328" i="1"/>
  <c r="AN327" i="1"/>
  <c r="AN326" i="1"/>
  <c r="AN325" i="1"/>
  <c r="AN324" i="1"/>
  <c r="AN323" i="1"/>
  <c r="AN322" i="1"/>
  <c r="AN321" i="1"/>
  <c r="AN320" i="1"/>
  <c r="AN319" i="1"/>
  <c r="AN318" i="1"/>
  <c r="AN317" i="1"/>
  <c r="AN316" i="1"/>
  <c r="AN315" i="1"/>
  <c r="AN314" i="1"/>
  <c r="AN313" i="1"/>
  <c r="AN312" i="1"/>
  <c r="AN311" i="1"/>
  <c r="AN310" i="1"/>
  <c r="AN309" i="1"/>
  <c r="AN308" i="1"/>
  <c r="AN307" i="1"/>
  <c r="AN306" i="1"/>
  <c r="AN305" i="1"/>
  <c r="AN304" i="1"/>
  <c r="AN303" i="1"/>
  <c r="AN302" i="1"/>
  <c r="AN301" i="1"/>
  <c r="AN300" i="1"/>
  <c r="AN299" i="1"/>
  <c r="AN298" i="1"/>
  <c r="AN297" i="1"/>
  <c r="AN296" i="1"/>
  <c r="AN295" i="1"/>
  <c r="AN294" i="1"/>
  <c r="AN293" i="1"/>
  <c r="AN292" i="1"/>
  <c r="AN291" i="1"/>
  <c r="AN290" i="1"/>
  <c r="AN289" i="1"/>
  <c r="AN288" i="1"/>
  <c r="AN287" i="1"/>
  <c r="AN286" i="1"/>
  <c r="AN285" i="1"/>
  <c r="AN284" i="1"/>
  <c r="AN283" i="1"/>
  <c r="AN282" i="1"/>
  <c r="AN281" i="1"/>
  <c r="AN280" i="1"/>
  <c r="AN279" i="1"/>
  <c r="AN278" i="1"/>
  <c r="AN277" i="1"/>
  <c r="AN276" i="1"/>
  <c r="AN275" i="1"/>
  <c r="AN274" i="1"/>
  <c r="AN273" i="1"/>
  <c r="AN272" i="1"/>
  <c r="AN271" i="1"/>
  <c r="AN270" i="1"/>
  <c r="AN269" i="1"/>
  <c r="AN268" i="1"/>
  <c r="AN267" i="1"/>
  <c r="AN266" i="1"/>
  <c r="AN265" i="1"/>
  <c r="AN264" i="1"/>
  <c r="AN263" i="1"/>
  <c r="AN262" i="1"/>
  <c r="AN261" i="1"/>
  <c r="AN260" i="1"/>
  <c r="AN259" i="1"/>
  <c r="AN258" i="1"/>
  <c r="AN257" i="1"/>
  <c r="AN256" i="1"/>
  <c r="AN255" i="1"/>
  <c r="AN254" i="1"/>
  <c r="AN253" i="1"/>
  <c r="AN252" i="1"/>
  <c r="AN251" i="1"/>
  <c r="AN250" i="1"/>
  <c r="AN249" i="1"/>
  <c r="AN248" i="1"/>
  <c r="AN247" i="1"/>
  <c r="CP4" i="1" l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3" i="1"/>
  <c r="CL84" i="1"/>
  <c r="CL85" i="1"/>
  <c r="CL86" i="1"/>
  <c r="CL87" i="1"/>
  <c r="CL88" i="1"/>
  <c r="CL89" i="1"/>
  <c r="CL90" i="1"/>
  <c r="CL91" i="1"/>
  <c r="CL92" i="1"/>
  <c r="CL93" i="1"/>
  <c r="CL94" i="1"/>
  <c r="CL95" i="1"/>
  <c r="CL96" i="1"/>
  <c r="CL97" i="1"/>
  <c r="CL98" i="1"/>
  <c r="CL99" i="1"/>
  <c r="CL100" i="1"/>
  <c r="CL101" i="1"/>
  <c r="CL102" i="1"/>
  <c r="CL103" i="1"/>
  <c r="CL104" i="1"/>
  <c r="CL105" i="1"/>
  <c r="CL106" i="1"/>
  <c r="CL107" i="1"/>
  <c r="CL108" i="1"/>
  <c r="CL109" i="1"/>
  <c r="CL110" i="1"/>
  <c r="CL111" i="1"/>
  <c r="CL112" i="1"/>
  <c r="CL113" i="1"/>
  <c r="CL114" i="1"/>
  <c r="CL115" i="1"/>
  <c r="CL116" i="1"/>
  <c r="CL117" i="1"/>
  <c r="CL118" i="1"/>
  <c r="CL119" i="1"/>
  <c r="CL120" i="1"/>
  <c r="CL121" i="1"/>
  <c r="CL122" i="1"/>
  <c r="CL123" i="1"/>
  <c r="CL124" i="1"/>
  <c r="CL125" i="1"/>
  <c r="CL126" i="1"/>
  <c r="CL127" i="1"/>
  <c r="CL128" i="1"/>
  <c r="CL129" i="1"/>
  <c r="CL130" i="1"/>
  <c r="CL131" i="1"/>
  <c r="CL132" i="1"/>
  <c r="CL133" i="1"/>
  <c r="CL134" i="1"/>
  <c r="CL135" i="1"/>
  <c r="CL136" i="1"/>
  <c r="CL137" i="1"/>
  <c r="CL138" i="1"/>
  <c r="CL139" i="1"/>
  <c r="CL140" i="1"/>
  <c r="CL141" i="1"/>
  <c r="CL142" i="1"/>
  <c r="CL143" i="1"/>
  <c r="CL144" i="1"/>
  <c r="CL145" i="1"/>
  <c r="CL146" i="1"/>
  <c r="CL147" i="1"/>
  <c r="CL148" i="1"/>
  <c r="CL149" i="1"/>
  <c r="CL150" i="1"/>
  <c r="CL151" i="1"/>
  <c r="CL152" i="1"/>
  <c r="CL153" i="1"/>
  <c r="CL154" i="1"/>
  <c r="CL155" i="1"/>
  <c r="CL156" i="1"/>
  <c r="CL157" i="1"/>
  <c r="CL158" i="1"/>
  <c r="CL159" i="1"/>
  <c r="CL160" i="1"/>
  <c r="CL161" i="1"/>
  <c r="CL162" i="1"/>
  <c r="CL163" i="1"/>
  <c r="CL164" i="1"/>
  <c r="CL165" i="1"/>
  <c r="CL166" i="1"/>
  <c r="CL167" i="1"/>
  <c r="CL168" i="1"/>
  <c r="CL169" i="1"/>
  <c r="CL170" i="1"/>
  <c r="CL171" i="1"/>
  <c r="CL172" i="1"/>
  <c r="CL173" i="1"/>
  <c r="CL174" i="1"/>
  <c r="CL175" i="1"/>
  <c r="CL176" i="1"/>
  <c r="CL177" i="1"/>
  <c r="CL178" i="1"/>
  <c r="CL179" i="1"/>
  <c r="CL180" i="1"/>
  <c r="CL181" i="1"/>
  <c r="CL182" i="1"/>
  <c r="CL183" i="1"/>
  <c r="CL184" i="1"/>
  <c r="CL185" i="1"/>
  <c r="CL186" i="1"/>
  <c r="CL187" i="1"/>
  <c r="CL188" i="1"/>
  <c r="CL189" i="1"/>
  <c r="CL190" i="1"/>
  <c r="CL191" i="1"/>
  <c r="CL192" i="1"/>
  <c r="CL193" i="1"/>
  <c r="CL194" i="1"/>
  <c r="CL195" i="1"/>
  <c r="CL196" i="1"/>
  <c r="CL197" i="1"/>
  <c r="CL198" i="1"/>
  <c r="CL199" i="1"/>
  <c r="CL200" i="1"/>
  <c r="CL201" i="1"/>
  <c r="CL202" i="1"/>
  <c r="CL203" i="1"/>
  <c r="CL204" i="1"/>
  <c r="CL205" i="1"/>
  <c r="CL206" i="1"/>
  <c r="CL207" i="1"/>
  <c r="CL208" i="1"/>
  <c r="CL209" i="1"/>
  <c r="CL210" i="1"/>
  <c r="CL211" i="1"/>
  <c r="CL212" i="1"/>
  <c r="CL213" i="1"/>
  <c r="CL214" i="1"/>
  <c r="CL215" i="1"/>
  <c r="CL216" i="1"/>
  <c r="CL217" i="1"/>
  <c r="CL218" i="1"/>
  <c r="CL219" i="1"/>
  <c r="CL220" i="1"/>
  <c r="CL221" i="1"/>
  <c r="CL222" i="1"/>
  <c r="CL223" i="1"/>
  <c r="CL224" i="1"/>
  <c r="CL225" i="1"/>
  <c r="CL226" i="1"/>
  <c r="CL227" i="1"/>
  <c r="CL228" i="1"/>
  <c r="CL229" i="1"/>
  <c r="CL230" i="1"/>
  <c r="CL231" i="1"/>
  <c r="CL232" i="1"/>
  <c r="CL233" i="1"/>
  <c r="CL234" i="1"/>
  <c r="CL235" i="1"/>
  <c r="CL236" i="1"/>
  <c r="CL237" i="1"/>
  <c r="CL238" i="1"/>
  <c r="CL239" i="1"/>
  <c r="CL240" i="1"/>
  <c r="CL241" i="1"/>
  <c r="CL242" i="1"/>
  <c r="CL243" i="1"/>
  <c r="CL244" i="1"/>
  <c r="CL245" i="1"/>
  <c r="CL246" i="1"/>
  <c r="CL247" i="1"/>
  <c r="CL248" i="1"/>
  <c r="CL249" i="1"/>
  <c r="CL250" i="1"/>
  <c r="CL251" i="1"/>
  <c r="CL252" i="1"/>
  <c r="CL253" i="1"/>
  <c r="CL254" i="1"/>
  <c r="CL255" i="1"/>
  <c r="CL256" i="1"/>
  <c r="CL257" i="1"/>
  <c r="CL258" i="1"/>
  <c r="CL259" i="1"/>
  <c r="CL260" i="1"/>
  <c r="CL261" i="1"/>
  <c r="CL262" i="1"/>
  <c r="CL263" i="1"/>
  <c r="CL264" i="1"/>
  <c r="CL265" i="1"/>
  <c r="CL266" i="1"/>
  <c r="CL267" i="1"/>
  <c r="CL268" i="1"/>
  <c r="CL269" i="1"/>
  <c r="CL270" i="1"/>
  <c r="CL271" i="1"/>
  <c r="CL272" i="1"/>
  <c r="CL273" i="1"/>
  <c r="CL274" i="1"/>
  <c r="CL275" i="1"/>
  <c r="CL276" i="1"/>
  <c r="CL277" i="1"/>
  <c r="CL278" i="1"/>
  <c r="CL279" i="1"/>
  <c r="CL280" i="1"/>
  <c r="CL281" i="1"/>
  <c r="CL282" i="1"/>
  <c r="CL283" i="1"/>
  <c r="CL284" i="1"/>
  <c r="CL285" i="1"/>
  <c r="CL286" i="1"/>
  <c r="CL287" i="1"/>
  <c r="CL288" i="1"/>
  <c r="CL289" i="1"/>
  <c r="CL290" i="1"/>
  <c r="CL291" i="1"/>
  <c r="CL292" i="1"/>
  <c r="CL293" i="1"/>
  <c r="CL294" i="1"/>
  <c r="CL295" i="1"/>
  <c r="CL296" i="1"/>
  <c r="CL297" i="1"/>
  <c r="CL298" i="1"/>
  <c r="CL299" i="1"/>
  <c r="CL300" i="1"/>
  <c r="CL301" i="1"/>
  <c r="CL302" i="1"/>
  <c r="CL303" i="1"/>
  <c r="CL304" i="1"/>
  <c r="CL305" i="1"/>
  <c r="CL306" i="1"/>
  <c r="CL307" i="1"/>
  <c r="CL308" i="1"/>
  <c r="CL309" i="1"/>
  <c r="CL310" i="1"/>
  <c r="CL311" i="1"/>
  <c r="CL312" i="1"/>
  <c r="CL313" i="1"/>
  <c r="CL314" i="1"/>
  <c r="CL315" i="1"/>
  <c r="CL316" i="1"/>
  <c r="CL317" i="1"/>
  <c r="CL318" i="1"/>
  <c r="CL319" i="1"/>
  <c r="CL320" i="1"/>
  <c r="CL321" i="1"/>
  <c r="CL322" i="1"/>
  <c r="CL323" i="1"/>
  <c r="CL324" i="1"/>
  <c r="CL325" i="1"/>
  <c r="CL326" i="1"/>
  <c r="CL327" i="1"/>
  <c r="CL328" i="1"/>
  <c r="CL329" i="1"/>
  <c r="CL330" i="1"/>
  <c r="CL331" i="1"/>
  <c r="CL332" i="1"/>
  <c r="CL333" i="1"/>
  <c r="CL334" i="1"/>
  <c r="CL335" i="1"/>
  <c r="CL336" i="1"/>
  <c r="CL337" i="1"/>
  <c r="CL338" i="1"/>
  <c r="CL339" i="1"/>
  <c r="CL340" i="1"/>
  <c r="CL341" i="1"/>
  <c r="CL342" i="1"/>
  <c r="CL343" i="1"/>
  <c r="CL344" i="1"/>
  <c r="CL345" i="1"/>
  <c r="CL346" i="1"/>
  <c r="CL347" i="1"/>
  <c r="CL348" i="1"/>
  <c r="CL349" i="1"/>
  <c r="CL350" i="1"/>
  <c r="CL351" i="1"/>
  <c r="CL352" i="1"/>
  <c r="CL353" i="1"/>
  <c r="CL354" i="1"/>
  <c r="CL355" i="1"/>
  <c r="CL356" i="1"/>
  <c r="CL357" i="1"/>
  <c r="CL358" i="1"/>
  <c r="CL359" i="1"/>
  <c r="CL360" i="1"/>
  <c r="CL361" i="1"/>
  <c r="CL362" i="1"/>
  <c r="CL363" i="1"/>
  <c r="CL364" i="1"/>
  <c r="CL365" i="1"/>
  <c r="CL366" i="1"/>
  <c r="CL367" i="1"/>
  <c r="CL368" i="1"/>
  <c r="CL369" i="1"/>
  <c r="CL370" i="1"/>
  <c r="CL371" i="1"/>
  <c r="CL372" i="1"/>
  <c r="CL373" i="1"/>
  <c r="CL374" i="1"/>
  <c r="CL375" i="1"/>
  <c r="CL376" i="1"/>
  <c r="CL377" i="1"/>
  <c r="CL378" i="1"/>
  <c r="CL379" i="1"/>
  <c r="CL380" i="1"/>
  <c r="CL381" i="1"/>
  <c r="CL382" i="1"/>
  <c r="CL383" i="1"/>
  <c r="CL384" i="1"/>
  <c r="CL385" i="1"/>
  <c r="CL386" i="1"/>
  <c r="CL387" i="1"/>
  <c r="CL388" i="1"/>
  <c r="CL389" i="1"/>
  <c r="CL390" i="1"/>
  <c r="CL391" i="1"/>
  <c r="CL392" i="1"/>
  <c r="CL393" i="1"/>
  <c r="CL394" i="1"/>
  <c r="CL395" i="1"/>
  <c r="CL396" i="1"/>
  <c r="CL397" i="1"/>
  <c r="CL398" i="1"/>
  <c r="CL399" i="1"/>
  <c r="CL400" i="1"/>
  <c r="CL401" i="1"/>
  <c r="CL402" i="1"/>
  <c r="CL403" i="1"/>
  <c r="CL404" i="1"/>
  <c r="CL4" i="1"/>
  <c r="CP5" i="1"/>
  <c r="CP6" i="1"/>
  <c r="CP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102" i="1"/>
  <c r="CP103" i="1"/>
  <c r="CP104" i="1"/>
  <c r="CP105" i="1"/>
  <c r="CP106" i="1"/>
  <c r="CP107" i="1"/>
  <c r="CP108" i="1"/>
  <c r="CP109" i="1"/>
  <c r="CP110" i="1"/>
  <c r="CP111" i="1"/>
  <c r="CP112" i="1"/>
  <c r="CP113" i="1"/>
  <c r="CP114" i="1"/>
  <c r="CP115" i="1"/>
  <c r="CP116" i="1"/>
  <c r="CP117" i="1"/>
  <c r="CP118" i="1"/>
  <c r="CP119" i="1"/>
  <c r="CP120" i="1"/>
  <c r="CP121" i="1"/>
  <c r="CP122" i="1"/>
  <c r="CP123" i="1"/>
  <c r="CP124" i="1"/>
  <c r="CP125" i="1"/>
  <c r="CP126" i="1"/>
  <c r="CP127" i="1"/>
  <c r="CP128" i="1"/>
  <c r="CP129" i="1"/>
  <c r="CP130" i="1"/>
  <c r="CP131" i="1"/>
  <c r="CP132" i="1"/>
  <c r="CP133" i="1"/>
  <c r="CP134" i="1"/>
  <c r="CP135" i="1"/>
  <c r="CP136" i="1"/>
  <c r="CP137" i="1"/>
  <c r="CP138" i="1"/>
  <c r="CP139" i="1"/>
  <c r="CP140" i="1"/>
  <c r="CP141" i="1"/>
  <c r="CP142" i="1"/>
  <c r="CP143" i="1"/>
  <c r="CP144" i="1"/>
  <c r="CP145" i="1"/>
  <c r="CP146" i="1"/>
  <c r="CP147" i="1"/>
  <c r="CP148" i="1"/>
  <c r="CP149" i="1"/>
  <c r="CP150" i="1"/>
  <c r="CP151" i="1"/>
  <c r="CP152" i="1"/>
  <c r="CP153" i="1"/>
  <c r="CP154" i="1"/>
  <c r="CP155" i="1"/>
  <c r="CP156" i="1"/>
  <c r="CP157" i="1"/>
  <c r="CP158" i="1"/>
  <c r="CP159" i="1"/>
  <c r="CP160" i="1"/>
  <c r="CP161" i="1"/>
  <c r="CP162" i="1"/>
  <c r="CP163" i="1"/>
  <c r="CP164" i="1"/>
  <c r="CP165" i="1"/>
  <c r="CP166" i="1"/>
  <c r="CP167" i="1"/>
  <c r="CP168" i="1"/>
  <c r="CP169" i="1"/>
  <c r="CP170" i="1"/>
  <c r="CP171" i="1"/>
  <c r="CP172" i="1"/>
  <c r="CP173" i="1"/>
  <c r="CP174" i="1"/>
  <c r="CP175" i="1"/>
  <c r="CP176" i="1"/>
  <c r="CP177" i="1"/>
  <c r="CP178" i="1"/>
  <c r="CP179" i="1"/>
  <c r="CP180" i="1"/>
  <c r="CP181" i="1"/>
  <c r="CP182" i="1"/>
  <c r="CP183" i="1"/>
  <c r="CP184" i="1"/>
  <c r="CP185" i="1"/>
  <c r="CP186" i="1"/>
  <c r="CP187" i="1"/>
  <c r="CP188" i="1"/>
  <c r="CP189" i="1"/>
  <c r="CP190" i="1"/>
  <c r="CP191" i="1"/>
  <c r="CP192" i="1"/>
  <c r="CP193" i="1"/>
  <c r="CP194" i="1"/>
  <c r="CP195" i="1"/>
  <c r="CP196" i="1"/>
  <c r="CP197" i="1"/>
  <c r="CP198" i="1"/>
  <c r="CP199" i="1"/>
  <c r="CP200" i="1"/>
  <c r="CP201" i="1"/>
  <c r="CP202" i="1"/>
  <c r="CP203" i="1"/>
  <c r="CP204" i="1"/>
  <c r="CP205" i="1"/>
  <c r="CP206" i="1"/>
  <c r="CP207" i="1"/>
  <c r="CP208" i="1"/>
  <c r="CP209" i="1"/>
  <c r="CP210" i="1"/>
  <c r="CP211" i="1"/>
  <c r="CP212" i="1"/>
  <c r="CP213" i="1"/>
  <c r="CP214" i="1"/>
  <c r="CP215" i="1"/>
  <c r="CP216" i="1"/>
  <c r="CP217" i="1"/>
  <c r="CP218" i="1"/>
  <c r="CP219" i="1"/>
  <c r="CP220" i="1"/>
  <c r="CP221" i="1"/>
  <c r="CP222" i="1"/>
  <c r="CP223" i="1"/>
  <c r="CP224" i="1"/>
  <c r="CP225" i="1"/>
  <c r="CP226" i="1"/>
  <c r="CP227" i="1"/>
  <c r="CP228" i="1"/>
  <c r="CP229" i="1"/>
  <c r="CP230" i="1"/>
  <c r="CP231" i="1"/>
  <c r="CP232" i="1"/>
  <c r="CP233" i="1"/>
  <c r="CP234" i="1"/>
  <c r="CP235" i="1"/>
  <c r="CP236" i="1"/>
  <c r="CP237" i="1"/>
  <c r="CP238" i="1"/>
  <c r="CP239" i="1"/>
  <c r="CP240" i="1"/>
  <c r="CP241" i="1"/>
  <c r="CP242" i="1"/>
  <c r="CP243" i="1"/>
  <c r="CP244" i="1"/>
  <c r="CP245" i="1"/>
  <c r="CP246" i="1"/>
  <c r="CP247" i="1"/>
  <c r="CP248" i="1"/>
  <c r="CP249" i="1"/>
  <c r="CP250" i="1"/>
  <c r="CP251" i="1"/>
  <c r="CP252" i="1"/>
  <c r="CP253" i="1"/>
  <c r="CP254" i="1"/>
  <c r="CP255" i="1"/>
  <c r="CP256" i="1"/>
  <c r="CP257" i="1"/>
  <c r="CP258" i="1"/>
  <c r="CP259" i="1"/>
  <c r="CP260" i="1"/>
  <c r="CP261" i="1"/>
  <c r="CP262" i="1"/>
  <c r="CP263" i="1"/>
  <c r="CP264" i="1"/>
  <c r="CP265" i="1"/>
  <c r="CP266" i="1"/>
  <c r="CP267" i="1"/>
  <c r="CP268" i="1"/>
  <c r="CP269" i="1"/>
  <c r="CP270" i="1"/>
  <c r="CP271" i="1"/>
  <c r="CP272" i="1"/>
  <c r="CP273" i="1"/>
  <c r="CP274" i="1"/>
  <c r="CP275" i="1"/>
  <c r="CP276" i="1"/>
  <c r="CP277" i="1"/>
  <c r="CP278" i="1"/>
  <c r="CP279" i="1"/>
  <c r="CP280" i="1"/>
  <c r="CP281" i="1"/>
  <c r="CP282" i="1"/>
  <c r="CP283" i="1"/>
  <c r="CP284" i="1"/>
  <c r="CP285" i="1"/>
  <c r="CP286" i="1"/>
  <c r="CP287" i="1"/>
  <c r="CP288" i="1"/>
  <c r="CP289" i="1"/>
  <c r="CP290" i="1"/>
  <c r="CP291" i="1"/>
  <c r="CP292" i="1"/>
  <c r="CP293" i="1"/>
  <c r="CP294" i="1"/>
  <c r="CP295" i="1"/>
  <c r="CP296" i="1"/>
  <c r="CP297" i="1"/>
  <c r="CP298" i="1"/>
  <c r="CP299" i="1"/>
  <c r="CP300" i="1"/>
  <c r="CP301" i="1"/>
  <c r="CP302" i="1"/>
  <c r="CP303" i="1"/>
  <c r="CP304" i="1"/>
  <c r="CP305" i="1"/>
  <c r="CP306" i="1"/>
  <c r="CP307" i="1"/>
  <c r="CP308" i="1"/>
  <c r="CP309" i="1"/>
  <c r="CP310" i="1"/>
  <c r="CP311" i="1"/>
  <c r="CP312" i="1"/>
  <c r="CP313" i="1"/>
  <c r="CP314" i="1"/>
  <c r="CP315" i="1"/>
  <c r="CP316" i="1"/>
  <c r="CP317" i="1"/>
  <c r="CP318" i="1"/>
  <c r="CP319" i="1"/>
  <c r="CP320" i="1"/>
  <c r="CP321" i="1"/>
  <c r="CP322" i="1"/>
  <c r="CP323" i="1"/>
  <c r="CP324" i="1"/>
  <c r="CP325" i="1"/>
  <c r="CP326" i="1"/>
  <c r="CP327" i="1"/>
  <c r="CP328" i="1"/>
  <c r="CP329" i="1"/>
  <c r="CP330" i="1"/>
  <c r="CP331" i="1"/>
  <c r="CP332" i="1"/>
  <c r="CP333" i="1"/>
  <c r="CP334" i="1"/>
  <c r="CP335" i="1"/>
  <c r="CP336" i="1"/>
  <c r="CP337" i="1"/>
  <c r="CP338" i="1"/>
  <c r="CP339" i="1"/>
  <c r="CP340" i="1"/>
  <c r="CP341" i="1"/>
  <c r="CP342" i="1"/>
  <c r="CP343" i="1"/>
  <c r="CP344" i="1"/>
  <c r="CP345" i="1"/>
  <c r="CP346" i="1"/>
  <c r="CP347" i="1"/>
  <c r="CP348" i="1"/>
  <c r="CP349" i="1"/>
  <c r="CP350" i="1"/>
  <c r="CP351" i="1"/>
  <c r="CP352" i="1"/>
  <c r="CP353" i="1"/>
  <c r="CP354" i="1"/>
  <c r="CP355" i="1"/>
  <c r="CP356" i="1"/>
  <c r="CP357" i="1"/>
  <c r="CP358" i="1"/>
  <c r="CP359" i="1"/>
  <c r="CP360" i="1"/>
  <c r="CP361" i="1"/>
  <c r="CP362" i="1"/>
  <c r="CP363" i="1"/>
  <c r="CP364" i="1"/>
  <c r="CP365" i="1"/>
  <c r="CP366" i="1"/>
  <c r="CP367" i="1"/>
  <c r="CP368" i="1"/>
  <c r="CP369" i="1"/>
  <c r="CP370" i="1"/>
  <c r="CP371" i="1"/>
  <c r="CP372" i="1"/>
  <c r="CP373" i="1"/>
  <c r="CP374" i="1"/>
  <c r="CP375" i="1"/>
  <c r="CP376" i="1"/>
  <c r="CP377" i="1"/>
  <c r="CP378" i="1"/>
  <c r="CP379" i="1"/>
  <c r="CP380" i="1"/>
  <c r="CP381" i="1"/>
  <c r="CP382" i="1"/>
  <c r="CP383" i="1"/>
  <c r="CP384" i="1"/>
  <c r="CP385" i="1"/>
  <c r="CP386" i="1"/>
  <c r="CP387" i="1"/>
  <c r="CP388" i="1"/>
  <c r="CP389" i="1"/>
  <c r="CP390" i="1"/>
  <c r="CP391" i="1"/>
  <c r="CP392" i="1"/>
  <c r="CP393" i="1"/>
  <c r="CP394" i="1"/>
  <c r="CP395" i="1"/>
  <c r="CP396" i="1"/>
  <c r="CP397" i="1"/>
  <c r="CP398" i="1"/>
  <c r="CP399" i="1"/>
  <c r="CP400" i="1"/>
  <c r="CP401" i="1"/>
  <c r="CP402" i="1"/>
  <c r="CP403" i="1"/>
  <c r="CP404" i="1"/>
  <c r="CN404" i="1"/>
  <c r="CN403" i="1"/>
  <c r="CU403" i="1" s="1"/>
  <c r="CN402" i="1"/>
  <c r="CU402" i="1" s="1"/>
  <c r="CN401" i="1"/>
  <c r="CU401" i="1" s="1"/>
  <c r="CN400" i="1"/>
  <c r="CN399" i="1"/>
  <c r="CU399" i="1" s="1"/>
  <c r="CN398" i="1"/>
  <c r="CU398" i="1" s="1"/>
  <c r="CN397" i="1"/>
  <c r="CU397" i="1" s="1"/>
  <c r="CN396" i="1"/>
  <c r="CN395" i="1"/>
  <c r="CU395" i="1" s="1"/>
  <c r="CN394" i="1"/>
  <c r="CU394" i="1" s="1"/>
  <c r="CN393" i="1"/>
  <c r="CU393" i="1" s="1"/>
  <c r="CN392" i="1"/>
  <c r="CN391" i="1"/>
  <c r="CU391" i="1" s="1"/>
  <c r="CN390" i="1"/>
  <c r="CU390" i="1" s="1"/>
  <c r="CN389" i="1"/>
  <c r="CU389" i="1" s="1"/>
  <c r="CN388" i="1"/>
  <c r="CN387" i="1"/>
  <c r="CU387" i="1" s="1"/>
  <c r="CN386" i="1"/>
  <c r="CU386" i="1" s="1"/>
  <c r="CN385" i="1"/>
  <c r="CU385" i="1" s="1"/>
  <c r="CN384" i="1"/>
  <c r="CN383" i="1"/>
  <c r="CU383" i="1" s="1"/>
  <c r="CN382" i="1"/>
  <c r="CU382" i="1" s="1"/>
  <c r="CN381" i="1"/>
  <c r="CU381" i="1" s="1"/>
  <c r="CN380" i="1"/>
  <c r="CN379" i="1"/>
  <c r="CU379" i="1" s="1"/>
  <c r="CN378" i="1"/>
  <c r="CU378" i="1" s="1"/>
  <c r="CN377" i="1"/>
  <c r="CU377" i="1" s="1"/>
  <c r="CN376" i="1"/>
  <c r="CN375" i="1"/>
  <c r="CU375" i="1" s="1"/>
  <c r="CN374" i="1"/>
  <c r="CU374" i="1" s="1"/>
  <c r="CN373" i="1"/>
  <c r="CU373" i="1" s="1"/>
  <c r="CN372" i="1"/>
  <c r="CN371" i="1"/>
  <c r="CU371" i="1" s="1"/>
  <c r="CN370" i="1"/>
  <c r="CU370" i="1" s="1"/>
  <c r="CN369" i="1"/>
  <c r="CU369" i="1" s="1"/>
  <c r="CN368" i="1"/>
  <c r="CN367" i="1"/>
  <c r="CU367" i="1" s="1"/>
  <c r="CN366" i="1"/>
  <c r="CU366" i="1" s="1"/>
  <c r="CN365" i="1"/>
  <c r="CU365" i="1" s="1"/>
  <c r="CN364" i="1"/>
  <c r="CN363" i="1"/>
  <c r="CU363" i="1" s="1"/>
  <c r="CN362" i="1"/>
  <c r="CU362" i="1" s="1"/>
  <c r="CN361" i="1"/>
  <c r="CU361" i="1" s="1"/>
  <c r="CN360" i="1"/>
  <c r="CN359" i="1"/>
  <c r="CU359" i="1" s="1"/>
  <c r="CN358" i="1"/>
  <c r="CU358" i="1" s="1"/>
  <c r="CN357" i="1"/>
  <c r="CU357" i="1" s="1"/>
  <c r="CN356" i="1"/>
  <c r="CN355" i="1"/>
  <c r="CU355" i="1" s="1"/>
  <c r="CN354" i="1"/>
  <c r="CU354" i="1" s="1"/>
  <c r="CN353" i="1"/>
  <c r="CU353" i="1" s="1"/>
  <c r="CN352" i="1"/>
  <c r="CN351" i="1"/>
  <c r="CU351" i="1" s="1"/>
  <c r="CN350" i="1"/>
  <c r="CU350" i="1" s="1"/>
  <c r="CN349" i="1"/>
  <c r="CU349" i="1" s="1"/>
  <c r="CN348" i="1"/>
  <c r="CN347" i="1"/>
  <c r="CU347" i="1" s="1"/>
  <c r="CN346" i="1"/>
  <c r="CU346" i="1" s="1"/>
  <c r="CN345" i="1"/>
  <c r="CU345" i="1" s="1"/>
  <c r="CN344" i="1"/>
  <c r="CN343" i="1"/>
  <c r="CU343" i="1" s="1"/>
  <c r="CN342" i="1"/>
  <c r="CU342" i="1" s="1"/>
  <c r="CN341" i="1"/>
  <c r="CU341" i="1" s="1"/>
  <c r="CN340" i="1"/>
  <c r="CN339" i="1"/>
  <c r="CU339" i="1" s="1"/>
  <c r="CN338" i="1"/>
  <c r="CU338" i="1" s="1"/>
  <c r="CN337" i="1"/>
  <c r="CU337" i="1" s="1"/>
  <c r="CN336" i="1"/>
  <c r="CN335" i="1"/>
  <c r="CU335" i="1" s="1"/>
  <c r="CN334" i="1"/>
  <c r="CU334" i="1" s="1"/>
  <c r="CN333" i="1"/>
  <c r="CU333" i="1" s="1"/>
  <c r="CN332" i="1"/>
  <c r="CN331" i="1"/>
  <c r="CU331" i="1" s="1"/>
  <c r="CN330" i="1"/>
  <c r="CU330" i="1" s="1"/>
  <c r="CN329" i="1"/>
  <c r="CU329" i="1" s="1"/>
  <c r="CN328" i="1"/>
  <c r="CN327" i="1"/>
  <c r="CU327" i="1" s="1"/>
  <c r="CN326" i="1"/>
  <c r="CU326" i="1" s="1"/>
  <c r="CN325" i="1"/>
  <c r="CU325" i="1" s="1"/>
  <c r="CN324" i="1"/>
  <c r="CN323" i="1"/>
  <c r="CU323" i="1" s="1"/>
  <c r="CN322" i="1"/>
  <c r="CU322" i="1" s="1"/>
  <c r="CN321" i="1"/>
  <c r="CU321" i="1" s="1"/>
  <c r="CN320" i="1"/>
  <c r="CN319" i="1"/>
  <c r="CU319" i="1" s="1"/>
  <c r="CN318" i="1"/>
  <c r="CU318" i="1" s="1"/>
  <c r="CN317" i="1"/>
  <c r="CU317" i="1" s="1"/>
  <c r="CN316" i="1"/>
  <c r="CN315" i="1"/>
  <c r="CU315" i="1" s="1"/>
  <c r="CN314" i="1"/>
  <c r="CU314" i="1" s="1"/>
  <c r="CN313" i="1"/>
  <c r="CU313" i="1" s="1"/>
  <c r="CN312" i="1"/>
  <c r="CN311" i="1"/>
  <c r="CU311" i="1" s="1"/>
  <c r="CN310" i="1"/>
  <c r="CU310" i="1" s="1"/>
  <c r="CN309" i="1"/>
  <c r="CU309" i="1" s="1"/>
  <c r="CN308" i="1"/>
  <c r="CN307" i="1"/>
  <c r="CU307" i="1" s="1"/>
  <c r="CN306" i="1"/>
  <c r="CU306" i="1" s="1"/>
  <c r="CN305" i="1"/>
  <c r="CU305" i="1" s="1"/>
  <c r="CN304" i="1"/>
  <c r="CN303" i="1"/>
  <c r="CU303" i="1" s="1"/>
  <c r="CN302" i="1"/>
  <c r="CU302" i="1" s="1"/>
  <c r="CN301" i="1"/>
  <c r="CU301" i="1" s="1"/>
  <c r="CN300" i="1"/>
  <c r="CN299" i="1"/>
  <c r="CU299" i="1" s="1"/>
  <c r="CN298" i="1"/>
  <c r="CU298" i="1" s="1"/>
  <c r="CN297" i="1"/>
  <c r="CU297" i="1" s="1"/>
  <c r="CN296" i="1"/>
  <c r="CN295" i="1"/>
  <c r="CU295" i="1" s="1"/>
  <c r="CN294" i="1"/>
  <c r="CU294" i="1" s="1"/>
  <c r="CN293" i="1"/>
  <c r="CU293" i="1" s="1"/>
  <c r="CN292" i="1"/>
  <c r="CN291" i="1"/>
  <c r="CU291" i="1" s="1"/>
  <c r="CN290" i="1"/>
  <c r="CU290" i="1" s="1"/>
  <c r="CN289" i="1"/>
  <c r="CU289" i="1" s="1"/>
  <c r="CN288" i="1"/>
  <c r="CN287" i="1"/>
  <c r="CU287" i="1" s="1"/>
  <c r="CN286" i="1"/>
  <c r="CU286" i="1" s="1"/>
  <c r="CN285" i="1"/>
  <c r="CU285" i="1" s="1"/>
  <c r="CN284" i="1"/>
  <c r="CN283" i="1"/>
  <c r="CU283" i="1" s="1"/>
  <c r="CN282" i="1"/>
  <c r="CU282" i="1" s="1"/>
  <c r="CN281" i="1"/>
  <c r="CU281" i="1" s="1"/>
  <c r="CN280" i="1"/>
  <c r="CN279" i="1"/>
  <c r="CU279" i="1" s="1"/>
  <c r="CN278" i="1"/>
  <c r="CU278" i="1" s="1"/>
  <c r="CN277" i="1"/>
  <c r="CU277" i="1" s="1"/>
  <c r="CN276" i="1"/>
  <c r="CN275" i="1"/>
  <c r="CU275" i="1" s="1"/>
  <c r="CN274" i="1"/>
  <c r="CU274" i="1" s="1"/>
  <c r="CN273" i="1"/>
  <c r="CU273" i="1" s="1"/>
  <c r="CN272" i="1"/>
  <c r="CN271" i="1"/>
  <c r="CU271" i="1" s="1"/>
  <c r="CN270" i="1"/>
  <c r="CU270" i="1" s="1"/>
  <c r="CN269" i="1"/>
  <c r="CU269" i="1" s="1"/>
  <c r="CN268" i="1"/>
  <c r="CN267" i="1"/>
  <c r="CU267" i="1" s="1"/>
  <c r="CN266" i="1"/>
  <c r="CU266" i="1" s="1"/>
  <c r="CN265" i="1"/>
  <c r="CU265" i="1" s="1"/>
  <c r="CN264" i="1"/>
  <c r="CN263" i="1"/>
  <c r="CU263" i="1" s="1"/>
  <c r="CN262" i="1"/>
  <c r="CU262" i="1" s="1"/>
  <c r="CN261" i="1"/>
  <c r="CU261" i="1" s="1"/>
  <c r="CN260" i="1"/>
  <c r="CN259" i="1"/>
  <c r="CU259" i="1" s="1"/>
  <c r="CN258" i="1"/>
  <c r="CU258" i="1" s="1"/>
  <c r="CN257" i="1"/>
  <c r="CU257" i="1" s="1"/>
  <c r="CN256" i="1"/>
  <c r="CN255" i="1"/>
  <c r="CU255" i="1" s="1"/>
  <c r="CN254" i="1"/>
  <c r="CU254" i="1" s="1"/>
  <c r="CN253" i="1"/>
  <c r="CU253" i="1" s="1"/>
  <c r="CN252" i="1"/>
  <c r="CN251" i="1"/>
  <c r="CU251" i="1" s="1"/>
  <c r="CN250" i="1"/>
  <c r="CU250" i="1" s="1"/>
  <c r="CN249" i="1"/>
  <c r="CU249" i="1" s="1"/>
  <c r="CN248" i="1"/>
  <c r="CN247" i="1"/>
  <c r="CU247" i="1" s="1"/>
  <c r="CU5" i="1"/>
  <c r="CU6" i="1"/>
  <c r="CU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2" i="1"/>
  <c r="CU23" i="1"/>
  <c r="CU24" i="1"/>
  <c r="CU25" i="1"/>
  <c r="CU26" i="1"/>
  <c r="CU27" i="1"/>
  <c r="CU28" i="1"/>
  <c r="CU29" i="1"/>
  <c r="CU30" i="1"/>
  <c r="CU31" i="1"/>
  <c r="CU32" i="1"/>
  <c r="CU33" i="1"/>
  <c r="CU34" i="1"/>
  <c r="CU35" i="1"/>
  <c r="CU36" i="1"/>
  <c r="CU37" i="1"/>
  <c r="CU38" i="1"/>
  <c r="CU39" i="1"/>
  <c r="CU40" i="1"/>
  <c r="CU41" i="1"/>
  <c r="CU42" i="1"/>
  <c r="CU43" i="1"/>
  <c r="CU44" i="1"/>
  <c r="CU45" i="1"/>
  <c r="CU46" i="1"/>
  <c r="CU47" i="1"/>
  <c r="CU48" i="1"/>
  <c r="CU49" i="1"/>
  <c r="CU50" i="1"/>
  <c r="CU51" i="1"/>
  <c r="CU52" i="1"/>
  <c r="CU53" i="1"/>
  <c r="CU54" i="1"/>
  <c r="CU55" i="1"/>
  <c r="CU56" i="1"/>
  <c r="CU57" i="1"/>
  <c r="CU58" i="1"/>
  <c r="CU59" i="1"/>
  <c r="CU60" i="1"/>
  <c r="CU61" i="1"/>
  <c r="CU62" i="1"/>
  <c r="CU63" i="1"/>
  <c r="CU64" i="1"/>
  <c r="CU65" i="1"/>
  <c r="CU66" i="1"/>
  <c r="CU67" i="1"/>
  <c r="CU68" i="1"/>
  <c r="CU69" i="1"/>
  <c r="CU70" i="1"/>
  <c r="CU71" i="1"/>
  <c r="CU72" i="1"/>
  <c r="CU73" i="1"/>
  <c r="CU74" i="1"/>
  <c r="CU75" i="1"/>
  <c r="CU76" i="1"/>
  <c r="CU77" i="1"/>
  <c r="CU78" i="1"/>
  <c r="CU79" i="1"/>
  <c r="CU80" i="1"/>
  <c r="CU81" i="1"/>
  <c r="CU82" i="1"/>
  <c r="CU83" i="1"/>
  <c r="CU84" i="1"/>
  <c r="CU85" i="1"/>
  <c r="CU86" i="1"/>
  <c r="CU87" i="1"/>
  <c r="CU88" i="1"/>
  <c r="CU89" i="1"/>
  <c r="CU90" i="1"/>
  <c r="CU91" i="1"/>
  <c r="CU92" i="1"/>
  <c r="CU93" i="1"/>
  <c r="CU94" i="1"/>
  <c r="CU95" i="1"/>
  <c r="CU96" i="1"/>
  <c r="CU97" i="1"/>
  <c r="CU98" i="1"/>
  <c r="CU99" i="1"/>
  <c r="CU100" i="1"/>
  <c r="CU101" i="1"/>
  <c r="CU102" i="1"/>
  <c r="CU103" i="1"/>
  <c r="CU104" i="1"/>
  <c r="CU105" i="1"/>
  <c r="CU106" i="1"/>
  <c r="CU107" i="1"/>
  <c r="CU108" i="1"/>
  <c r="CU109" i="1"/>
  <c r="CU110" i="1"/>
  <c r="CU111" i="1"/>
  <c r="CU112" i="1"/>
  <c r="CU113" i="1"/>
  <c r="CU114" i="1"/>
  <c r="CU115" i="1"/>
  <c r="CU116" i="1"/>
  <c r="CU117" i="1"/>
  <c r="CU118" i="1"/>
  <c r="CU119" i="1"/>
  <c r="CU120" i="1"/>
  <c r="CU121" i="1"/>
  <c r="CU122" i="1"/>
  <c r="CU123" i="1"/>
  <c r="CU124" i="1"/>
  <c r="CU125" i="1"/>
  <c r="CU126" i="1"/>
  <c r="CU127" i="1"/>
  <c r="CU128" i="1"/>
  <c r="CU129" i="1"/>
  <c r="CU130" i="1"/>
  <c r="CU131" i="1"/>
  <c r="CU132" i="1"/>
  <c r="CU133" i="1"/>
  <c r="CU134" i="1"/>
  <c r="CU135" i="1"/>
  <c r="CU136" i="1"/>
  <c r="CU137" i="1"/>
  <c r="CU138" i="1"/>
  <c r="CU139" i="1"/>
  <c r="CU140" i="1"/>
  <c r="CU141" i="1"/>
  <c r="CU142" i="1"/>
  <c r="CU143" i="1"/>
  <c r="CU144" i="1"/>
  <c r="CU145" i="1"/>
  <c r="CU146" i="1"/>
  <c r="CU147" i="1"/>
  <c r="CU148" i="1"/>
  <c r="CU149" i="1"/>
  <c r="CU150" i="1"/>
  <c r="CU151" i="1"/>
  <c r="CU152" i="1"/>
  <c r="CU153" i="1"/>
  <c r="CU154" i="1"/>
  <c r="CU155" i="1"/>
  <c r="CU156" i="1"/>
  <c r="CU157" i="1"/>
  <c r="CU158" i="1"/>
  <c r="CU159" i="1"/>
  <c r="CU160" i="1"/>
  <c r="CU161" i="1"/>
  <c r="CU162" i="1"/>
  <c r="CU163" i="1"/>
  <c r="CU164" i="1"/>
  <c r="CU165" i="1"/>
  <c r="CU166" i="1"/>
  <c r="CU167" i="1"/>
  <c r="CU168" i="1"/>
  <c r="CU169" i="1"/>
  <c r="CU170" i="1"/>
  <c r="CU171" i="1"/>
  <c r="CU172" i="1"/>
  <c r="CU173" i="1"/>
  <c r="CU174" i="1"/>
  <c r="CU175" i="1"/>
  <c r="CU176" i="1"/>
  <c r="CU177" i="1"/>
  <c r="CU178" i="1"/>
  <c r="CU179" i="1"/>
  <c r="CU180" i="1"/>
  <c r="CU181" i="1"/>
  <c r="CU182" i="1"/>
  <c r="CU183" i="1"/>
  <c r="CU184" i="1"/>
  <c r="CU185" i="1"/>
  <c r="CU186" i="1"/>
  <c r="CU187" i="1"/>
  <c r="CU188" i="1"/>
  <c r="CU189" i="1"/>
  <c r="CU190" i="1"/>
  <c r="CU191" i="1"/>
  <c r="CU192" i="1"/>
  <c r="CU193" i="1"/>
  <c r="CU194" i="1"/>
  <c r="CU195" i="1"/>
  <c r="CU196" i="1"/>
  <c r="CU197" i="1"/>
  <c r="CU198" i="1"/>
  <c r="CU199" i="1"/>
  <c r="CU200" i="1"/>
  <c r="CU201" i="1"/>
  <c r="CU202" i="1"/>
  <c r="CU203" i="1"/>
  <c r="CU204" i="1"/>
  <c r="CU205" i="1"/>
  <c r="CU206" i="1"/>
  <c r="CU207" i="1"/>
  <c r="CU208" i="1"/>
  <c r="CU209" i="1"/>
  <c r="CU210" i="1"/>
  <c r="CU211" i="1"/>
  <c r="CU212" i="1"/>
  <c r="CU213" i="1"/>
  <c r="CU214" i="1"/>
  <c r="CU215" i="1"/>
  <c r="CU216" i="1"/>
  <c r="CU217" i="1"/>
  <c r="CU218" i="1"/>
  <c r="CU219" i="1"/>
  <c r="CU220" i="1"/>
  <c r="CU221" i="1"/>
  <c r="CU222" i="1"/>
  <c r="CU223" i="1"/>
  <c r="CU224" i="1"/>
  <c r="CU225" i="1"/>
  <c r="CU226" i="1"/>
  <c r="CU227" i="1"/>
  <c r="CU228" i="1"/>
  <c r="CU229" i="1"/>
  <c r="CU230" i="1"/>
  <c r="CU231" i="1"/>
  <c r="CU232" i="1"/>
  <c r="CU233" i="1"/>
  <c r="CU234" i="1"/>
  <c r="CU235" i="1"/>
  <c r="CU236" i="1"/>
  <c r="CU237" i="1"/>
  <c r="CU238" i="1"/>
  <c r="CU239" i="1"/>
  <c r="CU240" i="1"/>
  <c r="CU241" i="1"/>
  <c r="CU242" i="1"/>
  <c r="CU243" i="1"/>
  <c r="CU244" i="1"/>
  <c r="CU245" i="1"/>
  <c r="CU246" i="1"/>
  <c r="CU4" i="1"/>
  <c r="CU248" i="1" l="1"/>
  <c r="CU252" i="1"/>
  <c r="CU256" i="1"/>
  <c r="CU260" i="1"/>
  <c r="CU264" i="1"/>
  <c r="CU268" i="1"/>
  <c r="CU272" i="1"/>
  <c r="CU276" i="1"/>
  <c r="CU280" i="1"/>
  <c r="CU284" i="1"/>
  <c r="CU288" i="1"/>
  <c r="CU292" i="1"/>
  <c r="CU296" i="1"/>
  <c r="CU300" i="1"/>
  <c r="CU304" i="1"/>
  <c r="CU308" i="1"/>
  <c r="CU312" i="1"/>
  <c r="CU316" i="1"/>
  <c r="CU320" i="1"/>
  <c r="CU324" i="1"/>
  <c r="CU328" i="1"/>
  <c r="CU332" i="1"/>
  <c r="CU336" i="1"/>
  <c r="CU340" i="1"/>
  <c r="CU344" i="1"/>
  <c r="CU348" i="1"/>
  <c r="CU352" i="1"/>
  <c r="CU356" i="1"/>
  <c r="CU360" i="1"/>
  <c r="CU364" i="1"/>
  <c r="CU368" i="1"/>
  <c r="CU372" i="1"/>
  <c r="CU376" i="1"/>
  <c r="CU380" i="1"/>
  <c r="CU384" i="1"/>
  <c r="CU388" i="1"/>
  <c r="CU392" i="1"/>
  <c r="CU396" i="1"/>
  <c r="CU400" i="1"/>
  <c r="CU404" i="1"/>
  <c r="CN409" i="1" l="1"/>
  <c r="CO409" i="1"/>
  <c r="CQ409" i="1"/>
  <c r="CR409" i="1"/>
  <c r="CM409" i="1"/>
  <c r="CN408" i="1"/>
  <c r="CO408" i="1"/>
  <c r="CQ408" i="1"/>
  <c r="CR408" i="1"/>
  <c r="CM408" i="1"/>
  <c r="CN407" i="1"/>
  <c r="CO407" i="1"/>
  <c r="CQ407" i="1"/>
  <c r="CR407" i="1"/>
  <c r="CM407" i="1"/>
  <c r="CT404" i="1"/>
  <c r="CS404" i="1" s="1"/>
  <c r="CT403" i="1"/>
  <c r="CS403" i="1" s="1"/>
  <c r="CT402" i="1"/>
  <c r="CS402" i="1" s="1"/>
  <c r="CT401" i="1"/>
  <c r="CS401" i="1" s="1"/>
  <c r="CT400" i="1"/>
  <c r="CS400" i="1" s="1"/>
  <c r="CT399" i="1"/>
  <c r="CS399" i="1" s="1"/>
  <c r="CT398" i="1"/>
  <c r="CS398" i="1" s="1"/>
  <c r="CT397" i="1"/>
  <c r="CS397" i="1" s="1"/>
  <c r="CT396" i="1"/>
  <c r="CS396" i="1" s="1"/>
  <c r="CT395" i="1"/>
  <c r="CS395" i="1" s="1"/>
  <c r="CT394" i="1"/>
  <c r="CS394" i="1" s="1"/>
  <c r="CT393" i="1"/>
  <c r="CS393" i="1" s="1"/>
  <c r="CT392" i="1"/>
  <c r="CS392" i="1" s="1"/>
  <c r="CT391" i="1"/>
  <c r="CS391" i="1" s="1"/>
  <c r="CT390" i="1"/>
  <c r="CS390" i="1" s="1"/>
  <c r="CT389" i="1"/>
  <c r="CS389" i="1" s="1"/>
  <c r="CT388" i="1"/>
  <c r="CS388" i="1" s="1"/>
  <c r="CT387" i="1"/>
  <c r="CS387" i="1" s="1"/>
  <c r="CT386" i="1"/>
  <c r="CS386" i="1" s="1"/>
  <c r="CT385" i="1"/>
  <c r="CS385" i="1" s="1"/>
  <c r="CT384" i="1"/>
  <c r="CS384" i="1" s="1"/>
  <c r="CT383" i="1"/>
  <c r="CS383" i="1" s="1"/>
  <c r="CT382" i="1"/>
  <c r="CS382" i="1" s="1"/>
  <c r="CT381" i="1"/>
  <c r="CS381" i="1" s="1"/>
  <c r="CT380" i="1"/>
  <c r="CS380" i="1" s="1"/>
  <c r="CT379" i="1"/>
  <c r="CS379" i="1" s="1"/>
  <c r="CT378" i="1"/>
  <c r="CS378" i="1" s="1"/>
  <c r="CT377" i="1"/>
  <c r="CS377" i="1" s="1"/>
  <c r="CT376" i="1"/>
  <c r="CS376" i="1" s="1"/>
  <c r="CT375" i="1"/>
  <c r="CS375" i="1" s="1"/>
  <c r="CT374" i="1"/>
  <c r="CS374" i="1" s="1"/>
  <c r="CT373" i="1"/>
  <c r="CS373" i="1" s="1"/>
  <c r="CT372" i="1"/>
  <c r="CS372" i="1" s="1"/>
  <c r="CT371" i="1"/>
  <c r="CS371" i="1" s="1"/>
  <c r="CT370" i="1"/>
  <c r="CS370" i="1" s="1"/>
  <c r="CT369" i="1"/>
  <c r="CS369" i="1" s="1"/>
  <c r="CT368" i="1"/>
  <c r="CS368" i="1" s="1"/>
  <c r="CT367" i="1"/>
  <c r="CS367" i="1" s="1"/>
  <c r="CT366" i="1"/>
  <c r="CS366" i="1" s="1"/>
  <c r="CT365" i="1"/>
  <c r="CS365" i="1" s="1"/>
  <c r="CT364" i="1"/>
  <c r="CS364" i="1" s="1"/>
  <c r="CT363" i="1"/>
  <c r="CS363" i="1" s="1"/>
  <c r="CT362" i="1"/>
  <c r="CS362" i="1" s="1"/>
  <c r="CT361" i="1"/>
  <c r="CS361" i="1" s="1"/>
  <c r="CT360" i="1"/>
  <c r="CS360" i="1" s="1"/>
  <c r="CT359" i="1"/>
  <c r="CS359" i="1" s="1"/>
  <c r="CT358" i="1"/>
  <c r="CS358" i="1" s="1"/>
  <c r="CT357" i="1"/>
  <c r="CS357" i="1" s="1"/>
  <c r="CT356" i="1"/>
  <c r="CS356" i="1" s="1"/>
  <c r="CT355" i="1"/>
  <c r="CS355" i="1" s="1"/>
  <c r="CT354" i="1"/>
  <c r="CS354" i="1" s="1"/>
  <c r="CT353" i="1"/>
  <c r="CS353" i="1" s="1"/>
  <c r="CT352" i="1"/>
  <c r="CS352" i="1" s="1"/>
  <c r="CT351" i="1"/>
  <c r="CS351" i="1" s="1"/>
  <c r="CT350" i="1"/>
  <c r="CS350" i="1" s="1"/>
  <c r="CT349" i="1"/>
  <c r="CS349" i="1" s="1"/>
  <c r="CT348" i="1"/>
  <c r="CS348" i="1" s="1"/>
  <c r="CT347" i="1"/>
  <c r="CS347" i="1" s="1"/>
  <c r="CT346" i="1"/>
  <c r="CS346" i="1" s="1"/>
  <c r="CT345" i="1"/>
  <c r="CS345" i="1" s="1"/>
  <c r="CT344" i="1"/>
  <c r="CS344" i="1" s="1"/>
  <c r="CT343" i="1"/>
  <c r="CS343" i="1" s="1"/>
  <c r="CT342" i="1"/>
  <c r="CS342" i="1" s="1"/>
  <c r="CT341" i="1"/>
  <c r="CS341" i="1" s="1"/>
  <c r="CT340" i="1"/>
  <c r="CS340" i="1" s="1"/>
  <c r="CT339" i="1"/>
  <c r="CS339" i="1" s="1"/>
  <c r="CT338" i="1"/>
  <c r="CS338" i="1" s="1"/>
  <c r="CT337" i="1"/>
  <c r="CS337" i="1" s="1"/>
  <c r="CT336" i="1"/>
  <c r="CS336" i="1" s="1"/>
  <c r="CT335" i="1"/>
  <c r="CS335" i="1" s="1"/>
  <c r="CT334" i="1"/>
  <c r="CS334" i="1" s="1"/>
  <c r="CT333" i="1"/>
  <c r="CS333" i="1" s="1"/>
  <c r="CT332" i="1"/>
  <c r="CS332" i="1" s="1"/>
  <c r="CT331" i="1"/>
  <c r="CS331" i="1" s="1"/>
  <c r="CT330" i="1"/>
  <c r="CS330" i="1" s="1"/>
  <c r="CT329" i="1"/>
  <c r="CS329" i="1" s="1"/>
  <c r="CT328" i="1"/>
  <c r="CS328" i="1" s="1"/>
  <c r="CT327" i="1"/>
  <c r="CS327" i="1" s="1"/>
  <c r="CT326" i="1"/>
  <c r="CS326" i="1" s="1"/>
  <c r="CT325" i="1"/>
  <c r="CS325" i="1" s="1"/>
  <c r="CT324" i="1"/>
  <c r="CS324" i="1" s="1"/>
  <c r="CT323" i="1"/>
  <c r="CS323" i="1" s="1"/>
  <c r="CT322" i="1"/>
  <c r="CS322" i="1" s="1"/>
  <c r="CT321" i="1"/>
  <c r="CS321" i="1" s="1"/>
  <c r="CT320" i="1"/>
  <c r="CS320" i="1" s="1"/>
  <c r="CT319" i="1"/>
  <c r="CS319" i="1" s="1"/>
  <c r="CT318" i="1"/>
  <c r="CS318" i="1" s="1"/>
  <c r="CT317" i="1"/>
  <c r="CS317" i="1" s="1"/>
  <c r="CT316" i="1"/>
  <c r="CS316" i="1" s="1"/>
  <c r="CT315" i="1"/>
  <c r="CS315" i="1" s="1"/>
  <c r="CT314" i="1"/>
  <c r="CS314" i="1" s="1"/>
  <c r="CT313" i="1"/>
  <c r="CS313" i="1" s="1"/>
  <c r="CT312" i="1"/>
  <c r="CS312" i="1" s="1"/>
  <c r="CT311" i="1"/>
  <c r="CS311" i="1" s="1"/>
  <c r="CT310" i="1"/>
  <c r="CS310" i="1" s="1"/>
  <c r="CT309" i="1"/>
  <c r="CS309" i="1" s="1"/>
  <c r="CT308" i="1"/>
  <c r="CS308" i="1" s="1"/>
  <c r="CT307" i="1"/>
  <c r="CS307" i="1" s="1"/>
  <c r="CT306" i="1"/>
  <c r="CS306" i="1" s="1"/>
  <c r="CT305" i="1"/>
  <c r="CS305" i="1" s="1"/>
  <c r="CT304" i="1"/>
  <c r="CS304" i="1" s="1"/>
  <c r="CT303" i="1"/>
  <c r="CS303" i="1" s="1"/>
  <c r="CT302" i="1"/>
  <c r="CS302" i="1" s="1"/>
  <c r="CT301" i="1"/>
  <c r="CS301" i="1" s="1"/>
  <c r="CT300" i="1"/>
  <c r="CS300" i="1" s="1"/>
  <c r="CT299" i="1"/>
  <c r="CS299" i="1" s="1"/>
  <c r="CT298" i="1"/>
  <c r="CS298" i="1" s="1"/>
  <c r="CT297" i="1"/>
  <c r="CS297" i="1" s="1"/>
  <c r="CT296" i="1"/>
  <c r="CS296" i="1" s="1"/>
  <c r="CT295" i="1"/>
  <c r="CS295" i="1" s="1"/>
  <c r="CT294" i="1"/>
  <c r="CS294" i="1" s="1"/>
  <c r="CT293" i="1"/>
  <c r="CS293" i="1" s="1"/>
  <c r="CT292" i="1"/>
  <c r="CS292" i="1" s="1"/>
  <c r="CT291" i="1"/>
  <c r="CS291" i="1" s="1"/>
  <c r="CT290" i="1"/>
  <c r="CS290" i="1" s="1"/>
  <c r="CT289" i="1"/>
  <c r="CS289" i="1" s="1"/>
  <c r="CT288" i="1"/>
  <c r="CS288" i="1" s="1"/>
  <c r="CT287" i="1"/>
  <c r="CS287" i="1" s="1"/>
  <c r="CT286" i="1"/>
  <c r="CS286" i="1" s="1"/>
  <c r="CT285" i="1"/>
  <c r="CS285" i="1" s="1"/>
  <c r="CT284" i="1"/>
  <c r="CS284" i="1" s="1"/>
  <c r="CT283" i="1"/>
  <c r="CS283" i="1" s="1"/>
  <c r="CT282" i="1"/>
  <c r="CS282" i="1" s="1"/>
  <c r="CT281" i="1"/>
  <c r="CS281" i="1" s="1"/>
  <c r="CT280" i="1"/>
  <c r="CS280" i="1" s="1"/>
  <c r="CT279" i="1"/>
  <c r="CS279" i="1" s="1"/>
  <c r="CT278" i="1"/>
  <c r="CS278" i="1" s="1"/>
  <c r="CT277" i="1"/>
  <c r="CS277" i="1" s="1"/>
  <c r="CT276" i="1"/>
  <c r="CS276" i="1" s="1"/>
  <c r="CT275" i="1"/>
  <c r="CS275" i="1" s="1"/>
  <c r="CT274" i="1"/>
  <c r="CS274" i="1" s="1"/>
  <c r="CT273" i="1"/>
  <c r="CS273" i="1" s="1"/>
  <c r="CT272" i="1"/>
  <c r="CS272" i="1" s="1"/>
  <c r="CT271" i="1"/>
  <c r="CS271" i="1" s="1"/>
  <c r="CT270" i="1"/>
  <c r="CS270" i="1" s="1"/>
  <c r="CT269" i="1"/>
  <c r="CS269" i="1" s="1"/>
  <c r="CT268" i="1"/>
  <c r="CS268" i="1" s="1"/>
  <c r="CT267" i="1"/>
  <c r="CS267" i="1" s="1"/>
  <c r="CT266" i="1"/>
  <c r="CS266" i="1" s="1"/>
  <c r="CT265" i="1"/>
  <c r="CS265" i="1" s="1"/>
  <c r="CT264" i="1"/>
  <c r="CS264" i="1" s="1"/>
  <c r="CT263" i="1"/>
  <c r="CS263" i="1" s="1"/>
  <c r="CT262" i="1"/>
  <c r="CS262" i="1" s="1"/>
  <c r="CT261" i="1"/>
  <c r="CS261" i="1" s="1"/>
  <c r="CT260" i="1"/>
  <c r="CS260" i="1" s="1"/>
  <c r="CT259" i="1"/>
  <c r="CS259" i="1" s="1"/>
  <c r="CT258" i="1"/>
  <c r="CS258" i="1" s="1"/>
  <c r="CT257" i="1"/>
  <c r="CS257" i="1" s="1"/>
  <c r="CT256" i="1"/>
  <c r="CS256" i="1" s="1"/>
  <c r="CT255" i="1"/>
  <c r="CS255" i="1" s="1"/>
  <c r="CT254" i="1"/>
  <c r="CS254" i="1" s="1"/>
  <c r="CT253" i="1"/>
  <c r="CS253" i="1" s="1"/>
  <c r="CT252" i="1"/>
  <c r="CS252" i="1" s="1"/>
  <c r="CT251" i="1"/>
  <c r="CS251" i="1" s="1"/>
  <c r="CT250" i="1"/>
  <c r="CS250" i="1" s="1"/>
  <c r="CT249" i="1"/>
  <c r="CS249" i="1" s="1"/>
  <c r="CT248" i="1"/>
  <c r="CS248" i="1" s="1"/>
  <c r="CT247" i="1"/>
  <c r="CS247" i="1" s="1"/>
  <c r="CR406" i="1"/>
  <c r="CQ406" i="1"/>
  <c r="CO406" i="1"/>
  <c r="CN406" i="1"/>
  <c r="CM406" i="1"/>
  <c r="CT45" i="1" l="1"/>
  <c r="CS45" i="1" s="1"/>
  <c r="CT183" i="1"/>
  <c r="CS183" i="1" s="1"/>
  <c r="CT192" i="1"/>
  <c r="CS192" i="1" s="1"/>
  <c r="CT212" i="1"/>
  <c r="CS212" i="1" s="1"/>
  <c r="CT215" i="1"/>
  <c r="CS215" i="1" s="1"/>
  <c r="CT223" i="1"/>
  <c r="CS223" i="1" s="1"/>
  <c r="CT240" i="1"/>
  <c r="CS240" i="1" s="1"/>
  <c r="CT246" i="1"/>
  <c r="CS246" i="1" s="1"/>
  <c r="CT245" i="1"/>
  <c r="CS245" i="1" s="1"/>
  <c r="CT244" i="1"/>
  <c r="CS244" i="1" s="1"/>
  <c r="CT243" i="1"/>
  <c r="CS243" i="1" s="1"/>
  <c r="CT242" i="1"/>
  <c r="CS242" i="1" s="1"/>
  <c r="CT241" i="1"/>
  <c r="CS241" i="1" s="1"/>
  <c r="CT239" i="1"/>
  <c r="CS239" i="1" s="1"/>
  <c r="CT238" i="1"/>
  <c r="CS238" i="1" s="1"/>
  <c r="CT237" i="1"/>
  <c r="CS237" i="1" s="1"/>
  <c r="CT236" i="1"/>
  <c r="CS236" i="1" s="1"/>
  <c r="CT235" i="1"/>
  <c r="CS235" i="1" s="1"/>
  <c r="CT234" i="1"/>
  <c r="CS234" i="1" s="1"/>
  <c r="CT233" i="1"/>
  <c r="CS233" i="1" s="1"/>
  <c r="CT232" i="1"/>
  <c r="CS232" i="1" s="1"/>
  <c r="CT231" i="1"/>
  <c r="CS231" i="1" s="1"/>
  <c r="CT230" i="1"/>
  <c r="CS230" i="1" s="1"/>
  <c r="CT229" i="1"/>
  <c r="CS229" i="1" s="1"/>
  <c r="CT228" i="1"/>
  <c r="CS228" i="1" s="1"/>
  <c r="CT227" i="1"/>
  <c r="CS227" i="1" s="1"/>
  <c r="CT226" i="1"/>
  <c r="CS226" i="1" s="1"/>
  <c r="CT225" i="1"/>
  <c r="CS225" i="1" s="1"/>
  <c r="CT224" i="1"/>
  <c r="CS224" i="1" s="1"/>
  <c r="CT222" i="1"/>
  <c r="CS222" i="1" s="1"/>
  <c r="CT221" i="1"/>
  <c r="CS221" i="1" s="1"/>
  <c r="CT220" i="1"/>
  <c r="CS220" i="1" s="1"/>
  <c r="CT219" i="1"/>
  <c r="CS219" i="1" s="1"/>
  <c r="CT218" i="1"/>
  <c r="CS218" i="1" s="1"/>
  <c r="CT217" i="1"/>
  <c r="CS217" i="1" s="1"/>
  <c r="CT216" i="1"/>
  <c r="CS216" i="1" s="1"/>
  <c r="CT214" i="1"/>
  <c r="CS214" i="1" s="1"/>
  <c r="CT213" i="1"/>
  <c r="CS213" i="1" s="1"/>
  <c r="CT211" i="1"/>
  <c r="CS211" i="1" s="1"/>
  <c r="CT210" i="1"/>
  <c r="CS210" i="1" s="1"/>
  <c r="CT209" i="1"/>
  <c r="CS209" i="1" s="1"/>
  <c r="CT208" i="1"/>
  <c r="CS208" i="1" s="1"/>
  <c r="CT207" i="1"/>
  <c r="CS207" i="1" s="1"/>
  <c r="CT206" i="1"/>
  <c r="CS206" i="1" s="1"/>
  <c r="CT205" i="1"/>
  <c r="CS205" i="1" s="1"/>
  <c r="CT204" i="1"/>
  <c r="CS204" i="1" s="1"/>
  <c r="CT203" i="1"/>
  <c r="CS203" i="1" s="1"/>
  <c r="CT202" i="1"/>
  <c r="CS202" i="1" s="1"/>
  <c r="CT201" i="1"/>
  <c r="CS201" i="1" s="1"/>
  <c r="CT200" i="1"/>
  <c r="CS200" i="1" s="1"/>
  <c r="CT199" i="1"/>
  <c r="CS199" i="1" s="1"/>
  <c r="CT198" i="1"/>
  <c r="CS198" i="1" s="1"/>
  <c r="CT197" i="1"/>
  <c r="CS197" i="1" s="1"/>
  <c r="CT196" i="1"/>
  <c r="CS196" i="1" s="1"/>
  <c r="CT195" i="1"/>
  <c r="CS195" i="1" s="1"/>
  <c r="CT194" i="1"/>
  <c r="CS194" i="1" s="1"/>
  <c r="CT193" i="1"/>
  <c r="CS193" i="1" s="1"/>
  <c r="CT191" i="1"/>
  <c r="CS191" i="1" s="1"/>
  <c r="CT190" i="1"/>
  <c r="CS190" i="1" s="1"/>
  <c r="CT189" i="1"/>
  <c r="CS189" i="1" s="1"/>
  <c r="CT188" i="1"/>
  <c r="CS188" i="1" s="1"/>
  <c r="CT187" i="1"/>
  <c r="CS187" i="1" s="1"/>
  <c r="CT186" i="1"/>
  <c r="CS186" i="1" s="1"/>
  <c r="CT185" i="1"/>
  <c r="CS185" i="1" s="1"/>
  <c r="CT184" i="1"/>
  <c r="CS184" i="1" s="1"/>
  <c r="CT182" i="1"/>
  <c r="CS182" i="1" s="1"/>
  <c r="CT181" i="1"/>
  <c r="CS181" i="1" s="1"/>
  <c r="CT180" i="1"/>
  <c r="CS180" i="1" s="1"/>
  <c r="CT179" i="1"/>
  <c r="CS179" i="1" s="1"/>
  <c r="CT178" i="1"/>
  <c r="CS178" i="1" s="1"/>
  <c r="CT177" i="1"/>
  <c r="CS177" i="1" s="1"/>
  <c r="CT176" i="1"/>
  <c r="CS176" i="1" s="1"/>
  <c r="CT175" i="1"/>
  <c r="CS175" i="1" s="1"/>
  <c r="CT174" i="1"/>
  <c r="CS174" i="1" s="1"/>
  <c r="CT173" i="1"/>
  <c r="CS173" i="1" s="1"/>
  <c r="CT172" i="1"/>
  <c r="CS172" i="1" s="1"/>
  <c r="CT171" i="1"/>
  <c r="CS171" i="1" s="1"/>
  <c r="CT170" i="1"/>
  <c r="CS170" i="1" s="1"/>
  <c r="CT169" i="1"/>
  <c r="CS169" i="1" s="1"/>
  <c r="CT168" i="1"/>
  <c r="CS168" i="1" s="1"/>
  <c r="CT167" i="1"/>
  <c r="CS167" i="1" s="1"/>
  <c r="CT166" i="1"/>
  <c r="CS166" i="1" s="1"/>
  <c r="CT165" i="1"/>
  <c r="CS165" i="1" s="1"/>
  <c r="CT164" i="1"/>
  <c r="CS164" i="1" s="1"/>
  <c r="CT163" i="1"/>
  <c r="CS163" i="1" s="1"/>
  <c r="CT162" i="1"/>
  <c r="CS162" i="1" s="1"/>
  <c r="CT161" i="1"/>
  <c r="CS161" i="1" s="1"/>
  <c r="CT160" i="1"/>
  <c r="CS160" i="1" s="1"/>
  <c r="CT159" i="1"/>
  <c r="CS159" i="1" s="1"/>
  <c r="CT158" i="1"/>
  <c r="CS158" i="1" s="1"/>
  <c r="CT157" i="1"/>
  <c r="CS157" i="1" s="1"/>
  <c r="CT156" i="1"/>
  <c r="CS156" i="1" s="1"/>
  <c r="CT155" i="1"/>
  <c r="CS155" i="1" s="1"/>
  <c r="CT154" i="1"/>
  <c r="CS154" i="1" s="1"/>
  <c r="CT153" i="1"/>
  <c r="CS153" i="1" s="1"/>
  <c r="CT152" i="1"/>
  <c r="CS152" i="1" s="1"/>
  <c r="CT151" i="1"/>
  <c r="CS151" i="1" s="1"/>
  <c r="CT150" i="1"/>
  <c r="CS150" i="1" s="1"/>
  <c r="CT149" i="1"/>
  <c r="CS149" i="1" s="1"/>
  <c r="CT148" i="1"/>
  <c r="CS148" i="1" s="1"/>
  <c r="CT147" i="1"/>
  <c r="CS147" i="1" s="1"/>
  <c r="CT146" i="1"/>
  <c r="CS146" i="1" s="1"/>
  <c r="CT145" i="1"/>
  <c r="CS145" i="1" s="1"/>
  <c r="CT144" i="1"/>
  <c r="CS144" i="1" s="1"/>
  <c r="CT143" i="1"/>
  <c r="CS143" i="1" s="1"/>
  <c r="CT142" i="1"/>
  <c r="CS142" i="1" s="1"/>
  <c r="CT141" i="1"/>
  <c r="CS141" i="1" s="1"/>
  <c r="CT140" i="1"/>
  <c r="CS140" i="1" s="1"/>
  <c r="CT139" i="1"/>
  <c r="CS139" i="1" s="1"/>
  <c r="CT138" i="1"/>
  <c r="CS138" i="1" s="1"/>
  <c r="CT137" i="1"/>
  <c r="CS137" i="1" s="1"/>
  <c r="CT136" i="1"/>
  <c r="CS136" i="1" s="1"/>
  <c r="CT135" i="1"/>
  <c r="CS135" i="1" s="1"/>
  <c r="CT134" i="1"/>
  <c r="CS134" i="1" s="1"/>
  <c r="CT133" i="1"/>
  <c r="CS133" i="1" s="1"/>
  <c r="CT132" i="1"/>
  <c r="CS132" i="1" s="1"/>
  <c r="CT131" i="1"/>
  <c r="CS131" i="1" s="1"/>
  <c r="CT130" i="1"/>
  <c r="CS130" i="1" s="1"/>
  <c r="CT129" i="1"/>
  <c r="CS129" i="1" s="1"/>
  <c r="CT128" i="1"/>
  <c r="CS128" i="1" s="1"/>
  <c r="CT127" i="1"/>
  <c r="CS127" i="1" s="1"/>
  <c r="CT126" i="1"/>
  <c r="CS126" i="1" s="1"/>
  <c r="CT125" i="1"/>
  <c r="CS125" i="1" s="1"/>
  <c r="CT124" i="1"/>
  <c r="CS124" i="1" s="1"/>
  <c r="CT123" i="1"/>
  <c r="CS123" i="1" s="1"/>
  <c r="CT122" i="1"/>
  <c r="CS122" i="1" s="1"/>
  <c r="CT121" i="1"/>
  <c r="CS121" i="1" s="1"/>
  <c r="CT120" i="1"/>
  <c r="CS120" i="1" s="1"/>
  <c r="CT119" i="1"/>
  <c r="CS119" i="1" s="1"/>
  <c r="CT118" i="1"/>
  <c r="CS118" i="1" s="1"/>
  <c r="CT117" i="1"/>
  <c r="CS117" i="1" s="1"/>
  <c r="CT116" i="1"/>
  <c r="CS116" i="1" s="1"/>
  <c r="CT115" i="1"/>
  <c r="CS115" i="1" s="1"/>
  <c r="CT114" i="1"/>
  <c r="CS114" i="1" s="1"/>
  <c r="CT113" i="1"/>
  <c r="CS113" i="1" s="1"/>
  <c r="CT112" i="1"/>
  <c r="CS112" i="1" s="1"/>
  <c r="CT111" i="1"/>
  <c r="CS111" i="1" s="1"/>
  <c r="CT110" i="1"/>
  <c r="CS110" i="1" s="1"/>
  <c r="CT109" i="1"/>
  <c r="CS109" i="1" s="1"/>
  <c r="CT108" i="1"/>
  <c r="CS108" i="1" s="1"/>
  <c r="CT107" i="1"/>
  <c r="CS107" i="1" s="1"/>
  <c r="CT106" i="1"/>
  <c r="CS106" i="1" s="1"/>
  <c r="CT105" i="1"/>
  <c r="CS105" i="1" s="1"/>
  <c r="CT104" i="1"/>
  <c r="CS104" i="1" s="1"/>
  <c r="CT103" i="1"/>
  <c r="CS103" i="1" s="1"/>
  <c r="CT102" i="1"/>
  <c r="CS102" i="1" s="1"/>
  <c r="CT101" i="1"/>
  <c r="CS101" i="1" s="1"/>
  <c r="CT100" i="1"/>
  <c r="CS100" i="1" s="1"/>
  <c r="CT99" i="1"/>
  <c r="CS99" i="1" s="1"/>
  <c r="CT98" i="1"/>
  <c r="CS98" i="1" s="1"/>
  <c r="CT97" i="1"/>
  <c r="CS97" i="1" s="1"/>
  <c r="CT96" i="1"/>
  <c r="CS96" i="1" s="1"/>
  <c r="CT95" i="1"/>
  <c r="CS95" i="1" s="1"/>
  <c r="CT94" i="1"/>
  <c r="CS94" i="1" s="1"/>
  <c r="CT93" i="1"/>
  <c r="CS93" i="1" s="1"/>
  <c r="CT92" i="1"/>
  <c r="CS92" i="1" s="1"/>
  <c r="CT91" i="1"/>
  <c r="CS91" i="1" s="1"/>
  <c r="CT90" i="1"/>
  <c r="CS90" i="1" s="1"/>
  <c r="CT89" i="1"/>
  <c r="CS89" i="1" s="1"/>
  <c r="CT88" i="1"/>
  <c r="CS88" i="1" s="1"/>
  <c r="CT87" i="1"/>
  <c r="CS87" i="1" s="1"/>
  <c r="CT86" i="1"/>
  <c r="CS86" i="1" s="1"/>
  <c r="CT85" i="1"/>
  <c r="CS85" i="1" s="1"/>
  <c r="CT84" i="1"/>
  <c r="CS84" i="1" s="1"/>
  <c r="CT83" i="1"/>
  <c r="CS83" i="1" s="1"/>
  <c r="CT82" i="1"/>
  <c r="CS82" i="1" s="1"/>
  <c r="CT81" i="1"/>
  <c r="CS81" i="1" s="1"/>
  <c r="CT80" i="1"/>
  <c r="CS80" i="1" s="1"/>
  <c r="CT79" i="1"/>
  <c r="CS79" i="1" s="1"/>
  <c r="CT78" i="1"/>
  <c r="CS78" i="1" s="1"/>
  <c r="CT77" i="1"/>
  <c r="CS77" i="1" s="1"/>
  <c r="CT76" i="1"/>
  <c r="CS76" i="1" s="1"/>
  <c r="CT75" i="1"/>
  <c r="CS75" i="1" s="1"/>
  <c r="CT74" i="1"/>
  <c r="CS74" i="1" s="1"/>
  <c r="CT73" i="1"/>
  <c r="CS73" i="1" s="1"/>
  <c r="CT72" i="1"/>
  <c r="CS72" i="1" s="1"/>
  <c r="CT71" i="1"/>
  <c r="CS71" i="1" s="1"/>
  <c r="CT70" i="1"/>
  <c r="CS70" i="1" s="1"/>
  <c r="CT69" i="1"/>
  <c r="CS69" i="1" s="1"/>
  <c r="CT68" i="1"/>
  <c r="CS68" i="1" s="1"/>
  <c r="CT67" i="1"/>
  <c r="CS67" i="1" s="1"/>
  <c r="CT66" i="1"/>
  <c r="CS66" i="1" s="1"/>
  <c r="CT65" i="1"/>
  <c r="CS65" i="1" s="1"/>
  <c r="CT64" i="1"/>
  <c r="CS64" i="1" s="1"/>
  <c r="CT63" i="1"/>
  <c r="CS63" i="1" s="1"/>
  <c r="CT62" i="1"/>
  <c r="CS62" i="1" s="1"/>
  <c r="CT61" i="1"/>
  <c r="CS61" i="1" s="1"/>
  <c r="CT60" i="1"/>
  <c r="CS60" i="1" s="1"/>
  <c r="CT59" i="1"/>
  <c r="CS59" i="1" s="1"/>
  <c r="CT58" i="1"/>
  <c r="CS58" i="1" s="1"/>
  <c r="CT57" i="1"/>
  <c r="CS57" i="1" s="1"/>
  <c r="CT56" i="1"/>
  <c r="CS56" i="1" s="1"/>
  <c r="CT55" i="1"/>
  <c r="CS55" i="1" s="1"/>
  <c r="CT54" i="1"/>
  <c r="CS54" i="1" s="1"/>
  <c r="CT53" i="1"/>
  <c r="CS53" i="1" s="1"/>
  <c r="CT52" i="1"/>
  <c r="CS52" i="1" s="1"/>
  <c r="CT51" i="1"/>
  <c r="CS51" i="1" s="1"/>
  <c r="CT50" i="1"/>
  <c r="CS50" i="1" s="1"/>
  <c r="CT49" i="1"/>
  <c r="CS49" i="1" s="1"/>
  <c r="CT48" i="1"/>
  <c r="CS48" i="1" s="1"/>
  <c r="CT47" i="1"/>
  <c r="CS47" i="1" s="1"/>
  <c r="CT46" i="1"/>
  <c r="CS46" i="1" s="1"/>
  <c r="CT44" i="1"/>
  <c r="CS44" i="1" s="1"/>
  <c r="CT43" i="1"/>
  <c r="CS43" i="1" s="1"/>
  <c r="CT42" i="1"/>
  <c r="CS42" i="1" s="1"/>
  <c r="CT41" i="1"/>
  <c r="CS41" i="1" s="1"/>
  <c r="CT40" i="1"/>
  <c r="CS40" i="1" s="1"/>
  <c r="CT39" i="1"/>
  <c r="CS39" i="1" s="1"/>
  <c r="CT38" i="1"/>
  <c r="CS38" i="1" s="1"/>
  <c r="CT37" i="1"/>
  <c r="CS37" i="1" s="1"/>
  <c r="CT36" i="1"/>
  <c r="CS36" i="1" s="1"/>
  <c r="CT35" i="1"/>
  <c r="CS35" i="1" s="1"/>
  <c r="CT34" i="1"/>
  <c r="CS34" i="1" s="1"/>
  <c r="CT33" i="1"/>
  <c r="CS33" i="1" s="1"/>
  <c r="CT32" i="1"/>
  <c r="CS32" i="1" s="1"/>
  <c r="CT31" i="1"/>
  <c r="CS31" i="1" s="1"/>
  <c r="CT30" i="1"/>
  <c r="CS30" i="1" s="1"/>
  <c r="CT29" i="1"/>
  <c r="CS29" i="1" s="1"/>
  <c r="CT28" i="1"/>
  <c r="CS28" i="1" s="1"/>
  <c r="CT27" i="1"/>
  <c r="CS27" i="1" s="1"/>
  <c r="CT26" i="1"/>
  <c r="CS26" i="1" s="1"/>
  <c r="CT25" i="1"/>
  <c r="CS25" i="1" s="1"/>
  <c r="CT24" i="1"/>
  <c r="CS24" i="1" s="1"/>
  <c r="CT23" i="1"/>
  <c r="CS23" i="1" s="1"/>
  <c r="CT22" i="1"/>
  <c r="CS22" i="1" s="1"/>
  <c r="CT21" i="1"/>
  <c r="CS21" i="1" s="1"/>
  <c r="CT20" i="1"/>
  <c r="CS20" i="1" s="1"/>
  <c r="CT19" i="1"/>
  <c r="CS19" i="1" s="1"/>
  <c r="CT18" i="1"/>
  <c r="CS18" i="1" s="1"/>
  <c r="CT17" i="1"/>
  <c r="CS17" i="1" s="1"/>
  <c r="CT16" i="1"/>
  <c r="CS16" i="1" s="1"/>
  <c r="CT15" i="1"/>
  <c r="CS15" i="1" s="1"/>
  <c r="CT14" i="1"/>
  <c r="CS14" i="1" s="1"/>
  <c r="CT13" i="1"/>
  <c r="CS13" i="1" s="1"/>
  <c r="CT12" i="1"/>
  <c r="CS12" i="1" s="1"/>
  <c r="CT11" i="1"/>
  <c r="CS11" i="1" s="1"/>
  <c r="CT10" i="1"/>
  <c r="CS10" i="1" s="1"/>
  <c r="CT9" i="1"/>
  <c r="CS9" i="1" s="1"/>
  <c r="CT8" i="1"/>
  <c r="CS8" i="1" s="1"/>
  <c r="CT7" i="1"/>
  <c r="CS7" i="1" s="1"/>
  <c r="CT6" i="1"/>
  <c r="CS6" i="1" s="1"/>
  <c r="CT5" i="1"/>
  <c r="CS5" i="1" s="1"/>
  <c r="CT4" i="1" l="1"/>
  <c r="CS4" i="1" s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247" i="1"/>
  <c r="AN246" i="1"/>
  <c r="AN245" i="1"/>
  <c r="AN244" i="1"/>
  <c r="AN243" i="1"/>
  <c r="AN242" i="1"/>
  <c r="AN241" i="1"/>
  <c r="AN240" i="1"/>
  <c r="AN239" i="1"/>
  <c r="AN238" i="1"/>
  <c r="AA238" i="1"/>
  <c r="AN237" i="1"/>
  <c r="AA237" i="1"/>
  <c r="AN236" i="1"/>
  <c r="AN235" i="1"/>
  <c r="AA235" i="1"/>
  <c r="AN234" i="1"/>
  <c r="AN233" i="1"/>
  <c r="AN232" i="1"/>
  <c r="AN231" i="1"/>
  <c r="AN230" i="1"/>
  <c r="AA230" i="1"/>
  <c r="AN229" i="1"/>
  <c r="AN228" i="1"/>
  <c r="AN227" i="1"/>
  <c r="AN226" i="1"/>
  <c r="AA226" i="1"/>
  <c r="AN225" i="1"/>
  <c r="AN224" i="1"/>
  <c r="AN223" i="1"/>
  <c r="AA223" i="1"/>
  <c r="AN222" i="1"/>
  <c r="AN221" i="1"/>
  <c r="AA221" i="1"/>
  <c r="AN220" i="1"/>
  <c r="AA220" i="1"/>
  <c r="AN219" i="1"/>
  <c r="AA219" i="1"/>
  <c r="AN218" i="1"/>
  <c r="AA218" i="1"/>
  <c r="AN217" i="1"/>
  <c r="AA217" i="1"/>
  <c r="AN216" i="1"/>
  <c r="AA216" i="1"/>
  <c r="AN215" i="1"/>
  <c r="AA215" i="1"/>
  <c r="AN214" i="1"/>
  <c r="AN213" i="1"/>
  <c r="AA213" i="1"/>
  <c r="AN212" i="1"/>
  <c r="AA212" i="1"/>
  <c r="AN211" i="1"/>
  <c r="AA211" i="1"/>
  <c r="AN210" i="1"/>
  <c r="AA210" i="1"/>
  <c r="AN209" i="1"/>
  <c r="AN208" i="1"/>
  <c r="AA208" i="1"/>
  <c r="AN207" i="1"/>
  <c r="AA207" i="1"/>
  <c r="AN206" i="1"/>
  <c r="AN205" i="1"/>
  <c r="AA205" i="1"/>
  <c r="AN204" i="1"/>
  <c r="AA204" i="1"/>
  <c r="AN203" i="1"/>
  <c r="AN202" i="1"/>
  <c r="AN201" i="1"/>
  <c r="AA201" i="1"/>
  <c r="AN200" i="1"/>
  <c r="AA200" i="1"/>
  <c r="AN199" i="1"/>
  <c r="AA199" i="1"/>
  <c r="AN198" i="1"/>
  <c r="AA198" i="1"/>
  <c r="AN197" i="1"/>
  <c r="AA197" i="1"/>
  <c r="AN196" i="1"/>
  <c r="AA196" i="1"/>
  <c r="AN195" i="1"/>
  <c r="AA195" i="1"/>
  <c r="AN194" i="1"/>
  <c r="AA194" i="1"/>
  <c r="AN193" i="1"/>
  <c r="AA193" i="1"/>
  <c r="AN192" i="1"/>
  <c r="AA192" i="1"/>
  <c r="AN191" i="1"/>
  <c r="AA191" i="1"/>
  <c r="AN190" i="1"/>
  <c r="AA190" i="1"/>
  <c r="AN189" i="1"/>
  <c r="AA189" i="1"/>
  <c r="AN188" i="1"/>
  <c r="AA188" i="1"/>
  <c r="AN187" i="1"/>
  <c r="AN186" i="1"/>
  <c r="AN185" i="1"/>
  <c r="AA185" i="1"/>
  <c r="AN184" i="1"/>
  <c r="AN183" i="1"/>
  <c r="AA183" i="1"/>
  <c r="AN182" i="1"/>
  <c r="AA182" i="1"/>
  <c r="AN181" i="1"/>
  <c r="AA181" i="1"/>
  <c r="AN180" i="1"/>
  <c r="AA180" i="1"/>
  <c r="AN179" i="1"/>
  <c r="AA179" i="1"/>
  <c r="AN178" i="1"/>
  <c r="AA178" i="1"/>
  <c r="AN177" i="1"/>
  <c r="AA177" i="1"/>
  <c r="AN176" i="1"/>
  <c r="AA176" i="1"/>
  <c r="AN175" i="1"/>
  <c r="AA175" i="1"/>
  <c r="AN174" i="1"/>
  <c r="AA174" i="1"/>
  <c r="AN173" i="1"/>
  <c r="AA173" i="1"/>
  <c r="AN172" i="1"/>
  <c r="AA172" i="1"/>
  <c r="AN171" i="1"/>
  <c r="AA171" i="1"/>
  <c r="AN170" i="1"/>
  <c r="AA170" i="1"/>
  <c r="AN169" i="1"/>
  <c r="AN168" i="1"/>
  <c r="AA168" i="1"/>
  <c r="AN167" i="1"/>
  <c r="AA167" i="1"/>
  <c r="AN166" i="1"/>
  <c r="AA166" i="1"/>
  <c r="AN165" i="1"/>
  <c r="AA165" i="1"/>
  <c r="AN164" i="1"/>
  <c r="AA164" i="1"/>
  <c r="AN163" i="1"/>
  <c r="AN162" i="1"/>
  <c r="AA162" i="1"/>
  <c r="AN161" i="1"/>
  <c r="AA161" i="1"/>
  <c r="AN160" i="1"/>
  <c r="AA160" i="1"/>
  <c r="AN159" i="1"/>
  <c r="AA159" i="1"/>
  <c r="AN158" i="1"/>
  <c r="AA158" i="1"/>
  <c r="AN157" i="1"/>
  <c r="AA157" i="1"/>
  <c r="AN156" i="1"/>
  <c r="AA156" i="1"/>
  <c r="AN155" i="1"/>
  <c r="AA155" i="1"/>
  <c r="AN154" i="1"/>
  <c r="AN153" i="1"/>
  <c r="AN152" i="1"/>
  <c r="AN151" i="1"/>
  <c r="AA151" i="1"/>
  <c r="AN150" i="1"/>
  <c r="AA150" i="1"/>
  <c r="AN149" i="1"/>
  <c r="AN148" i="1"/>
  <c r="AA148" i="1"/>
  <c r="AN147" i="1"/>
  <c r="AA147" i="1"/>
  <c r="AN146" i="1"/>
  <c r="AA146" i="1"/>
  <c r="AN145" i="1"/>
  <c r="AA145" i="1"/>
  <c r="AN144" i="1"/>
  <c r="AA144" i="1"/>
  <c r="AN143" i="1"/>
  <c r="AN142" i="1"/>
  <c r="AA142" i="1"/>
  <c r="AN141" i="1"/>
  <c r="AA141" i="1"/>
  <c r="AN140" i="1"/>
  <c r="AA140" i="1"/>
  <c r="AN139" i="1"/>
  <c r="AA139" i="1"/>
  <c r="AN138" i="1"/>
  <c r="AN137" i="1"/>
  <c r="AA137" i="1"/>
  <c r="AN136" i="1"/>
  <c r="AN135" i="1"/>
  <c r="AN134" i="1"/>
  <c r="AA134" i="1"/>
  <c r="AN133" i="1"/>
  <c r="AA133" i="1"/>
  <c r="AN132" i="1"/>
  <c r="AN131" i="1"/>
  <c r="AA131" i="1"/>
  <c r="AN130" i="1"/>
  <c r="AA130" i="1"/>
  <c r="AN129" i="1"/>
  <c r="AA129" i="1"/>
  <c r="AN128" i="1"/>
  <c r="AN127" i="1"/>
  <c r="AA127" i="1"/>
  <c r="AN126" i="1"/>
  <c r="AN125" i="1"/>
  <c r="AN124" i="1"/>
  <c r="AA124" i="1"/>
  <c r="AN123" i="1"/>
  <c r="AN122" i="1"/>
  <c r="AA122" i="1"/>
  <c r="AN121" i="1"/>
  <c r="AA121" i="1"/>
  <c r="AN120" i="1"/>
  <c r="AN119" i="1"/>
  <c r="AA119" i="1"/>
  <c r="AN118" i="1"/>
  <c r="AA118" i="1"/>
  <c r="AN117" i="1"/>
  <c r="AA117" i="1"/>
  <c r="AN116" i="1"/>
  <c r="AA116" i="1"/>
  <c r="AN115" i="1"/>
  <c r="AA115" i="1"/>
  <c r="AN114" i="1"/>
  <c r="AA114" i="1"/>
  <c r="AN113" i="1"/>
  <c r="AA113" i="1"/>
  <c r="AN112" i="1"/>
  <c r="AA112" i="1"/>
  <c r="AN111" i="1"/>
  <c r="AA111" i="1"/>
  <c r="AN110" i="1"/>
  <c r="AA110" i="1"/>
  <c r="AN109" i="1"/>
  <c r="AA109" i="1"/>
  <c r="AN108" i="1"/>
  <c r="AN107" i="1"/>
  <c r="AA107" i="1"/>
  <c r="AN106" i="1"/>
  <c r="AN105" i="1"/>
  <c r="AA105" i="1"/>
  <c r="AN104" i="1"/>
  <c r="AA104" i="1"/>
  <c r="AN103" i="1"/>
  <c r="AA103" i="1"/>
  <c r="AN102" i="1"/>
  <c r="AN101" i="1"/>
  <c r="AA101" i="1"/>
  <c r="AN100" i="1"/>
  <c r="AN99" i="1"/>
  <c r="AA99" i="1"/>
  <c r="AN98" i="1"/>
  <c r="AA98" i="1"/>
  <c r="AN97" i="1"/>
  <c r="AA97" i="1"/>
  <c r="AN96" i="1"/>
  <c r="AA96" i="1"/>
  <c r="AN95" i="1"/>
  <c r="AA95" i="1"/>
  <c r="AN94" i="1"/>
  <c r="AN93" i="1"/>
  <c r="AA93" i="1"/>
  <c r="AN92" i="1"/>
  <c r="AN91" i="1"/>
  <c r="AA91" i="1"/>
  <c r="AN90" i="1"/>
  <c r="AA90" i="1"/>
  <c r="AN89" i="1"/>
  <c r="AA89" i="1"/>
  <c r="AN88" i="1"/>
  <c r="AN87" i="1"/>
  <c r="AN86" i="1"/>
  <c r="AA86" i="1"/>
  <c r="AN85" i="1"/>
  <c r="AA85" i="1"/>
  <c r="AN84" i="1"/>
  <c r="AA84" i="1"/>
  <c r="AN83" i="1"/>
  <c r="AA83" i="1"/>
  <c r="AN82" i="1"/>
  <c r="AA82" i="1"/>
  <c r="AN81" i="1"/>
  <c r="AA81" i="1"/>
  <c r="AN80" i="1"/>
  <c r="AA80" i="1"/>
  <c r="AN79" i="1"/>
  <c r="AA79" i="1"/>
  <c r="AN78" i="1"/>
  <c r="AN77" i="1"/>
  <c r="AA77" i="1"/>
  <c r="AN76" i="1"/>
  <c r="AA76" i="1"/>
  <c r="AN75" i="1"/>
  <c r="AA75" i="1"/>
  <c r="AN74" i="1"/>
  <c r="AN73" i="1"/>
  <c r="AA73" i="1"/>
  <c r="AN72" i="1"/>
  <c r="AA72" i="1"/>
  <c r="AN71" i="1"/>
  <c r="AN70" i="1"/>
  <c r="AA70" i="1"/>
  <c r="AN69" i="1"/>
  <c r="AA69" i="1"/>
  <c r="AN68" i="1"/>
  <c r="AA68" i="1"/>
  <c r="AN67" i="1"/>
  <c r="AN66" i="1"/>
  <c r="AA66" i="1"/>
  <c r="AN65" i="1"/>
  <c r="AA65" i="1"/>
  <c r="AN64" i="1"/>
  <c r="AA64" i="1"/>
  <c r="AN63" i="1"/>
  <c r="AA63" i="1"/>
  <c r="AN62" i="1"/>
  <c r="AA62" i="1"/>
  <c r="AN61" i="1"/>
  <c r="AA61" i="1"/>
  <c r="AN60" i="1"/>
  <c r="AA60" i="1"/>
  <c r="AN59" i="1"/>
  <c r="AA59" i="1"/>
  <c r="AN58" i="1"/>
  <c r="AN57" i="1"/>
  <c r="AA57" i="1"/>
  <c r="AN56" i="1"/>
  <c r="AA56" i="1"/>
  <c r="AN55" i="1"/>
  <c r="AA55" i="1"/>
  <c r="AN54" i="1"/>
  <c r="AA54" i="1"/>
  <c r="AN53" i="1"/>
  <c r="AA53" i="1"/>
  <c r="AN52" i="1"/>
  <c r="AA52" i="1"/>
  <c r="AN51" i="1"/>
  <c r="AA51" i="1"/>
  <c r="AN50" i="1"/>
  <c r="AA50" i="1"/>
  <c r="AN49" i="1"/>
  <c r="AA49" i="1"/>
  <c r="AN48" i="1"/>
  <c r="AN47" i="1"/>
  <c r="AA47" i="1"/>
  <c r="AN46" i="1"/>
  <c r="AA46" i="1"/>
  <c r="AN45" i="1"/>
  <c r="AA45" i="1"/>
  <c r="AN44" i="1"/>
  <c r="AA44" i="1"/>
  <c r="AN43" i="1"/>
  <c r="AA43" i="1"/>
  <c r="AN42" i="1"/>
  <c r="AA42" i="1"/>
  <c r="AN41" i="1"/>
  <c r="AN40" i="1"/>
  <c r="AA40" i="1"/>
  <c r="AN39" i="1"/>
  <c r="AN38" i="1"/>
  <c r="AN37" i="1"/>
  <c r="AA37" i="1"/>
  <c r="AN36" i="1"/>
  <c r="AN35" i="1"/>
  <c r="AA35" i="1"/>
  <c r="AN34" i="1"/>
  <c r="AN33" i="1"/>
  <c r="AA33" i="1"/>
  <c r="AN32" i="1"/>
  <c r="AA32" i="1"/>
  <c r="AN31" i="1"/>
  <c r="AA31" i="1"/>
  <c r="AN30" i="1"/>
  <c r="AN29" i="1"/>
  <c r="AA29" i="1"/>
  <c r="AN28" i="1"/>
  <c r="AN27" i="1"/>
  <c r="AN26" i="1"/>
  <c r="AA26" i="1"/>
  <c r="AN25" i="1"/>
  <c r="AA25" i="1"/>
  <c r="AN24" i="1"/>
  <c r="AA24" i="1"/>
  <c r="AN23" i="1"/>
  <c r="AA23" i="1"/>
  <c r="AN22" i="1"/>
  <c r="AA22" i="1"/>
  <c r="AN21" i="1"/>
  <c r="AA21" i="1"/>
  <c r="AN20" i="1"/>
  <c r="AA20" i="1"/>
  <c r="AN19" i="1"/>
  <c r="AA19" i="1"/>
  <c r="AN18" i="1"/>
  <c r="AA18" i="1"/>
  <c r="AN17" i="1"/>
  <c r="AN16" i="1"/>
  <c r="AA16" i="1"/>
  <c r="AN15" i="1"/>
  <c r="AA15" i="1"/>
  <c r="AN14" i="1"/>
  <c r="AA14" i="1"/>
  <c r="AN13" i="1"/>
  <c r="AA13" i="1"/>
  <c r="AN12" i="1"/>
  <c r="AA12" i="1"/>
  <c r="AN11" i="1"/>
  <c r="AA11" i="1"/>
  <c r="AN10" i="1"/>
  <c r="AN9" i="1"/>
  <c r="AA9" i="1"/>
  <c r="AN8" i="1"/>
  <c r="AA8" i="1"/>
  <c r="AN7" i="1"/>
  <c r="AN6" i="1"/>
  <c r="AA6" i="1"/>
  <c r="AN5" i="1"/>
  <c r="AA5" i="1"/>
  <c r="AN4" i="1"/>
  <c r="AA4" i="1"/>
  <c r="V246" i="1"/>
  <c r="T246" i="1"/>
  <c r="M246" i="1"/>
  <c r="T245" i="1"/>
  <c r="M245" i="1"/>
  <c r="K245" i="1"/>
  <c r="V245" i="1" s="1"/>
  <c r="T244" i="1"/>
  <c r="M244" i="1"/>
  <c r="K244" i="1"/>
  <c r="V244" i="1" s="1"/>
  <c r="V243" i="1"/>
  <c r="T243" i="1"/>
  <c r="M243" i="1"/>
  <c r="T242" i="1"/>
  <c r="M242" i="1"/>
  <c r="K242" i="1"/>
  <c r="V242" i="1" s="1"/>
  <c r="T241" i="1"/>
  <c r="M241" i="1"/>
  <c r="K241" i="1"/>
  <c r="V241" i="1" s="1"/>
  <c r="V240" i="1"/>
  <c r="T240" i="1"/>
  <c r="M240" i="1"/>
  <c r="V239" i="1"/>
  <c r="T239" i="1"/>
  <c r="M239" i="1"/>
  <c r="V238" i="1"/>
  <c r="T238" i="1"/>
  <c r="M238" i="1"/>
  <c r="T237" i="1"/>
  <c r="M237" i="1"/>
  <c r="K237" i="1"/>
  <c r="V237" i="1" s="1"/>
  <c r="V236" i="1"/>
  <c r="M236" i="1"/>
  <c r="T235" i="1"/>
  <c r="M235" i="1"/>
  <c r="K235" i="1"/>
  <c r="V235" i="1" s="1"/>
  <c r="T234" i="1"/>
  <c r="M234" i="1"/>
  <c r="K234" i="1"/>
  <c r="V234" i="1" s="1"/>
  <c r="T233" i="1"/>
  <c r="M233" i="1"/>
  <c r="K233" i="1"/>
  <c r="V233" i="1" s="1"/>
  <c r="T232" i="1"/>
  <c r="M232" i="1"/>
  <c r="K232" i="1"/>
  <c r="V232" i="1" s="1"/>
  <c r="T231" i="1"/>
  <c r="M231" i="1"/>
  <c r="K231" i="1"/>
  <c r="V231" i="1" s="1"/>
  <c r="T230" i="1"/>
  <c r="M230" i="1"/>
  <c r="K230" i="1"/>
  <c r="V230" i="1" s="1"/>
  <c r="T229" i="1"/>
  <c r="M229" i="1"/>
  <c r="K229" i="1"/>
  <c r="V229" i="1" s="1"/>
  <c r="T228" i="1"/>
  <c r="M228" i="1"/>
  <c r="K228" i="1"/>
  <c r="V228" i="1" s="1"/>
  <c r="T227" i="1"/>
  <c r="M227" i="1"/>
  <c r="K227" i="1"/>
  <c r="V227" i="1" s="1"/>
  <c r="T226" i="1"/>
  <c r="M226" i="1"/>
  <c r="K226" i="1"/>
  <c r="V226" i="1" s="1"/>
  <c r="T225" i="1"/>
  <c r="M225" i="1"/>
  <c r="K225" i="1"/>
  <c r="V225" i="1" s="1"/>
  <c r="T224" i="1"/>
  <c r="M224" i="1"/>
  <c r="K224" i="1"/>
  <c r="V224" i="1" s="1"/>
  <c r="T223" i="1"/>
  <c r="M223" i="1"/>
  <c r="K223" i="1"/>
  <c r="V223" i="1" s="1"/>
  <c r="T222" i="1"/>
  <c r="M222" i="1"/>
  <c r="K222" i="1"/>
  <c r="V222" i="1" s="1"/>
  <c r="T221" i="1"/>
  <c r="M221" i="1"/>
  <c r="K221" i="1"/>
  <c r="V221" i="1" s="1"/>
  <c r="T220" i="1"/>
  <c r="M220" i="1"/>
  <c r="K220" i="1"/>
  <c r="V220" i="1" s="1"/>
  <c r="T219" i="1"/>
  <c r="M219" i="1"/>
  <c r="K219" i="1"/>
  <c r="V219" i="1" s="1"/>
  <c r="T218" i="1"/>
  <c r="M218" i="1"/>
  <c r="K218" i="1"/>
  <c r="V218" i="1" s="1"/>
  <c r="T217" i="1"/>
  <c r="M217" i="1"/>
  <c r="K217" i="1"/>
  <c r="V217" i="1" s="1"/>
  <c r="T216" i="1"/>
  <c r="M216" i="1"/>
  <c r="K216" i="1"/>
  <c r="V216" i="1" s="1"/>
  <c r="T215" i="1"/>
  <c r="M215" i="1"/>
  <c r="K215" i="1"/>
  <c r="V215" i="1" s="1"/>
  <c r="T214" i="1"/>
  <c r="M214" i="1"/>
  <c r="K214" i="1"/>
  <c r="V214" i="1" s="1"/>
  <c r="T213" i="1"/>
  <c r="M213" i="1"/>
  <c r="K213" i="1"/>
  <c r="V213" i="1" s="1"/>
  <c r="T212" i="1"/>
  <c r="M212" i="1"/>
  <c r="K212" i="1"/>
  <c r="V212" i="1" s="1"/>
  <c r="T211" i="1"/>
  <c r="M211" i="1"/>
  <c r="K211" i="1"/>
  <c r="V211" i="1" s="1"/>
  <c r="T210" i="1"/>
  <c r="M210" i="1"/>
  <c r="K210" i="1"/>
  <c r="V210" i="1" s="1"/>
  <c r="T209" i="1"/>
  <c r="M209" i="1"/>
  <c r="K209" i="1"/>
  <c r="V209" i="1" s="1"/>
  <c r="T208" i="1"/>
  <c r="M208" i="1"/>
  <c r="K208" i="1"/>
  <c r="V208" i="1" s="1"/>
  <c r="T207" i="1"/>
  <c r="M207" i="1"/>
  <c r="K207" i="1"/>
  <c r="V207" i="1" s="1"/>
  <c r="T206" i="1"/>
  <c r="M206" i="1"/>
  <c r="K206" i="1"/>
  <c r="V206" i="1" s="1"/>
  <c r="T205" i="1"/>
  <c r="M205" i="1"/>
  <c r="K205" i="1"/>
  <c r="V205" i="1" s="1"/>
  <c r="T204" i="1"/>
  <c r="M204" i="1"/>
  <c r="K204" i="1"/>
  <c r="V204" i="1" s="1"/>
  <c r="T203" i="1"/>
  <c r="M203" i="1"/>
  <c r="K203" i="1"/>
  <c r="V203" i="1" s="1"/>
  <c r="T202" i="1"/>
  <c r="M202" i="1"/>
  <c r="K202" i="1"/>
  <c r="V202" i="1" s="1"/>
  <c r="T201" i="1"/>
  <c r="M201" i="1"/>
  <c r="K201" i="1"/>
  <c r="V201" i="1" s="1"/>
  <c r="T200" i="1"/>
  <c r="M200" i="1"/>
  <c r="K200" i="1"/>
  <c r="V200" i="1" s="1"/>
  <c r="T199" i="1"/>
  <c r="M199" i="1"/>
  <c r="K199" i="1"/>
  <c r="V199" i="1" s="1"/>
  <c r="T198" i="1"/>
  <c r="M198" i="1"/>
  <c r="K198" i="1"/>
  <c r="V198" i="1" s="1"/>
  <c r="T197" i="1"/>
  <c r="M197" i="1"/>
  <c r="K197" i="1"/>
  <c r="V197" i="1" s="1"/>
  <c r="T196" i="1"/>
  <c r="M196" i="1"/>
  <c r="K196" i="1"/>
  <c r="V196" i="1" s="1"/>
  <c r="T195" i="1"/>
  <c r="M195" i="1"/>
  <c r="K195" i="1"/>
  <c r="V195" i="1" s="1"/>
  <c r="T194" i="1"/>
  <c r="M194" i="1"/>
  <c r="K194" i="1"/>
  <c r="V194" i="1" s="1"/>
  <c r="T193" i="1"/>
  <c r="M193" i="1"/>
  <c r="K193" i="1"/>
  <c r="V193" i="1" s="1"/>
  <c r="T192" i="1"/>
  <c r="M192" i="1"/>
  <c r="K192" i="1"/>
  <c r="V192" i="1" s="1"/>
  <c r="T191" i="1"/>
  <c r="M191" i="1"/>
  <c r="K191" i="1"/>
  <c r="V191" i="1" s="1"/>
  <c r="T190" i="1"/>
  <c r="M190" i="1"/>
  <c r="K190" i="1"/>
  <c r="V190" i="1" s="1"/>
  <c r="T189" i="1"/>
  <c r="M189" i="1"/>
  <c r="K189" i="1"/>
  <c r="V189" i="1" s="1"/>
  <c r="T188" i="1"/>
  <c r="M188" i="1"/>
  <c r="K188" i="1"/>
  <c r="V188" i="1" s="1"/>
  <c r="T187" i="1"/>
  <c r="M187" i="1"/>
  <c r="K187" i="1"/>
  <c r="V187" i="1" s="1"/>
  <c r="T186" i="1"/>
  <c r="M186" i="1"/>
  <c r="K186" i="1"/>
  <c r="V186" i="1" s="1"/>
  <c r="T185" i="1"/>
  <c r="M185" i="1"/>
  <c r="K185" i="1"/>
  <c r="V185" i="1" s="1"/>
  <c r="V184" i="1"/>
  <c r="T184" i="1"/>
  <c r="M184" i="1"/>
  <c r="T183" i="1"/>
  <c r="M183" i="1"/>
  <c r="K183" i="1"/>
  <c r="V183" i="1" s="1"/>
  <c r="T182" i="1"/>
  <c r="M182" i="1"/>
  <c r="K182" i="1"/>
  <c r="V182" i="1" s="1"/>
  <c r="T181" i="1"/>
  <c r="M181" i="1"/>
  <c r="K181" i="1"/>
  <c r="V181" i="1" s="1"/>
  <c r="T180" i="1"/>
  <c r="M180" i="1"/>
  <c r="K180" i="1"/>
  <c r="V180" i="1" s="1"/>
  <c r="T179" i="1"/>
  <c r="M179" i="1"/>
  <c r="K179" i="1"/>
  <c r="V179" i="1" s="1"/>
  <c r="T178" i="1"/>
  <c r="M178" i="1"/>
  <c r="K178" i="1"/>
  <c r="V178" i="1" s="1"/>
  <c r="T177" i="1"/>
  <c r="M177" i="1"/>
  <c r="K177" i="1"/>
  <c r="V177" i="1" s="1"/>
  <c r="T176" i="1"/>
  <c r="M176" i="1"/>
  <c r="K176" i="1"/>
  <c r="V176" i="1" s="1"/>
  <c r="T175" i="1"/>
  <c r="M175" i="1"/>
  <c r="K175" i="1"/>
  <c r="V175" i="1" s="1"/>
  <c r="T174" i="1"/>
  <c r="M174" i="1"/>
  <c r="K174" i="1"/>
  <c r="V174" i="1" s="1"/>
  <c r="T173" i="1"/>
  <c r="M173" i="1"/>
  <c r="K173" i="1"/>
  <c r="V173" i="1" s="1"/>
  <c r="T172" i="1"/>
  <c r="M172" i="1"/>
  <c r="K172" i="1"/>
  <c r="V172" i="1" s="1"/>
  <c r="T171" i="1"/>
  <c r="M171" i="1"/>
  <c r="K171" i="1"/>
  <c r="V171" i="1" s="1"/>
  <c r="T170" i="1"/>
  <c r="M170" i="1"/>
  <c r="K170" i="1"/>
  <c r="V170" i="1" s="1"/>
  <c r="T169" i="1"/>
  <c r="M169" i="1"/>
  <c r="K169" i="1"/>
  <c r="V169" i="1" s="1"/>
  <c r="T168" i="1"/>
  <c r="M168" i="1"/>
  <c r="K168" i="1"/>
  <c r="V168" i="1" s="1"/>
  <c r="T167" i="1"/>
  <c r="M167" i="1"/>
  <c r="K167" i="1"/>
  <c r="V167" i="1" s="1"/>
  <c r="T166" i="1"/>
  <c r="M166" i="1"/>
  <c r="K166" i="1"/>
  <c r="V166" i="1" s="1"/>
  <c r="T165" i="1"/>
  <c r="M165" i="1"/>
  <c r="K165" i="1"/>
  <c r="V165" i="1" s="1"/>
  <c r="T164" i="1"/>
  <c r="M164" i="1"/>
  <c r="K164" i="1"/>
  <c r="V164" i="1" s="1"/>
  <c r="T163" i="1"/>
  <c r="M163" i="1"/>
  <c r="K163" i="1"/>
  <c r="V163" i="1" s="1"/>
  <c r="T162" i="1"/>
  <c r="M162" i="1"/>
  <c r="K162" i="1"/>
  <c r="V162" i="1" s="1"/>
  <c r="T161" i="1"/>
  <c r="M161" i="1"/>
  <c r="K161" i="1"/>
  <c r="V161" i="1" s="1"/>
  <c r="V160" i="1"/>
  <c r="T160" i="1"/>
  <c r="M160" i="1"/>
  <c r="T159" i="1"/>
  <c r="M159" i="1"/>
  <c r="K159" i="1"/>
  <c r="V159" i="1" s="1"/>
  <c r="T158" i="1"/>
  <c r="M158" i="1"/>
  <c r="K158" i="1"/>
  <c r="V158" i="1" s="1"/>
  <c r="T157" i="1"/>
  <c r="M157" i="1"/>
  <c r="K157" i="1"/>
  <c r="V157" i="1" s="1"/>
  <c r="T156" i="1"/>
  <c r="M156" i="1"/>
  <c r="K156" i="1"/>
  <c r="V156" i="1" s="1"/>
  <c r="V155" i="1"/>
  <c r="M155" i="1"/>
  <c r="T154" i="1"/>
  <c r="M154" i="1"/>
  <c r="K154" i="1"/>
  <c r="V154" i="1" s="1"/>
  <c r="T153" i="1"/>
  <c r="M153" i="1"/>
  <c r="K153" i="1"/>
  <c r="V153" i="1" s="1"/>
  <c r="T152" i="1"/>
  <c r="M152" i="1"/>
  <c r="K152" i="1"/>
  <c r="V152" i="1" s="1"/>
  <c r="T151" i="1"/>
  <c r="M151" i="1"/>
  <c r="K151" i="1"/>
  <c r="V151" i="1" s="1"/>
  <c r="T150" i="1"/>
  <c r="M150" i="1"/>
  <c r="K150" i="1"/>
  <c r="V150" i="1" s="1"/>
  <c r="T149" i="1"/>
  <c r="M149" i="1"/>
  <c r="K149" i="1"/>
  <c r="V149" i="1" s="1"/>
  <c r="T148" i="1"/>
  <c r="M148" i="1"/>
  <c r="K148" i="1"/>
  <c r="V148" i="1" s="1"/>
  <c r="T147" i="1"/>
  <c r="M147" i="1"/>
  <c r="K147" i="1"/>
  <c r="V147" i="1" s="1"/>
  <c r="T146" i="1"/>
  <c r="M146" i="1"/>
  <c r="K146" i="1"/>
  <c r="V146" i="1" s="1"/>
  <c r="T145" i="1"/>
  <c r="M145" i="1"/>
  <c r="K145" i="1"/>
  <c r="V145" i="1" s="1"/>
  <c r="T144" i="1"/>
  <c r="M144" i="1"/>
  <c r="K144" i="1"/>
  <c r="V144" i="1" s="1"/>
  <c r="T143" i="1"/>
  <c r="M143" i="1"/>
  <c r="K143" i="1"/>
  <c r="V143" i="1" s="1"/>
  <c r="T142" i="1"/>
  <c r="M142" i="1"/>
  <c r="K142" i="1"/>
  <c r="V142" i="1" s="1"/>
  <c r="T141" i="1"/>
  <c r="M141" i="1"/>
  <c r="K141" i="1"/>
  <c r="V141" i="1" s="1"/>
  <c r="T140" i="1"/>
  <c r="M140" i="1"/>
  <c r="K140" i="1"/>
  <c r="V140" i="1" s="1"/>
  <c r="T139" i="1"/>
  <c r="M139" i="1"/>
  <c r="K139" i="1"/>
  <c r="V139" i="1" s="1"/>
  <c r="T138" i="1"/>
  <c r="M138" i="1"/>
  <c r="K138" i="1"/>
  <c r="V138" i="1" s="1"/>
  <c r="V137" i="1"/>
  <c r="T137" i="1"/>
  <c r="M137" i="1"/>
  <c r="V136" i="1"/>
  <c r="T136" i="1"/>
  <c r="M136" i="1"/>
  <c r="V135" i="1"/>
  <c r="T135" i="1"/>
  <c r="M135" i="1"/>
  <c r="V134" i="1"/>
  <c r="T134" i="1"/>
  <c r="M134" i="1"/>
  <c r="T133" i="1"/>
  <c r="M133" i="1"/>
  <c r="K133" i="1"/>
  <c r="V133" i="1" s="1"/>
  <c r="V132" i="1"/>
  <c r="T132" i="1"/>
  <c r="M132" i="1"/>
  <c r="T131" i="1"/>
  <c r="M131" i="1"/>
  <c r="K131" i="1"/>
  <c r="V131" i="1" s="1"/>
  <c r="T130" i="1"/>
  <c r="M130" i="1"/>
  <c r="K130" i="1"/>
  <c r="V130" i="1" s="1"/>
  <c r="T129" i="1"/>
  <c r="M129" i="1"/>
  <c r="K129" i="1"/>
  <c r="V129" i="1" s="1"/>
  <c r="T128" i="1"/>
  <c r="M128" i="1"/>
  <c r="K128" i="1"/>
  <c r="V128" i="1" s="1"/>
  <c r="T127" i="1"/>
  <c r="M127" i="1"/>
  <c r="K127" i="1"/>
  <c r="V127" i="1" s="1"/>
  <c r="T126" i="1"/>
  <c r="M126" i="1"/>
  <c r="K126" i="1"/>
  <c r="V126" i="1" s="1"/>
  <c r="V125" i="1"/>
  <c r="T125" i="1"/>
  <c r="M125" i="1"/>
  <c r="T124" i="1"/>
  <c r="M124" i="1"/>
  <c r="K124" i="1"/>
  <c r="V124" i="1" s="1"/>
  <c r="V123" i="1"/>
  <c r="T123" i="1"/>
  <c r="M123" i="1"/>
  <c r="T122" i="1"/>
  <c r="M122" i="1"/>
  <c r="K122" i="1"/>
  <c r="V122" i="1" s="1"/>
  <c r="T121" i="1"/>
  <c r="M121" i="1"/>
  <c r="K121" i="1"/>
  <c r="V121" i="1" s="1"/>
  <c r="T120" i="1"/>
  <c r="M120" i="1"/>
  <c r="K120" i="1"/>
  <c r="V120" i="1" s="1"/>
  <c r="T119" i="1"/>
  <c r="M119" i="1"/>
  <c r="K119" i="1"/>
  <c r="V119" i="1" s="1"/>
  <c r="T118" i="1"/>
  <c r="M118" i="1"/>
  <c r="K118" i="1"/>
  <c r="V118" i="1" s="1"/>
  <c r="T117" i="1"/>
  <c r="M117" i="1"/>
  <c r="K117" i="1"/>
  <c r="V117" i="1" s="1"/>
  <c r="T116" i="1"/>
  <c r="M116" i="1"/>
  <c r="K116" i="1"/>
  <c r="V116" i="1" s="1"/>
  <c r="T115" i="1"/>
  <c r="M115" i="1"/>
  <c r="K115" i="1"/>
  <c r="V115" i="1" s="1"/>
  <c r="T114" i="1"/>
  <c r="M114" i="1"/>
  <c r="K114" i="1"/>
  <c r="V114" i="1" s="1"/>
  <c r="T113" i="1"/>
  <c r="M113" i="1"/>
  <c r="K113" i="1"/>
  <c r="V113" i="1" s="1"/>
  <c r="T112" i="1"/>
  <c r="M112" i="1"/>
  <c r="K112" i="1"/>
  <c r="V112" i="1" s="1"/>
  <c r="T111" i="1"/>
  <c r="M111" i="1"/>
  <c r="K111" i="1"/>
  <c r="V111" i="1" s="1"/>
  <c r="T110" i="1"/>
  <c r="M110" i="1"/>
  <c r="K110" i="1"/>
  <c r="V110" i="1" s="1"/>
  <c r="T109" i="1"/>
  <c r="M109" i="1"/>
  <c r="K109" i="1"/>
  <c r="V109" i="1" s="1"/>
  <c r="T108" i="1"/>
  <c r="M108" i="1"/>
  <c r="K108" i="1"/>
  <c r="V108" i="1" s="1"/>
  <c r="T107" i="1"/>
  <c r="M107" i="1"/>
  <c r="K107" i="1"/>
  <c r="V107" i="1" s="1"/>
  <c r="V106" i="1"/>
  <c r="T106" i="1"/>
  <c r="M106" i="1"/>
  <c r="T105" i="1"/>
  <c r="M105" i="1"/>
  <c r="K105" i="1"/>
  <c r="V105" i="1" s="1"/>
  <c r="T104" i="1"/>
  <c r="M104" i="1"/>
  <c r="K104" i="1"/>
  <c r="V104" i="1" s="1"/>
  <c r="T103" i="1"/>
  <c r="M103" i="1"/>
  <c r="K103" i="1"/>
  <c r="V103" i="1" s="1"/>
  <c r="T102" i="1"/>
  <c r="M102" i="1"/>
  <c r="K102" i="1"/>
  <c r="V102" i="1" s="1"/>
  <c r="T101" i="1"/>
  <c r="M101" i="1"/>
  <c r="K101" i="1"/>
  <c r="V101" i="1" s="1"/>
  <c r="T100" i="1"/>
  <c r="M100" i="1"/>
  <c r="K100" i="1"/>
  <c r="V100" i="1" s="1"/>
  <c r="T99" i="1"/>
  <c r="M99" i="1"/>
  <c r="K99" i="1"/>
  <c r="V99" i="1" s="1"/>
  <c r="T98" i="1"/>
  <c r="M98" i="1"/>
  <c r="K98" i="1"/>
  <c r="V98" i="1" s="1"/>
  <c r="T97" i="1"/>
  <c r="M97" i="1"/>
  <c r="K97" i="1"/>
  <c r="V97" i="1" s="1"/>
  <c r="T96" i="1"/>
  <c r="M96" i="1"/>
  <c r="K96" i="1"/>
  <c r="V96" i="1" s="1"/>
  <c r="T95" i="1"/>
  <c r="M95" i="1"/>
  <c r="K95" i="1"/>
  <c r="V95" i="1" s="1"/>
  <c r="V94" i="1"/>
  <c r="T94" i="1"/>
  <c r="M94" i="1"/>
  <c r="T93" i="1"/>
  <c r="M93" i="1"/>
  <c r="K93" i="1"/>
  <c r="V93" i="1" s="1"/>
  <c r="T92" i="1"/>
  <c r="M92" i="1"/>
  <c r="K92" i="1"/>
  <c r="V92" i="1" s="1"/>
  <c r="T91" i="1"/>
  <c r="M91" i="1"/>
  <c r="K91" i="1"/>
  <c r="V91" i="1" s="1"/>
  <c r="T90" i="1"/>
  <c r="M90" i="1"/>
  <c r="K90" i="1"/>
  <c r="V90" i="1" s="1"/>
  <c r="T89" i="1"/>
  <c r="M89" i="1"/>
  <c r="K89" i="1"/>
  <c r="V89" i="1" s="1"/>
  <c r="T88" i="1"/>
  <c r="M88" i="1"/>
  <c r="K88" i="1"/>
  <c r="V88" i="1" s="1"/>
  <c r="T87" i="1"/>
  <c r="M87" i="1"/>
  <c r="K87" i="1"/>
  <c r="V87" i="1" s="1"/>
  <c r="T86" i="1"/>
  <c r="M86" i="1"/>
  <c r="K86" i="1"/>
  <c r="V86" i="1" s="1"/>
  <c r="T85" i="1"/>
  <c r="M85" i="1"/>
  <c r="K85" i="1"/>
  <c r="V85" i="1" s="1"/>
  <c r="T84" i="1"/>
  <c r="M84" i="1"/>
  <c r="K84" i="1"/>
  <c r="V84" i="1" s="1"/>
  <c r="V83" i="1"/>
  <c r="T83" i="1"/>
  <c r="M83" i="1"/>
  <c r="T82" i="1"/>
  <c r="M82" i="1"/>
  <c r="K82" i="1"/>
  <c r="V82" i="1" s="1"/>
  <c r="T81" i="1"/>
  <c r="M81" i="1"/>
  <c r="K81" i="1"/>
  <c r="V81" i="1" s="1"/>
  <c r="T80" i="1"/>
  <c r="M80" i="1"/>
  <c r="K80" i="1"/>
  <c r="V80" i="1" s="1"/>
  <c r="T79" i="1"/>
  <c r="M79" i="1"/>
  <c r="K79" i="1"/>
  <c r="V79" i="1" s="1"/>
  <c r="V78" i="1"/>
  <c r="T78" i="1"/>
  <c r="M78" i="1"/>
  <c r="T77" i="1"/>
  <c r="M77" i="1"/>
  <c r="K77" i="1"/>
  <c r="V77" i="1" s="1"/>
  <c r="T76" i="1"/>
  <c r="M76" i="1"/>
  <c r="K76" i="1"/>
  <c r="V76" i="1" s="1"/>
  <c r="T75" i="1"/>
  <c r="M75" i="1"/>
  <c r="K75" i="1"/>
  <c r="V75" i="1" s="1"/>
  <c r="T74" i="1"/>
  <c r="M74" i="1"/>
  <c r="K74" i="1"/>
  <c r="V74" i="1" s="1"/>
  <c r="T73" i="1"/>
  <c r="M73" i="1"/>
  <c r="K73" i="1"/>
  <c r="V73" i="1" s="1"/>
  <c r="T72" i="1"/>
  <c r="M72" i="1"/>
  <c r="K72" i="1"/>
  <c r="V72" i="1" s="1"/>
  <c r="T71" i="1"/>
  <c r="M71" i="1"/>
  <c r="K71" i="1"/>
  <c r="V71" i="1" s="1"/>
  <c r="T70" i="1"/>
  <c r="M70" i="1"/>
  <c r="K70" i="1"/>
  <c r="V70" i="1" s="1"/>
  <c r="T69" i="1"/>
  <c r="M69" i="1"/>
  <c r="K69" i="1"/>
  <c r="V69" i="1" s="1"/>
  <c r="T68" i="1"/>
  <c r="M68" i="1"/>
  <c r="K68" i="1"/>
  <c r="V68" i="1" s="1"/>
  <c r="T67" i="1"/>
  <c r="M67" i="1"/>
  <c r="K67" i="1"/>
  <c r="V67" i="1" s="1"/>
  <c r="T66" i="1"/>
  <c r="M66" i="1"/>
  <c r="K66" i="1"/>
  <c r="V66" i="1" s="1"/>
  <c r="T65" i="1"/>
  <c r="M65" i="1"/>
  <c r="K65" i="1"/>
  <c r="V65" i="1" s="1"/>
  <c r="T64" i="1"/>
  <c r="M64" i="1"/>
  <c r="K64" i="1"/>
  <c r="V64" i="1" s="1"/>
  <c r="T63" i="1"/>
  <c r="M63" i="1"/>
  <c r="K63" i="1"/>
  <c r="V63" i="1" s="1"/>
  <c r="T62" i="1"/>
  <c r="M62" i="1"/>
  <c r="K62" i="1"/>
  <c r="V62" i="1" s="1"/>
  <c r="T61" i="1"/>
  <c r="M61" i="1"/>
  <c r="K61" i="1"/>
  <c r="V61" i="1" s="1"/>
  <c r="T60" i="1"/>
  <c r="M60" i="1"/>
  <c r="K60" i="1"/>
  <c r="V60" i="1" s="1"/>
  <c r="T59" i="1"/>
  <c r="M59" i="1"/>
  <c r="K59" i="1"/>
  <c r="V59" i="1" s="1"/>
  <c r="T58" i="1"/>
  <c r="M58" i="1"/>
  <c r="K58" i="1"/>
  <c r="V58" i="1" s="1"/>
  <c r="T57" i="1"/>
  <c r="M57" i="1"/>
  <c r="K57" i="1"/>
  <c r="V57" i="1" s="1"/>
  <c r="T56" i="1"/>
  <c r="M56" i="1"/>
  <c r="K56" i="1"/>
  <c r="V56" i="1" s="1"/>
  <c r="T55" i="1"/>
  <c r="M55" i="1"/>
  <c r="K55" i="1"/>
  <c r="V55" i="1" s="1"/>
  <c r="T54" i="1"/>
  <c r="M54" i="1"/>
  <c r="K54" i="1"/>
  <c r="V54" i="1" s="1"/>
  <c r="T53" i="1"/>
  <c r="M53" i="1"/>
  <c r="K53" i="1"/>
  <c r="V53" i="1" s="1"/>
  <c r="V52" i="1"/>
  <c r="T52" i="1"/>
  <c r="M52" i="1"/>
  <c r="T51" i="1"/>
  <c r="M51" i="1"/>
  <c r="K51" i="1"/>
  <c r="V51" i="1" s="1"/>
  <c r="T50" i="1"/>
  <c r="M50" i="1"/>
  <c r="K50" i="1"/>
  <c r="V50" i="1" s="1"/>
  <c r="T49" i="1"/>
  <c r="M49" i="1"/>
  <c r="K49" i="1"/>
  <c r="V49" i="1" s="1"/>
  <c r="T48" i="1"/>
  <c r="M48" i="1"/>
  <c r="K48" i="1"/>
  <c r="V48" i="1" s="1"/>
  <c r="T47" i="1"/>
  <c r="M47" i="1"/>
  <c r="K47" i="1"/>
  <c r="V47" i="1" s="1"/>
  <c r="T46" i="1"/>
  <c r="M46" i="1"/>
  <c r="K46" i="1"/>
  <c r="V46" i="1" s="1"/>
  <c r="T45" i="1"/>
  <c r="M45" i="1"/>
  <c r="K45" i="1"/>
  <c r="V45" i="1" s="1"/>
  <c r="T44" i="1"/>
  <c r="M44" i="1"/>
  <c r="K44" i="1"/>
  <c r="V44" i="1" s="1"/>
  <c r="T43" i="1"/>
  <c r="M43" i="1"/>
  <c r="K43" i="1"/>
  <c r="V43" i="1" s="1"/>
  <c r="T42" i="1"/>
  <c r="M42" i="1"/>
  <c r="K42" i="1"/>
  <c r="V42" i="1" s="1"/>
  <c r="T41" i="1"/>
  <c r="M41" i="1"/>
  <c r="K41" i="1"/>
  <c r="V41" i="1" s="1"/>
  <c r="T40" i="1"/>
  <c r="M40" i="1"/>
  <c r="K40" i="1"/>
  <c r="V40" i="1" s="1"/>
  <c r="T39" i="1"/>
  <c r="M39" i="1"/>
  <c r="K39" i="1"/>
  <c r="V39" i="1" s="1"/>
  <c r="T38" i="1"/>
  <c r="M38" i="1"/>
  <c r="K38" i="1"/>
  <c r="V38" i="1" s="1"/>
  <c r="T37" i="1"/>
  <c r="M37" i="1"/>
  <c r="K37" i="1"/>
  <c r="V37" i="1" s="1"/>
  <c r="T36" i="1"/>
  <c r="M36" i="1"/>
  <c r="K36" i="1"/>
  <c r="V36" i="1" s="1"/>
  <c r="T35" i="1"/>
  <c r="M35" i="1"/>
  <c r="K35" i="1"/>
  <c r="V35" i="1" s="1"/>
  <c r="T34" i="1"/>
  <c r="M34" i="1"/>
  <c r="K34" i="1"/>
  <c r="V34" i="1" s="1"/>
  <c r="T33" i="1"/>
  <c r="M33" i="1"/>
  <c r="K33" i="1"/>
  <c r="V33" i="1" s="1"/>
  <c r="T32" i="1"/>
  <c r="M32" i="1"/>
  <c r="K32" i="1"/>
  <c r="V32" i="1" s="1"/>
  <c r="T31" i="1"/>
  <c r="M31" i="1"/>
  <c r="K31" i="1"/>
  <c r="V31" i="1" s="1"/>
  <c r="T30" i="1"/>
  <c r="M30" i="1"/>
  <c r="K30" i="1"/>
  <c r="V30" i="1" s="1"/>
  <c r="T29" i="1"/>
  <c r="M29" i="1"/>
  <c r="K29" i="1"/>
  <c r="V29" i="1" s="1"/>
  <c r="T28" i="1"/>
  <c r="M28" i="1"/>
  <c r="K28" i="1"/>
  <c r="V28" i="1" s="1"/>
  <c r="T27" i="1"/>
  <c r="M27" i="1"/>
  <c r="K27" i="1"/>
  <c r="V27" i="1" s="1"/>
  <c r="T26" i="1"/>
  <c r="M26" i="1"/>
  <c r="K26" i="1"/>
  <c r="V26" i="1" s="1"/>
  <c r="T25" i="1"/>
  <c r="M25" i="1"/>
  <c r="K25" i="1"/>
  <c r="V25" i="1" s="1"/>
  <c r="T24" i="1"/>
  <c r="M24" i="1"/>
  <c r="K24" i="1"/>
  <c r="V24" i="1" s="1"/>
  <c r="T23" i="1"/>
  <c r="M23" i="1"/>
  <c r="K23" i="1"/>
  <c r="V23" i="1" s="1"/>
  <c r="T22" i="1"/>
  <c r="M22" i="1"/>
  <c r="K22" i="1"/>
  <c r="V22" i="1" s="1"/>
  <c r="T21" i="1"/>
  <c r="M21" i="1"/>
  <c r="K21" i="1"/>
  <c r="V21" i="1" s="1"/>
  <c r="T20" i="1"/>
  <c r="M20" i="1"/>
  <c r="K20" i="1"/>
  <c r="V20" i="1" s="1"/>
  <c r="T19" i="1"/>
  <c r="M19" i="1"/>
  <c r="K19" i="1"/>
  <c r="V19" i="1" s="1"/>
  <c r="T18" i="1"/>
  <c r="M18" i="1"/>
  <c r="K18" i="1"/>
  <c r="V18" i="1" s="1"/>
  <c r="T17" i="1"/>
  <c r="M17" i="1"/>
  <c r="K17" i="1"/>
  <c r="V17" i="1" s="1"/>
  <c r="T16" i="1"/>
  <c r="M16" i="1"/>
  <c r="K16" i="1"/>
  <c r="V16" i="1" s="1"/>
  <c r="T15" i="1"/>
  <c r="M15" i="1"/>
  <c r="K15" i="1"/>
  <c r="V15" i="1" s="1"/>
  <c r="T14" i="1"/>
  <c r="M14" i="1"/>
  <c r="K14" i="1"/>
  <c r="V14" i="1" s="1"/>
  <c r="T13" i="1"/>
  <c r="M13" i="1"/>
  <c r="K13" i="1"/>
  <c r="V13" i="1" s="1"/>
  <c r="T12" i="1"/>
  <c r="M12" i="1"/>
  <c r="K12" i="1"/>
  <c r="V12" i="1" s="1"/>
  <c r="T11" i="1"/>
  <c r="M11" i="1"/>
  <c r="K11" i="1"/>
  <c r="V11" i="1" s="1"/>
  <c r="T10" i="1"/>
  <c r="K10" i="1"/>
  <c r="V10" i="1" s="1"/>
  <c r="T9" i="1"/>
  <c r="K9" i="1"/>
  <c r="V9" i="1" s="1"/>
  <c r="T8" i="1"/>
  <c r="K8" i="1"/>
  <c r="V8" i="1" s="1"/>
  <c r="T7" i="1"/>
  <c r="K7" i="1"/>
  <c r="V7" i="1" s="1"/>
  <c r="T6" i="1"/>
  <c r="K6" i="1"/>
  <c r="V6" i="1" s="1"/>
  <c r="T5" i="1"/>
  <c r="K5" i="1"/>
  <c r="V5" i="1" s="1"/>
  <c r="T4" i="1"/>
  <c r="K4" i="1"/>
  <c r="V4" i="1" s="1"/>
  <c r="CT409" i="1" l="1"/>
  <c r="CT407" i="1"/>
  <c r="CT406" i="1"/>
  <c r="CT40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Dreamtech Computers</author>
    <author>ismail - [2010]</author>
  </authors>
  <commentList>
    <comment ref="D2" authorId="0" shapeId="0" xr:uid="{A2372988-28A6-4A74-B771-60081FE71D6A}">
      <text>
        <r>
          <rPr>
            <b/>
            <sz val="9"/>
            <color indexed="81"/>
            <rFont val="Tahoma"/>
            <family val="2"/>
          </rPr>
          <t>Dreamtech Computers:</t>
        </r>
        <r>
          <rPr>
            <sz val="9"/>
            <color indexed="81"/>
            <rFont val="Tahoma"/>
            <family val="2"/>
          </rPr>
          <t xml:space="preserve">
0-Housewifes
1-Skilled
2-Semi skilled
3-Manual
4-Bussiness or self employee </t>
        </r>
      </text>
    </comment>
    <comment ref="E2" authorId="0" shapeId="0" xr:uid="{969103F3-9468-4461-8FBD-AF2BE638B263}">
      <text>
        <r>
          <rPr>
            <b/>
            <sz val="9"/>
            <color indexed="81"/>
            <rFont val="Tahoma"/>
            <family val="2"/>
          </rPr>
          <t>Dreamtech Computers:</t>
        </r>
        <r>
          <rPr>
            <sz val="9"/>
            <color indexed="81"/>
            <rFont val="Tahoma"/>
            <family val="2"/>
          </rPr>
          <t xml:space="preserve">
0- less than O/L
1-up to O/L
2-A/L
3- Diploma or degree or greater </t>
        </r>
      </text>
    </comment>
    <comment ref="F2" authorId="0" shapeId="0" xr:uid="{2590BEA0-938C-45AE-A755-8DA0AE903AD9}">
      <text>
        <r>
          <rPr>
            <b/>
            <sz val="9"/>
            <color indexed="81"/>
            <rFont val="Tahoma"/>
            <family val="2"/>
          </rPr>
          <t>Dreamtech Computers:</t>
        </r>
        <r>
          <rPr>
            <sz val="9"/>
            <color indexed="81"/>
            <rFont val="Tahoma"/>
            <family val="2"/>
          </rPr>
          <t xml:space="preserve">
0=Inactive
1=Minimally active
2- Highly active </t>
        </r>
      </text>
    </comment>
    <comment ref="G2" authorId="0" shapeId="0" xr:uid="{4DE96409-0600-416E-B8A8-1C0D11F02B7E}">
      <text>
        <r>
          <rPr>
            <b/>
            <sz val="9"/>
            <color indexed="81"/>
            <rFont val="Tahoma"/>
            <family val="2"/>
          </rPr>
          <t>Dreamtech Computers:</t>
        </r>
        <r>
          <rPr>
            <sz val="9"/>
            <color indexed="81"/>
            <rFont val="Tahoma"/>
            <family val="2"/>
          </rPr>
          <t xml:space="preserve">
0- Non smoker
1- Ex smoker
2- Light smoker </t>
        </r>
      </text>
    </comment>
    <comment ref="H2" authorId="0" shapeId="0" xr:uid="{D06D002E-7B76-4673-BB75-64A03084590F}">
      <text>
        <r>
          <rPr>
            <b/>
            <sz val="9"/>
            <color indexed="81"/>
            <rFont val="Tahoma"/>
            <family val="2"/>
          </rPr>
          <t>Dreamtech Computers:</t>
        </r>
        <r>
          <rPr>
            <sz val="9"/>
            <color indexed="81"/>
            <rFont val="Tahoma"/>
            <family val="2"/>
          </rPr>
          <t xml:space="preserve">
0- Non alcoholic
1-Moderate drinker
2- Ocassionaly excessive drinker
3- Frequent drinker 
</t>
        </r>
      </text>
    </comment>
    <comment ref="I2" authorId="0" shapeId="0" xr:uid="{4BE9D6CD-1D33-4D00-A521-5EB0AD77CFBC}">
      <text>
        <r>
          <rPr>
            <b/>
            <sz val="9"/>
            <color indexed="81"/>
            <rFont val="Tahoma"/>
            <family val="2"/>
          </rPr>
          <t>Dreamtech Computers:</t>
        </r>
        <r>
          <rPr>
            <sz val="9"/>
            <color indexed="81"/>
            <rFont val="Tahoma"/>
            <family val="2"/>
          </rPr>
          <t xml:space="preserve">
1-Yes
0-No</t>
        </r>
      </text>
    </comment>
    <comment ref="I383" authorId="1" shapeId="0" xr:uid="{85F06C6C-9C3F-498C-BBC4-A832E0A861D0}">
      <text>
        <r>
          <rPr>
            <b/>
            <sz val="9"/>
            <color indexed="81"/>
            <rFont val="Tahoma"/>
            <family val="2"/>
          </rPr>
          <t>WOOM PROBLEM</t>
        </r>
      </text>
    </comment>
  </commentList>
</comments>
</file>

<file path=xl/sharedStrings.xml><?xml version="1.0" encoding="utf-8"?>
<sst xmlns="http://schemas.openxmlformats.org/spreadsheetml/2006/main" count="514" uniqueCount="498">
  <si>
    <t>Systole mmHg</t>
  </si>
  <si>
    <t>Diostole mmHg</t>
  </si>
  <si>
    <t>Herat rate bpm</t>
  </si>
  <si>
    <t>PWV m/s</t>
  </si>
  <si>
    <t>Age</t>
  </si>
  <si>
    <t>Weight
(Kg)</t>
  </si>
  <si>
    <t>BMI</t>
  </si>
  <si>
    <t>Waist: Hip ratio</t>
  </si>
  <si>
    <t>Occupation catogary</t>
  </si>
  <si>
    <t>%energy from fat</t>
  </si>
  <si>
    <t>%energy from protein</t>
  </si>
  <si>
    <t>%energy from carbohydrate</t>
  </si>
  <si>
    <t>%energy from saturated fat</t>
  </si>
  <si>
    <t>%energy from added sugar</t>
  </si>
  <si>
    <t>Smoking Status</t>
  </si>
  <si>
    <t>Alcochol consumption</t>
  </si>
  <si>
    <t>Viceral fat level</t>
  </si>
  <si>
    <t>TC:HDL</t>
  </si>
  <si>
    <t>HOMA IR</t>
  </si>
  <si>
    <t>Pactivity level</t>
  </si>
  <si>
    <t>Gender</t>
  </si>
  <si>
    <t>Family history</t>
  </si>
  <si>
    <t>Ht(M)</t>
  </si>
  <si>
    <t xml:space="preserve">Ht
 (cm) </t>
  </si>
  <si>
    <t>Fat mass(kg)</t>
  </si>
  <si>
    <t>Muscle mass (kg)</t>
  </si>
  <si>
    <t>%T.Body fat</t>
  </si>
  <si>
    <t>WC (cm)</t>
  </si>
  <si>
    <t>HC (cm)</t>
  </si>
  <si>
    <t>Education Qualification</t>
  </si>
  <si>
    <t>General characteristics</t>
  </si>
  <si>
    <t xml:space="preserve">Anthropometric </t>
  </si>
  <si>
    <t>Biochemical</t>
  </si>
  <si>
    <t>Vascular function</t>
  </si>
  <si>
    <t>Energy (Kcal)</t>
  </si>
  <si>
    <t>Protein (g)</t>
  </si>
  <si>
    <t>Fat(g)</t>
  </si>
  <si>
    <t>Carbohydrate (g)</t>
  </si>
  <si>
    <t>Fibre (g)</t>
  </si>
  <si>
    <t>Starch (g)</t>
  </si>
  <si>
    <t>Total sugar (g)</t>
  </si>
  <si>
    <t>Added sugar(g)</t>
  </si>
  <si>
    <t>Cholesterol(g)</t>
  </si>
  <si>
    <t>Insulin (microU/mL</t>
  </si>
  <si>
    <t>Glucose (mmol/L)</t>
  </si>
  <si>
    <t>CRP (mmol/L)</t>
  </si>
  <si>
    <t>TC (mmol/L)</t>
  </si>
  <si>
    <t>TG (mmol/L)</t>
  </si>
  <si>
    <t>LDL (mmol/L)</t>
  </si>
  <si>
    <t>HDL (mmol/L)</t>
  </si>
  <si>
    <t xml:space="preserve">Nutreint intake (Macro) </t>
  </si>
  <si>
    <t xml:space="preserve">Fat intake </t>
  </si>
  <si>
    <t>Nutrient intake (Micro)</t>
  </si>
  <si>
    <t>Total saturates (g)</t>
  </si>
  <si>
    <t>Total cis-monos (g)</t>
  </si>
  <si>
    <t>Total cis-pufas (g)</t>
  </si>
  <si>
    <t>total n-6 fats(g)</t>
  </si>
  <si>
    <t>total n-3 fats (g)</t>
  </si>
  <si>
    <t>Total trans (g)</t>
  </si>
  <si>
    <t>Calcium (mg)</t>
  </si>
  <si>
    <t>Magnesium (mg)</t>
  </si>
  <si>
    <t>Sodium (mg)</t>
  </si>
  <si>
    <t>Potassium (mg)</t>
  </si>
  <si>
    <t>Iron (mg)</t>
  </si>
  <si>
    <t>Zinc (mg)</t>
  </si>
  <si>
    <t>Copper (mg)</t>
  </si>
  <si>
    <t>Selenium (ug)</t>
  </si>
  <si>
    <t>Iodine (ug)</t>
  </si>
  <si>
    <t>Thiamin (mg)</t>
  </si>
  <si>
    <t>Riboflavin (mg)</t>
  </si>
  <si>
    <t>Niacin  (mg)</t>
  </si>
  <si>
    <t>Vitamin B6 (mg)</t>
  </si>
  <si>
    <t>Vitamin B12 (ug)</t>
  </si>
  <si>
    <t>Folate (ug)</t>
  </si>
  <si>
    <t>Retinol Equivs (ug)</t>
  </si>
  <si>
    <t>Vitamin C(mg)</t>
  </si>
  <si>
    <t>Vitamin D(ug)</t>
  </si>
  <si>
    <t>Vitamin E (mg)</t>
  </si>
  <si>
    <t>KR 053</t>
  </si>
  <si>
    <t>KR 054</t>
  </si>
  <si>
    <t>KR 001</t>
  </si>
  <si>
    <t>KR 002</t>
  </si>
  <si>
    <t>Participant ID</t>
  </si>
  <si>
    <t>KR 003</t>
  </si>
  <si>
    <t>KR005</t>
  </si>
  <si>
    <t>KR007</t>
  </si>
  <si>
    <t>KR008</t>
  </si>
  <si>
    <t>KR009</t>
  </si>
  <si>
    <t>KR011</t>
  </si>
  <si>
    <t>KR012</t>
  </si>
  <si>
    <t>KR013</t>
  </si>
  <si>
    <t>KR014</t>
  </si>
  <si>
    <t>KR015</t>
  </si>
  <si>
    <t>KR016</t>
  </si>
  <si>
    <t>KR018</t>
  </si>
  <si>
    <t>KR019</t>
  </si>
  <si>
    <t>KR020</t>
  </si>
  <si>
    <t>KR021</t>
  </si>
  <si>
    <t>KR022</t>
  </si>
  <si>
    <t>KR024</t>
  </si>
  <si>
    <t>KR025</t>
  </si>
  <si>
    <t>KR026</t>
  </si>
  <si>
    <t>KR027</t>
  </si>
  <si>
    <t>KR028</t>
  </si>
  <si>
    <t>KR030</t>
  </si>
  <si>
    <t>KR031</t>
  </si>
  <si>
    <t>KR032</t>
  </si>
  <si>
    <t>KR034</t>
  </si>
  <si>
    <t>KR036</t>
  </si>
  <si>
    <t>KR037</t>
  </si>
  <si>
    <t>KR039</t>
  </si>
  <si>
    <t>KR040</t>
  </si>
  <si>
    <t>KR041</t>
  </si>
  <si>
    <t>KR043</t>
  </si>
  <si>
    <t>KR045</t>
  </si>
  <si>
    <t>KR046</t>
  </si>
  <si>
    <t>KR047</t>
  </si>
  <si>
    <t>KR048</t>
  </si>
  <si>
    <t>KR051</t>
  </si>
  <si>
    <t>KR052</t>
  </si>
  <si>
    <t>KR055</t>
  </si>
  <si>
    <t>KR056</t>
  </si>
  <si>
    <t>KR057</t>
  </si>
  <si>
    <t>KR058</t>
  </si>
  <si>
    <t>KR059</t>
  </si>
  <si>
    <t>KR060</t>
  </si>
  <si>
    <t>KR061</t>
  </si>
  <si>
    <t>KR062</t>
  </si>
  <si>
    <t>KR063</t>
  </si>
  <si>
    <t>KR064</t>
  </si>
  <si>
    <t>KR065</t>
  </si>
  <si>
    <t>KR066</t>
  </si>
  <si>
    <t>KR067</t>
  </si>
  <si>
    <t>KR069</t>
  </si>
  <si>
    <t>KR073</t>
  </si>
  <si>
    <t>KR074</t>
  </si>
  <si>
    <t>KR075</t>
  </si>
  <si>
    <t>KR076</t>
  </si>
  <si>
    <t>KR077</t>
  </si>
  <si>
    <t>KR078</t>
  </si>
  <si>
    <t>KR079</t>
  </si>
  <si>
    <t>KR080</t>
  </si>
  <si>
    <t>KR081</t>
  </si>
  <si>
    <t>KR082</t>
  </si>
  <si>
    <t>KR083</t>
  </si>
  <si>
    <t>KR090</t>
  </si>
  <si>
    <t>KR091</t>
  </si>
  <si>
    <t>KR092</t>
  </si>
  <si>
    <t>KR093</t>
  </si>
  <si>
    <t>KR094</t>
  </si>
  <si>
    <t>KR095</t>
  </si>
  <si>
    <t>KR096</t>
  </si>
  <si>
    <t>KR097</t>
  </si>
  <si>
    <t>KR098</t>
  </si>
  <si>
    <t>KR099</t>
  </si>
  <si>
    <t>KR101</t>
  </si>
  <si>
    <t>KR103</t>
  </si>
  <si>
    <t>KR531</t>
  </si>
  <si>
    <t>KR529</t>
  </si>
  <si>
    <t>KR527</t>
  </si>
  <si>
    <t>KR526</t>
  </si>
  <si>
    <t>KR525</t>
  </si>
  <si>
    <t>KR524</t>
  </si>
  <si>
    <t>KR523</t>
  </si>
  <si>
    <t>KR522</t>
  </si>
  <si>
    <t>KR521</t>
  </si>
  <si>
    <t>KR520</t>
  </si>
  <si>
    <t>KR519</t>
  </si>
  <si>
    <t>KR518</t>
  </si>
  <si>
    <t>KR517</t>
  </si>
  <si>
    <t>KR516</t>
  </si>
  <si>
    <t>KR514</t>
  </si>
  <si>
    <t>KR513</t>
  </si>
  <si>
    <t>KR512</t>
  </si>
  <si>
    <t>KR511</t>
  </si>
  <si>
    <t>KR510</t>
  </si>
  <si>
    <t>KR509</t>
  </si>
  <si>
    <t>KR508</t>
  </si>
  <si>
    <t>KR506</t>
  </si>
  <si>
    <t>KR505</t>
  </si>
  <si>
    <t>KR504</t>
  </si>
  <si>
    <t>KR503</t>
  </si>
  <si>
    <t>KR502</t>
  </si>
  <si>
    <t>KR105</t>
  </si>
  <si>
    <t>KR106</t>
  </si>
  <si>
    <t>KR108</t>
  </si>
  <si>
    <t>KR109</t>
  </si>
  <si>
    <t>KR110</t>
  </si>
  <si>
    <t>KR112</t>
  </si>
  <si>
    <t>KR113</t>
  </si>
  <si>
    <t>KR114</t>
  </si>
  <si>
    <t>KR118</t>
  </si>
  <si>
    <t>KR120</t>
  </si>
  <si>
    <t>KR501</t>
  </si>
  <si>
    <t>KR500</t>
  </si>
  <si>
    <t>KR499</t>
  </si>
  <si>
    <t>KR498</t>
  </si>
  <si>
    <t>KR497</t>
  </si>
  <si>
    <t>KR496</t>
  </si>
  <si>
    <t>KR495</t>
  </si>
  <si>
    <t>KR494</t>
  </si>
  <si>
    <t>KR492</t>
  </si>
  <si>
    <t>KR491</t>
  </si>
  <si>
    <t>KR490</t>
  </si>
  <si>
    <t>KR489</t>
  </si>
  <si>
    <t>KR488</t>
  </si>
  <si>
    <t>KR487</t>
  </si>
  <si>
    <t>KR486</t>
  </si>
  <si>
    <t>KR484</t>
  </si>
  <si>
    <t>KR483</t>
  </si>
  <si>
    <t>KR482</t>
  </si>
  <si>
    <t>KR481</t>
  </si>
  <si>
    <t>KR480</t>
  </si>
  <si>
    <t>KR479</t>
  </si>
  <si>
    <t>KR478</t>
  </si>
  <si>
    <t>KR477</t>
  </si>
  <si>
    <t>KR476</t>
  </si>
  <si>
    <t>KR475</t>
  </si>
  <si>
    <t>KR473</t>
  </si>
  <si>
    <t>KR123</t>
  </si>
  <si>
    <t>KR124</t>
  </si>
  <si>
    <t>KR125</t>
  </si>
  <si>
    <t>KR126</t>
  </si>
  <si>
    <t>KR127</t>
  </si>
  <si>
    <t>KR128</t>
  </si>
  <si>
    <t>KR130</t>
  </si>
  <si>
    <t>KR131</t>
  </si>
  <si>
    <t>KR132</t>
  </si>
  <si>
    <t>KR133</t>
  </si>
  <si>
    <t>KR134</t>
  </si>
  <si>
    <t>KR135</t>
  </si>
  <si>
    <t>KR136</t>
  </si>
  <si>
    <t>KR137</t>
  </si>
  <si>
    <t>KR140</t>
  </si>
  <si>
    <t>KR472</t>
  </si>
  <si>
    <t>KR470</t>
  </si>
  <si>
    <t>KR469</t>
  </si>
  <si>
    <t>KR468</t>
  </si>
  <si>
    <t>KR467</t>
  </si>
  <si>
    <t>KR466</t>
  </si>
  <si>
    <t>KR464</t>
  </si>
  <si>
    <t>KR463</t>
  </si>
  <si>
    <t>KR462</t>
  </si>
  <si>
    <t>KR461</t>
  </si>
  <si>
    <t>KR460</t>
  </si>
  <si>
    <t>KR459</t>
  </si>
  <si>
    <t>KR458</t>
  </si>
  <si>
    <t>KR457</t>
  </si>
  <si>
    <t>KR456</t>
  </si>
  <si>
    <t>KR455</t>
  </si>
  <si>
    <t>KR454</t>
  </si>
  <si>
    <t>KR453</t>
  </si>
  <si>
    <t>KR452</t>
  </si>
  <si>
    <t>KR451</t>
  </si>
  <si>
    <t>KR450</t>
  </si>
  <si>
    <t>KR449</t>
  </si>
  <si>
    <t>KR448</t>
  </si>
  <si>
    <t>KR447</t>
  </si>
  <si>
    <t>KR141</t>
  </si>
  <si>
    <t>KR142</t>
  </si>
  <si>
    <t>KR143</t>
  </si>
  <si>
    <t>KR144</t>
  </si>
  <si>
    <t>KR145</t>
  </si>
  <si>
    <t>KR147</t>
  </si>
  <si>
    <t>KR151</t>
  </si>
  <si>
    <t>KR152</t>
  </si>
  <si>
    <t>KR153</t>
  </si>
  <si>
    <t>KR156</t>
  </si>
  <si>
    <t>KR157</t>
  </si>
  <si>
    <t>KR158</t>
  </si>
  <si>
    <t>KR161</t>
  </si>
  <si>
    <t>KR164</t>
  </si>
  <si>
    <t>KR169</t>
  </si>
  <si>
    <t>KR177</t>
  </si>
  <si>
    <t>KR178</t>
  </si>
  <si>
    <t>KR179</t>
  </si>
  <si>
    <t>KR180</t>
  </si>
  <si>
    <t>KR181</t>
  </si>
  <si>
    <t>KR182</t>
  </si>
  <si>
    <t>KR183</t>
  </si>
  <si>
    <t>KR185</t>
  </si>
  <si>
    <t>KR186</t>
  </si>
  <si>
    <t>KR187</t>
  </si>
  <si>
    <t>KR190</t>
  </si>
  <si>
    <t>KR192</t>
  </si>
  <si>
    <t>KR194</t>
  </si>
  <si>
    <t>KR195</t>
  </si>
  <si>
    <t>KR198</t>
  </si>
  <si>
    <t>KR199</t>
  </si>
  <si>
    <t>KR200</t>
  </si>
  <si>
    <t>KR201</t>
  </si>
  <si>
    <t>KR202</t>
  </si>
  <si>
    <t>KR203</t>
  </si>
  <si>
    <t>KR204</t>
  </si>
  <si>
    <t>KR205</t>
  </si>
  <si>
    <t>KR206</t>
  </si>
  <si>
    <t>KR207</t>
  </si>
  <si>
    <t>KR208</t>
  </si>
  <si>
    <t>KR209</t>
  </si>
  <si>
    <t>KR213</t>
  </si>
  <si>
    <t>KR214</t>
  </si>
  <si>
    <t>KR216</t>
  </si>
  <si>
    <t>KR217</t>
  </si>
  <si>
    <t>KR219</t>
  </si>
  <si>
    <t>KR220</t>
  </si>
  <si>
    <t>KR226</t>
  </si>
  <si>
    <t>KR230</t>
  </si>
  <si>
    <t>KR231</t>
  </si>
  <si>
    <t>KR234</t>
  </si>
  <si>
    <t>KR235</t>
  </si>
  <si>
    <t>KR446</t>
  </si>
  <si>
    <t>KR445</t>
  </si>
  <si>
    <t>KR442</t>
  </si>
  <si>
    <t>KR440</t>
  </si>
  <si>
    <t>KR438</t>
  </si>
  <si>
    <t>KR437</t>
  </si>
  <si>
    <t>KR435</t>
  </si>
  <si>
    <t>KR434</t>
  </si>
  <si>
    <t>KR433</t>
  </si>
  <si>
    <t>KR432</t>
  </si>
  <si>
    <t>KR431</t>
  </si>
  <si>
    <t>KR430</t>
  </si>
  <si>
    <t>KR429</t>
  </si>
  <si>
    <t>KR428</t>
  </si>
  <si>
    <t>KR427</t>
  </si>
  <si>
    <t>KR426</t>
  </si>
  <si>
    <t>KR425</t>
  </si>
  <si>
    <t>KR424</t>
  </si>
  <si>
    <t>KR423</t>
  </si>
  <si>
    <t>KR421</t>
  </si>
  <si>
    <t>KR420</t>
  </si>
  <si>
    <t>KR416</t>
  </si>
  <si>
    <t>KR415</t>
  </si>
  <si>
    <t>KR414</t>
  </si>
  <si>
    <t>KR413</t>
  </si>
  <si>
    <t>KR412</t>
  </si>
  <si>
    <t>KR411</t>
  </si>
  <si>
    <t>KR410</t>
  </si>
  <si>
    <t>KR409</t>
  </si>
  <si>
    <t>KR408</t>
  </si>
  <si>
    <t>KR407</t>
  </si>
  <si>
    <t>KR406</t>
  </si>
  <si>
    <t>KR405</t>
  </si>
  <si>
    <t>KR404</t>
  </si>
  <si>
    <t>KR403</t>
  </si>
  <si>
    <t>KR402</t>
  </si>
  <si>
    <t>KR401</t>
  </si>
  <si>
    <t>KR399</t>
  </si>
  <si>
    <t>KR398</t>
  </si>
  <si>
    <t>KR397</t>
  </si>
  <si>
    <t>KR394</t>
  </si>
  <si>
    <t>KR393</t>
  </si>
  <si>
    <t>KR392</t>
  </si>
  <si>
    <t>KR391</t>
  </si>
  <si>
    <t>KR390</t>
  </si>
  <si>
    <t>KR389</t>
  </si>
  <si>
    <t>KR388</t>
  </si>
  <si>
    <t>KR387</t>
  </si>
  <si>
    <t>KR386</t>
  </si>
  <si>
    <t>KR385</t>
  </si>
  <si>
    <t>KR384</t>
  </si>
  <si>
    <t>KR383</t>
  </si>
  <si>
    <t>KR382</t>
  </si>
  <si>
    <t>KR381</t>
  </si>
  <si>
    <t>KR380</t>
  </si>
  <si>
    <t>KR379</t>
  </si>
  <si>
    <t>KR378</t>
  </si>
  <si>
    <t>KR377</t>
  </si>
  <si>
    <t>KR376</t>
  </si>
  <si>
    <t>KR375</t>
  </si>
  <si>
    <t>KR374</t>
  </si>
  <si>
    <t>KR373</t>
  </si>
  <si>
    <t>KR372</t>
  </si>
  <si>
    <t>KR371</t>
  </si>
  <si>
    <t>KR370</t>
  </si>
  <si>
    <t>KR369</t>
  </si>
  <si>
    <t>KR368</t>
  </si>
  <si>
    <t>KR367</t>
  </si>
  <si>
    <t>KR366</t>
  </si>
  <si>
    <t>KR365</t>
  </si>
  <si>
    <t>KR364</t>
  </si>
  <si>
    <t>KR363</t>
  </si>
  <si>
    <t>KR362</t>
  </si>
  <si>
    <t>KR361</t>
  </si>
  <si>
    <t>KR360</t>
  </si>
  <si>
    <t>KR359</t>
  </si>
  <si>
    <t>KR358</t>
  </si>
  <si>
    <t>KR357</t>
  </si>
  <si>
    <t>KR354</t>
  </si>
  <si>
    <t>KR236</t>
  </si>
  <si>
    <t>KR237</t>
  </si>
  <si>
    <t>KR238</t>
  </si>
  <si>
    <t>KR239</t>
  </si>
  <si>
    <t>KR240</t>
  </si>
  <si>
    <t>KR241</t>
  </si>
  <si>
    <t>KR242</t>
  </si>
  <si>
    <t>KR243</t>
  </si>
  <si>
    <t>KR244</t>
  </si>
  <si>
    <t>KR245</t>
  </si>
  <si>
    <t>KR246</t>
  </si>
  <si>
    <t>KR247</t>
  </si>
  <si>
    <t>KR248</t>
  </si>
  <si>
    <t>KR250</t>
  </si>
  <si>
    <t>KR251</t>
  </si>
  <si>
    <t>KR252</t>
  </si>
  <si>
    <t>KR253</t>
  </si>
  <si>
    <t>KR254</t>
  </si>
  <si>
    <t>KR255</t>
  </si>
  <si>
    <t>KR256</t>
  </si>
  <si>
    <t>KR257</t>
  </si>
  <si>
    <t>KR258</t>
  </si>
  <si>
    <t>KR260</t>
  </si>
  <si>
    <t>KR261</t>
  </si>
  <si>
    <t>KR263</t>
  </si>
  <si>
    <t>KR264</t>
  </si>
  <si>
    <t>KR265</t>
  </si>
  <si>
    <t>KR267</t>
  </si>
  <si>
    <t>KR268</t>
  </si>
  <si>
    <t>KR269</t>
  </si>
  <si>
    <t>KR271</t>
  </si>
  <si>
    <t>KR272</t>
  </si>
  <si>
    <t>KR273</t>
  </si>
  <si>
    <t>KR274</t>
  </si>
  <si>
    <t>KR275</t>
  </si>
  <si>
    <t>KR276</t>
  </si>
  <si>
    <t>KR277</t>
  </si>
  <si>
    <t>KR278</t>
  </si>
  <si>
    <t>KR279</t>
  </si>
  <si>
    <t>KR281</t>
  </si>
  <si>
    <t>KR282</t>
  </si>
  <si>
    <t>KR284</t>
  </si>
  <si>
    <t>KR285</t>
  </si>
  <si>
    <t>KR286</t>
  </si>
  <si>
    <t>KR287</t>
  </si>
  <si>
    <t>KR290</t>
  </si>
  <si>
    <t>KR291</t>
  </si>
  <si>
    <t>KR292</t>
  </si>
  <si>
    <t>KR293</t>
  </si>
  <si>
    <t>KR294</t>
  </si>
  <si>
    <t>KR295</t>
  </si>
  <si>
    <t>KR296</t>
  </si>
  <si>
    <t>KR297</t>
  </si>
  <si>
    <t>KR298</t>
  </si>
  <si>
    <t>KR300</t>
  </si>
  <si>
    <t>KR353</t>
  </si>
  <si>
    <t>KR352</t>
  </si>
  <si>
    <t>KR351</t>
  </si>
  <si>
    <t>KR528</t>
  </si>
  <si>
    <t>KR345</t>
  </si>
  <si>
    <t>KR344</t>
  </si>
  <si>
    <t>KR343</t>
  </si>
  <si>
    <t>KR342</t>
  </si>
  <si>
    <t>KR341</t>
  </si>
  <si>
    <t>KR301</t>
  </si>
  <si>
    <t>KR302</t>
  </si>
  <si>
    <t>KR304</t>
  </si>
  <si>
    <t>KR305</t>
  </si>
  <si>
    <t>KR306</t>
  </si>
  <si>
    <t>KR308</t>
  </si>
  <si>
    <t>KR309</t>
  </si>
  <si>
    <t>KR310</t>
  </si>
  <si>
    <t>KR311</t>
  </si>
  <si>
    <t>KR312</t>
  </si>
  <si>
    <t>KR313</t>
  </si>
  <si>
    <t>KR314</t>
  </si>
  <si>
    <t>KR315</t>
  </si>
  <si>
    <t>KR316</t>
  </si>
  <si>
    <t>KR318</t>
  </si>
  <si>
    <t>KR319</t>
  </si>
  <si>
    <t>KR321</t>
  </si>
  <si>
    <t>KR323</t>
  </si>
  <si>
    <t>KR324</t>
  </si>
  <si>
    <t>KR325</t>
  </si>
  <si>
    <t>KR326</t>
  </si>
  <si>
    <t>KR327</t>
  </si>
  <si>
    <t>KR329</t>
  </si>
  <si>
    <t>KR334</t>
  </si>
  <si>
    <t>KR336</t>
  </si>
  <si>
    <t>KR338</t>
  </si>
  <si>
    <t>KR339</t>
  </si>
  <si>
    <t>Pulse piulse pressure mmHg</t>
  </si>
  <si>
    <t xml:space="preserve">Daily fruit intake </t>
  </si>
  <si>
    <t>No of variety</t>
  </si>
  <si>
    <t>No of serving</t>
  </si>
  <si>
    <t xml:space="preserve"> quantity per day</t>
  </si>
  <si>
    <t>Daily vegetable intake</t>
  </si>
  <si>
    <t>Total F &amp; V intake</t>
  </si>
  <si>
    <t>Mean</t>
  </si>
  <si>
    <t>Max</t>
  </si>
  <si>
    <t>Mini</t>
  </si>
  <si>
    <t>SD</t>
  </si>
  <si>
    <t>serving total</t>
  </si>
  <si>
    <t>F and V catogary</t>
  </si>
  <si>
    <t>category(</t>
  </si>
  <si>
    <t>Catogary</t>
  </si>
  <si>
    <t>fruit catagero</t>
  </si>
  <si>
    <t>Veg  catagero</t>
  </si>
  <si>
    <t>Total F&amp;V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</si>
</sst>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0" borderId="3" xfId="0" applyBorder="1"/>
    <xf numFmtId="0" fontId="0" fillId="0" borderId="4" xfId="0" applyBorder="1"/>
    <xf numFmtId="165" fontId="0" fillId="0" borderId="0" xfId="0" applyNumberFormat="1"/>
    <xf numFmtId="2" fontId="0" fillId="0" borderId="0" xfId="0" applyNumberFormat="1"/>
    <xf numFmtId="0" fontId="0" fillId="3" borderId="0" xfId="0" applyFill="1"/>
    <xf numFmtId="0" fontId="0" fillId="0" borderId="0" xfId="0" applyAlignment="1">
      <alignment wrapText="1"/>
    </xf>
    <xf numFmtId="0" fontId="0" fillId="6" borderId="0" xfId="0" applyFill="1"/>
    <xf numFmtId="0" fontId="6" fillId="0" borderId="0" xfId="0" applyFont="1"/>
    <xf numFmtId="0" fontId="6" fillId="0" borderId="4" xfId="0" applyFont="1" applyBorder="1"/>
    <xf numFmtId="2" fontId="0" fillId="3" borderId="0" xfId="0" applyNumberFormat="1" applyFill="1"/>
    <xf numFmtId="0" fontId="0" fillId="0" borderId="0" xfId="0" applyAlignment="1">
      <alignment vertical="center"/>
    </xf>
    <xf numFmtId="2" fontId="0" fillId="2" borderId="0" xfId="0" applyNumberFormat="1" applyFill="1"/>
    <xf numFmtId="164" fontId="0" fillId="6" borderId="1" xfId="0" applyNumberFormat="1" applyFill="1" applyBorder="1"/>
    <xf numFmtId="164" fontId="0" fillId="6" borderId="2" xfId="0" applyNumberFormat="1" applyFill="1" applyBorder="1"/>
    <xf numFmtId="164" fontId="0" fillId="6" borderId="0" xfId="0" applyNumberFormat="1" applyFill="1"/>
    <xf numFmtId="164" fontId="0" fillId="0" borderId="1" xfId="0" applyNumberFormat="1" applyBorder="1"/>
    <xf numFmtId="164" fontId="0" fillId="0" borderId="0" xfId="0" applyNumberFormat="1"/>
    <xf numFmtId="0" fontId="0" fillId="0" borderId="5" xfId="0" applyBorder="1"/>
    <xf numFmtId="165" fontId="0" fillId="0" borderId="4" xfId="0" applyNumberFormat="1" applyBorder="1"/>
    <xf numFmtId="4" fontId="0" fillId="0" borderId="0" xfId="0" applyNumberFormat="1"/>
    <xf numFmtId="0" fontId="7" fillId="0" borderId="0" xfId="0" applyFont="1"/>
    <xf numFmtId="2" fontId="0" fillId="0" borderId="0" xfId="0" applyNumberFormat="1" applyAlignment="1">
      <alignment horizontal="right"/>
    </xf>
    <xf numFmtId="164" fontId="0" fillId="6" borderId="2" xfId="0" applyNumberFormat="1" applyFill="1" applyBorder="1" applyAlignment="1">
      <alignment wrapText="1"/>
    </xf>
    <xf numFmtId="165" fontId="6" fillId="0" borderId="0" xfId="0" applyNumberFormat="1" applyFont="1"/>
    <xf numFmtId="0" fontId="0" fillId="15" borderId="0" xfId="0" applyFill="1"/>
    <xf numFmtId="164" fontId="1" fillId="6" borderId="0" xfId="0" applyNumberFormat="1" applyFont="1" applyFill="1"/>
    <xf numFmtId="0" fontId="1" fillId="13" borderId="0" xfId="0" applyFont="1" applyFill="1"/>
    <xf numFmtId="0" fontId="1" fillId="13" borderId="0" xfId="0" applyFont="1" applyFill="1" applyAlignment="1">
      <alignment horizontal="center" wrapText="1"/>
    </xf>
    <xf numFmtId="0" fontId="1" fillId="10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2" fontId="1" fillId="10" borderId="4" xfId="0" applyNumberFormat="1" applyFont="1" applyFill="1" applyBorder="1" applyAlignment="1">
      <alignment horizontal="center" wrapText="1"/>
    </xf>
    <xf numFmtId="0" fontId="1" fillId="8" borderId="4" xfId="0" applyFont="1" applyFill="1" applyBorder="1" applyAlignment="1">
      <alignment horizontal="center"/>
    </xf>
    <xf numFmtId="2" fontId="1" fillId="8" borderId="4" xfId="0" applyNumberFormat="1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0" fillId="16" borderId="0" xfId="0" applyFill="1"/>
    <xf numFmtId="0" fontId="1" fillId="16" borderId="0" xfId="0" applyFont="1" applyFill="1"/>
    <xf numFmtId="2" fontId="0" fillId="16" borderId="0" xfId="0" applyNumberFormat="1" applyFill="1"/>
    <xf numFmtId="165" fontId="0" fillId="16" borderId="0" xfId="0" applyNumberFormat="1" applyFill="1"/>
    <xf numFmtId="0" fontId="1" fillId="5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4" borderId="0" xfId="0" applyFill="1" applyAlignment="1">
      <alignment horizontal="center" wrapText="1"/>
    </xf>
    <xf numFmtId="0" fontId="1" fillId="14" borderId="5" xfId="0" applyFont="1" applyFill="1" applyBorder="1" applyAlignment="1">
      <alignment horizontal="center" wrapText="1"/>
    </xf>
    <xf numFmtId="0" fontId="1" fillId="14" borderId="0" xfId="0" applyFont="1" applyFill="1" applyAlignment="1">
      <alignment horizontal="center" wrapText="1"/>
    </xf>
    <xf numFmtId="0" fontId="1" fillId="9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2" borderId="5" xfId="0" applyFont="1" applyFill="1" applyBorder="1" applyAlignment="1">
      <alignment horizontal="center" wrapText="1"/>
    </xf>
    <xf numFmtId="0" fontId="1" fillId="12" borderId="0" xfId="0" applyFont="1" applyFill="1" applyAlignment="1">
      <alignment horizontal="center" wrapText="1"/>
    </xf>
    <xf numFmtId="0" fontId="1" fillId="13" borderId="0" xfId="0" applyFont="1" applyFill="1" applyAlignment="1">
      <alignment horizontal="center"/>
    </xf>
    <xf numFmtId="0" fontId="1" fillId="7" borderId="4" xfId="0" applyFont="1" applyFill="1" applyBorder="1" applyAlignment="1">
      <alignment horizontal="center" wrapText="1"/>
    </xf>
    <xf numFmtId="0" fontId="1" fillId="9" borderId="6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 wrapText="1"/>
    </xf>
    <xf numFmtId="0" fontId="1" fillId="8" borderId="4" xfId="0" applyFont="1" applyFill="1" applyBorder="1" applyAlignment="1">
      <alignment horizontal="center"/>
    </xf>
    <xf numFmtId="2" fontId="1" fillId="8" borderId="4" xfId="0" applyNumberFormat="1" applyFont="1" applyFill="1" applyBorder="1" applyAlignment="1">
      <alignment horizontal="center" wrapText="1"/>
    </xf>
    <xf numFmtId="0" fontId="1" fillId="8" borderId="4" xfId="0" applyFont="1" applyFill="1" applyBorder="1" applyAlignment="1">
      <alignment horizontal="center" wrapText="1"/>
    </xf>
    <xf numFmtId="164" fontId="1" fillId="4" borderId="4" xfId="0" applyNumberFormat="1" applyFont="1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164" fontId="2" fillId="6" borderId="4" xfId="0" applyNumberFormat="1" applyFont="1" applyFill="1" applyBorder="1" applyAlignment="1">
      <alignment horizontal="center" vertical="center" wrapText="1"/>
    </xf>
    <xf numFmtId="165" fontId="2" fillId="10" borderId="4" xfId="0" applyNumberFormat="1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 wrapText="1"/>
    </xf>
    <xf numFmtId="0" fontId="1" fillId="10" borderId="4" xfId="0" applyFont="1" applyFill="1" applyBorder="1" applyAlignment="1">
      <alignment horizontal="center"/>
    </xf>
    <xf numFmtId="2" fontId="1" fillId="10" borderId="4" xfId="0" applyNumberFormat="1" applyFont="1" applyFill="1" applyBorder="1" applyAlignment="1">
      <alignment horizontal="center" wrapText="1"/>
    </xf>
    <xf numFmtId="164" fontId="2" fillId="4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 wrapText="1"/>
    </xf>
    <xf numFmtId="165" fontId="2" fillId="10" borderId="4" xfId="0" applyNumberFormat="1" applyFont="1" applyFill="1" applyBorder="1" applyAlignment="1">
      <alignment horizontal="center" vertical="center"/>
    </xf>
    <xf numFmtId="165" fontId="0" fillId="2" borderId="0" xfId="0" applyNumberFormat="1" applyFill="1"/>
    <xf numFmtId="0" fontId="8" fillId="8" borderId="4" xfId="0" applyFont="1" applyFill="1" applyBorder="1" applyAlignment="1">
      <alignment horizontal="center"/>
    </xf>
    <xf numFmtId="2" fontId="9" fillId="0" borderId="0" xfId="0" applyNumberFormat="1" applyFont="1" applyAlignment="1">
      <alignment horizontal="right"/>
    </xf>
    <xf numFmtId="2" fontId="9" fillId="0" borderId="0" xfId="0" applyNumberFormat="1" applyFont="1"/>
    <xf numFmtId="0" fontId="9" fillId="0" borderId="0" xfId="0" applyFont="1"/>
    <xf numFmtId="165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CCFF"/>
      <color rgb="FFFF66CC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409"/>
  <sheetViews>
    <sheetView tabSelected="1" zoomScaleNormal="100" workbookViewId="0">
      <pane xSplit="1" ySplit="3" topLeftCell="B223" activePane="bottomRight" state="frozen"/>
      <selection pane="topRight" activeCell="B1" sqref="B1"/>
      <selection pane="bottomLeft" activeCell="A4" sqref="A4"/>
      <selection pane="bottomRight" activeCell="M406" sqref="M406"/>
    </sheetView>
  </sheetViews>
  <sheetFormatPr defaultRowHeight="14.4" x14ac:dyDescent="0.3"/>
  <cols>
    <col min="1" max="1" width="7.88671875" style="16" customWidth="1"/>
    <col min="2" max="2" width="7.88671875" style="18" customWidth="1"/>
    <col min="3" max="3" width="7.44140625" customWidth="1"/>
    <col min="4" max="4" width="18" customWidth="1"/>
    <col min="5" max="5" width="15.33203125" customWidth="1"/>
    <col min="6" max="6" width="15" customWidth="1"/>
    <col min="7" max="7" width="10.33203125" customWidth="1"/>
    <col min="8" max="8" width="12.6640625" customWidth="1"/>
    <col min="9" max="9" width="10.109375" customWidth="1"/>
    <col min="13" max="13" width="10.44140625" customWidth="1"/>
    <col min="14" max="14" width="10.33203125" customWidth="1"/>
    <col min="28" max="28" width="8.88671875" style="86"/>
    <col min="53" max="53" width="13.44140625" customWidth="1"/>
    <col min="58" max="58" width="11.44140625" customWidth="1"/>
    <col min="60" max="60" width="13" customWidth="1"/>
    <col min="61" max="61" width="13.33203125" customWidth="1"/>
    <col min="62" max="63" width="15.33203125" customWidth="1"/>
    <col min="90" max="90" width="9.109375" style="42"/>
    <col min="94" max="94" width="9.109375" style="42"/>
    <col min="95" max="96" width="9.5546875" bestFit="1" customWidth="1"/>
    <col min="97" max="97" width="9.5546875" customWidth="1"/>
  </cols>
  <sheetData>
    <row r="1" spans="1:100" ht="17.25" customHeight="1" x14ac:dyDescent="0.3">
      <c r="A1" s="67" t="s">
        <v>82</v>
      </c>
      <c r="B1" s="65" t="s">
        <v>30</v>
      </c>
      <c r="C1" s="66"/>
      <c r="D1" s="66"/>
      <c r="E1" s="66"/>
      <c r="F1" s="66"/>
      <c r="G1" s="66"/>
      <c r="H1" s="66"/>
      <c r="I1" s="66"/>
      <c r="J1" s="70" t="s">
        <v>31</v>
      </c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31"/>
      <c r="Z1" s="62" t="s">
        <v>32</v>
      </c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34"/>
      <c r="AP1" s="60" t="s">
        <v>33</v>
      </c>
      <c r="AQ1" s="60"/>
      <c r="AR1" s="60"/>
      <c r="AS1" s="60"/>
      <c r="AT1" s="60"/>
      <c r="AU1" s="60"/>
      <c r="AV1" s="60"/>
      <c r="AW1" s="41"/>
      <c r="AX1" s="57" t="s">
        <v>50</v>
      </c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9"/>
      <c r="BL1" s="53" t="s">
        <v>51</v>
      </c>
      <c r="BM1" s="54"/>
      <c r="BN1" s="54"/>
      <c r="BO1" s="54"/>
      <c r="BP1" s="54"/>
      <c r="BQ1" s="55"/>
      <c r="BR1" s="47" t="s">
        <v>52</v>
      </c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 t="s">
        <v>481</v>
      </c>
      <c r="CL1" s="47"/>
      <c r="CM1" s="47"/>
      <c r="CN1" s="47"/>
      <c r="CO1" s="48" t="s">
        <v>485</v>
      </c>
      <c r="CP1" s="48"/>
      <c r="CQ1" s="48"/>
      <c r="CR1" s="48"/>
      <c r="CS1" s="51" t="s">
        <v>486</v>
      </c>
      <c r="CT1" s="51"/>
      <c r="CU1" s="51"/>
      <c r="CV1" s="44" t="s">
        <v>492</v>
      </c>
    </row>
    <row r="2" spans="1:100" ht="16.5" customHeight="1" x14ac:dyDescent="0.3">
      <c r="A2" s="67"/>
      <c r="B2" s="74" t="s">
        <v>20</v>
      </c>
      <c r="C2" s="75" t="s">
        <v>4</v>
      </c>
      <c r="D2" s="76" t="s">
        <v>8</v>
      </c>
      <c r="E2" s="78" t="s">
        <v>29</v>
      </c>
      <c r="F2" s="79" t="s">
        <v>19</v>
      </c>
      <c r="G2" s="80" t="s">
        <v>14</v>
      </c>
      <c r="H2" s="80" t="s">
        <v>15</v>
      </c>
      <c r="I2" s="78" t="s">
        <v>21</v>
      </c>
      <c r="J2" s="68" t="s">
        <v>5</v>
      </c>
      <c r="K2" s="68" t="s">
        <v>22</v>
      </c>
      <c r="L2" s="69" t="s">
        <v>23</v>
      </c>
      <c r="M2" s="69" t="s">
        <v>24</v>
      </c>
      <c r="N2" s="69" t="s">
        <v>25</v>
      </c>
      <c r="O2" s="71" t="s">
        <v>26</v>
      </c>
      <c r="P2" s="30"/>
      <c r="Q2" s="72" t="s">
        <v>27</v>
      </c>
      <c r="R2" s="32"/>
      <c r="S2" s="72" t="s">
        <v>28</v>
      </c>
      <c r="T2" s="73" t="s">
        <v>7</v>
      </c>
      <c r="U2" s="33"/>
      <c r="V2" s="72" t="s">
        <v>6</v>
      </c>
      <c r="W2" s="32"/>
      <c r="X2" s="71" t="s">
        <v>16</v>
      </c>
      <c r="Y2" s="30"/>
      <c r="Z2" s="62" t="s">
        <v>43</v>
      </c>
      <c r="AA2" s="62" t="s">
        <v>18</v>
      </c>
      <c r="AB2" s="83"/>
      <c r="AC2" s="63" t="s">
        <v>44</v>
      </c>
      <c r="AD2" s="35"/>
      <c r="AE2" s="64" t="s">
        <v>45</v>
      </c>
      <c r="AF2" s="63" t="s">
        <v>46</v>
      </c>
      <c r="AG2" s="35"/>
      <c r="AH2" s="63" t="s">
        <v>47</v>
      </c>
      <c r="AI2" s="35"/>
      <c r="AJ2" s="63" t="s">
        <v>48</v>
      </c>
      <c r="AK2" s="35"/>
      <c r="AL2" s="63" t="s">
        <v>49</v>
      </c>
      <c r="AM2" s="35"/>
      <c r="AN2" s="62" t="s">
        <v>17</v>
      </c>
      <c r="AO2" s="34"/>
      <c r="AP2" s="61" t="s">
        <v>0</v>
      </c>
      <c r="AQ2" s="36"/>
      <c r="AR2" s="61" t="s">
        <v>1</v>
      </c>
      <c r="AS2" s="36"/>
      <c r="AT2" s="61" t="s">
        <v>2</v>
      </c>
      <c r="AU2" s="61" t="s">
        <v>480</v>
      </c>
      <c r="AV2" s="61" t="s">
        <v>3</v>
      </c>
      <c r="AW2" s="36"/>
      <c r="AX2" s="52" t="s">
        <v>34</v>
      </c>
      <c r="AY2" s="52" t="s">
        <v>35</v>
      </c>
      <c r="AZ2" s="56" t="s">
        <v>36</v>
      </c>
      <c r="BA2" s="52" t="s">
        <v>37</v>
      </c>
      <c r="BB2" s="52" t="s">
        <v>38</v>
      </c>
      <c r="BC2" s="52" t="s">
        <v>39</v>
      </c>
      <c r="BD2" s="52" t="s">
        <v>40</v>
      </c>
      <c r="BE2" s="52" t="s">
        <v>41</v>
      </c>
      <c r="BF2" s="52" t="s">
        <v>42</v>
      </c>
      <c r="BG2" s="52" t="s">
        <v>9</v>
      </c>
      <c r="BH2" s="52" t="s">
        <v>10</v>
      </c>
      <c r="BI2" s="52" t="s">
        <v>11</v>
      </c>
      <c r="BJ2" s="52" t="s">
        <v>12</v>
      </c>
      <c r="BK2" s="52" t="s">
        <v>13</v>
      </c>
      <c r="BL2" s="52" t="s">
        <v>53</v>
      </c>
      <c r="BM2" s="52" t="s">
        <v>54</v>
      </c>
      <c r="BN2" s="52" t="s">
        <v>55</v>
      </c>
      <c r="BO2" s="52" t="s">
        <v>56</v>
      </c>
      <c r="BP2" s="52" t="s">
        <v>57</v>
      </c>
      <c r="BQ2" s="52" t="s">
        <v>58</v>
      </c>
      <c r="BR2" s="52" t="s">
        <v>59</v>
      </c>
      <c r="BS2" s="52" t="s">
        <v>60</v>
      </c>
      <c r="BT2" s="52" t="s">
        <v>61</v>
      </c>
      <c r="BU2" s="52" t="s">
        <v>62</v>
      </c>
      <c r="BV2" s="52" t="s">
        <v>63</v>
      </c>
      <c r="BW2" s="56" t="s">
        <v>64</v>
      </c>
      <c r="BX2" s="52" t="s">
        <v>65</v>
      </c>
      <c r="BY2" s="52" t="s">
        <v>66</v>
      </c>
      <c r="BZ2" s="52" t="s">
        <v>67</v>
      </c>
      <c r="CA2" s="52" t="s">
        <v>68</v>
      </c>
      <c r="CB2" s="52" t="s">
        <v>69</v>
      </c>
      <c r="CC2" s="52" t="s">
        <v>70</v>
      </c>
      <c r="CD2" s="52" t="s">
        <v>71</v>
      </c>
      <c r="CE2" s="52" t="s">
        <v>72</v>
      </c>
      <c r="CF2" s="52" t="s">
        <v>73</v>
      </c>
      <c r="CG2" s="52" t="s">
        <v>75</v>
      </c>
      <c r="CH2" s="52" t="s">
        <v>74</v>
      </c>
      <c r="CI2" s="52" t="s">
        <v>76</v>
      </c>
      <c r="CJ2" s="52" t="s">
        <v>77</v>
      </c>
      <c r="CK2" s="45" t="s">
        <v>482</v>
      </c>
      <c r="CL2" s="46" t="s">
        <v>495</v>
      </c>
      <c r="CM2" s="46" t="s">
        <v>484</v>
      </c>
      <c r="CN2" s="46" t="s">
        <v>483</v>
      </c>
      <c r="CO2" s="49" t="s">
        <v>482</v>
      </c>
      <c r="CP2" s="50" t="s">
        <v>496</v>
      </c>
      <c r="CQ2" s="50" t="s">
        <v>484</v>
      </c>
      <c r="CR2" s="50" t="s">
        <v>483</v>
      </c>
      <c r="CS2" s="50" t="s">
        <v>497</v>
      </c>
      <c r="CT2" s="28"/>
      <c r="CU2" s="28"/>
      <c r="CV2" s="44"/>
    </row>
    <row r="3" spans="1:100" ht="16.5" customHeight="1" x14ac:dyDescent="0.3">
      <c r="A3" s="67"/>
      <c r="B3" s="74"/>
      <c r="C3" s="75"/>
      <c r="D3" s="77"/>
      <c r="E3" s="78"/>
      <c r="F3" s="79"/>
      <c r="G3" s="80"/>
      <c r="H3" s="80"/>
      <c r="I3" s="78"/>
      <c r="J3" s="81"/>
      <c r="K3" s="68"/>
      <c r="L3" s="69"/>
      <c r="M3" s="69"/>
      <c r="N3" s="69"/>
      <c r="O3" s="71"/>
      <c r="P3" s="30" t="s">
        <v>493</v>
      </c>
      <c r="Q3" s="72"/>
      <c r="R3" s="30" t="s">
        <v>493</v>
      </c>
      <c r="S3" s="72"/>
      <c r="T3" s="73"/>
      <c r="U3" s="30" t="s">
        <v>493</v>
      </c>
      <c r="V3" s="72"/>
      <c r="W3" s="30" t="s">
        <v>493</v>
      </c>
      <c r="X3" s="71"/>
      <c r="Y3" s="30" t="s">
        <v>493</v>
      </c>
      <c r="Z3" s="62"/>
      <c r="AA3" s="62"/>
      <c r="AB3" s="83" t="s">
        <v>494</v>
      </c>
      <c r="AC3" s="63"/>
      <c r="AD3" s="35" t="s">
        <v>494</v>
      </c>
      <c r="AE3" s="64"/>
      <c r="AF3" s="63"/>
      <c r="AG3" s="35" t="s">
        <v>494</v>
      </c>
      <c r="AH3" s="63"/>
      <c r="AI3" s="35" t="s">
        <v>494</v>
      </c>
      <c r="AJ3" s="63"/>
      <c r="AK3" s="35" t="s">
        <v>494</v>
      </c>
      <c r="AL3" s="63"/>
      <c r="AM3" s="35" t="s">
        <v>494</v>
      </c>
      <c r="AN3" s="62"/>
      <c r="AO3" s="35" t="s">
        <v>494</v>
      </c>
      <c r="AP3" s="61"/>
      <c r="AQ3" s="35" t="s">
        <v>494</v>
      </c>
      <c r="AR3" s="61"/>
      <c r="AS3" s="35" t="s">
        <v>494</v>
      </c>
      <c r="AT3" s="61"/>
      <c r="AU3" s="61"/>
      <c r="AV3" s="61"/>
      <c r="AW3" s="35" t="s">
        <v>494</v>
      </c>
      <c r="AX3" s="52"/>
      <c r="AY3" s="52"/>
      <c r="AZ3" s="56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6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45"/>
      <c r="CL3" s="46"/>
      <c r="CM3" s="46"/>
      <c r="CN3" s="46"/>
      <c r="CO3" s="49"/>
      <c r="CP3" s="50"/>
      <c r="CQ3" s="50"/>
      <c r="CR3" s="50"/>
      <c r="CS3" s="50"/>
      <c r="CT3" s="28"/>
      <c r="CU3" s="29" t="s">
        <v>491</v>
      </c>
      <c r="CV3" s="44"/>
    </row>
    <row r="4" spans="1:100" x14ac:dyDescent="0.3">
      <c r="A4" s="14" t="s">
        <v>80</v>
      </c>
      <c r="B4" s="17">
        <v>0</v>
      </c>
      <c r="C4" s="2">
        <v>32</v>
      </c>
      <c r="D4">
        <v>3</v>
      </c>
      <c r="E4">
        <v>3</v>
      </c>
      <c r="F4">
        <v>2</v>
      </c>
      <c r="G4">
        <v>1</v>
      </c>
      <c r="H4">
        <v>1</v>
      </c>
      <c r="I4">
        <v>0</v>
      </c>
      <c r="J4" s="4">
        <v>73</v>
      </c>
      <c r="K4" s="4">
        <f t="shared" ref="K4:K51" si="0">L4/100</f>
        <v>1.63</v>
      </c>
      <c r="L4">
        <v>163</v>
      </c>
      <c r="M4">
        <v>20.2</v>
      </c>
      <c r="N4">
        <v>50.1</v>
      </c>
      <c r="O4" s="4">
        <v>27.7</v>
      </c>
      <c r="P4" s="40">
        <v>1</v>
      </c>
      <c r="Q4">
        <v>89</v>
      </c>
      <c r="R4" s="37">
        <v>0</v>
      </c>
      <c r="S4">
        <v>97</v>
      </c>
      <c r="T4" s="5">
        <f t="shared" ref="T4:T70" si="1">Q4/S4</f>
        <v>0.91752577319587625</v>
      </c>
      <c r="U4" s="37">
        <v>1</v>
      </c>
      <c r="V4" s="4">
        <f t="shared" ref="V4:V67" si="2">J4/(K4*K4)</f>
        <v>27.475629493018182</v>
      </c>
      <c r="W4" s="39">
        <v>1</v>
      </c>
      <c r="X4">
        <v>12</v>
      </c>
      <c r="Y4" s="37">
        <v>1</v>
      </c>
      <c r="Z4" s="5">
        <v>6.5289999999999999</v>
      </c>
      <c r="AA4" s="23">
        <f t="shared" ref="AA4:AA66" si="3">(AC4*Z4)/22.5</f>
        <v>1.5901742222222222</v>
      </c>
      <c r="AB4" s="84">
        <v>0</v>
      </c>
      <c r="AC4" s="5">
        <v>5.48</v>
      </c>
      <c r="AD4" s="38">
        <v>0</v>
      </c>
      <c r="AE4">
        <v>8.08</v>
      </c>
      <c r="AF4" s="5">
        <v>6.53</v>
      </c>
      <c r="AG4" s="37">
        <v>1</v>
      </c>
      <c r="AH4" s="5">
        <v>2.52</v>
      </c>
      <c r="AI4" s="37">
        <v>1</v>
      </c>
      <c r="AJ4" s="5">
        <v>4.0999999999999996</v>
      </c>
      <c r="AK4" s="37">
        <v>1</v>
      </c>
      <c r="AL4" s="5">
        <v>1.25</v>
      </c>
      <c r="AM4" s="37">
        <v>0</v>
      </c>
      <c r="AN4" s="5">
        <f t="shared" ref="AN4:AN67" si="4">AF4/AL4</f>
        <v>5.2240000000000002</v>
      </c>
      <c r="AO4" s="37">
        <v>1</v>
      </c>
      <c r="AP4">
        <v>113</v>
      </c>
      <c r="AQ4" s="38">
        <v>0</v>
      </c>
      <c r="AR4">
        <v>82</v>
      </c>
      <c r="AS4" s="37">
        <v>0</v>
      </c>
      <c r="AT4">
        <v>60</v>
      </c>
      <c r="AU4">
        <v>32</v>
      </c>
      <c r="AV4">
        <v>5.2</v>
      </c>
      <c r="AW4" s="37">
        <v>1</v>
      </c>
      <c r="AX4">
        <v>1968</v>
      </c>
      <c r="AY4">
        <v>49.4</v>
      </c>
      <c r="AZ4">
        <v>45.7</v>
      </c>
      <c r="BA4">
        <v>361.7</v>
      </c>
      <c r="BB4">
        <v>9.4</v>
      </c>
      <c r="BC4">
        <v>278.39999999999998</v>
      </c>
      <c r="BD4">
        <v>66.900000000000006</v>
      </c>
      <c r="BE4">
        <v>44.9</v>
      </c>
      <c r="BF4">
        <v>81.099999999999994</v>
      </c>
      <c r="BG4">
        <v>20.9</v>
      </c>
      <c r="BH4">
        <v>10</v>
      </c>
      <c r="BI4">
        <v>68.900000000000006</v>
      </c>
      <c r="BJ4">
        <v>12.1</v>
      </c>
      <c r="BK4">
        <v>8.5</v>
      </c>
      <c r="BL4">
        <v>26.4</v>
      </c>
      <c r="BM4">
        <v>7</v>
      </c>
      <c r="BN4">
        <v>2.8</v>
      </c>
      <c r="BO4">
        <v>2.34</v>
      </c>
      <c r="BP4">
        <v>0.34</v>
      </c>
      <c r="BQ4">
        <v>0</v>
      </c>
      <c r="BR4">
        <v>495</v>
      </c>
      <c r="BS4">
        <v>183.7</v>
      </c>
      <c r="BT4">
        <v>2370</v>
      </c>
      <c r="BU4">
        <v>1484</v>
      </c>
      <c r="BV4">
        <v>8.0500000000000007</v>
      </c>
      <c r="BW4">
        <v>6.09</v>
      </c>
      <c r="BX4">
        <v>1.38</v>
      </c>
      <c r="BY4">
        <v>65.8</v>
      </c>
      <c r="BZ4">
        <v>61.1</v>
      </c>
      <c r="CA4">
        <v>0.71</v>
      </c>
      <c r="CB4">
        <v>0.71</v>
      </c>
      <c r="CC4">
        <v>17.2</v>
      </c>
      <c r="CD4">
        <v>0.85</v>
      </c>
      <c r="CE4">
        <v>1.96</v>
      </c>
      <c r="CF4">
        <v>153.69999999999999</v>
      </c>
      <c r="CG4">
        <v>40.799999999999997</v>
      </c>
      <c r="CH4">
        <v>749</v>
      </c>
      <c r="CI4">
        <v>2.41</v>
      </c>
      <c r="CJ4">
        <v>4.9000000000000004</v>
      </c>
      <c r="CK4">
        <v>2</v>
      </c>
      <c r="CL4" s="42" t="str">
        <f>IF(CM4&lt;=99,"1",IF(CM4&lt;=199,"2",IF(CM4&lt;=299,"3","4")))</f>
        <v>1</v>
      </c>
      <c r="CM4">
        <v>68</v>
      </c>
      <c r="CN4" s="4">
        <v>1.36</v>
      </c>
      <c r="CO4">
        <v>6</v>
      </c>
      <c r="CP4" s="42" t="str">
        <f>IF(CQ4&lt;=149,"1",IF(CQ4&lt;=299,"2",IF(CQ4&lt;=399,"3","4")))</f>
        <v>2</v>
      </c>
      <c r="CQ4">
        <v>176</v>
      </c>
      <c r="CR4" s="4">
        <v>1.4444444444444444</v>
      </c>
      <c r="CS4" s="43" t="str">
        <f>IF(CT4&lt;=149,"1",IF(CT4&lt;=299,"2",IF(CT4&lt;=399,"3","4")))</f>
        <v>2</v>
      </c>
      <c r="CT4" s="4">
        <f>(CM4+CQ4)</f>
        <v>244</v>
      </c>
      <c r="CU4" s="4">
        <f>(CN4+CR4)</f>
        <v>2.8044444444444445</v>
      </c>
      <c r="CV4" s="4">
        <v>2</v>
      </c>
    </row>
    <row r="5" spans="1:100" x14ac:dyDescent="0.3">
      <c r="A5" s="15" t="s">
        <v>81</v>
      </c>
      <c r="B5" s="17">
        <v>0</v>
      </c>
      <c r="C5" s="3">
        <v>31</v>
      </c>
      <c r="D5">
        <v>1</v>
      </c>
      <c r="E5">
        <v>3</v>
      </c>
      <c r="F5">
        <v>1</v>
      </c>
      <c r="G5">
        <v>0</v>
      </c>
      <c r="H5">
        <v>1</v>
      </c>
      <c r="I5">
        <v>1</v>
      </c>
      <c r="J5" s="4">
        <v>62.1</v>
      </c>
      <c r="K5" s="4">
        <f t="shared" si="0"/>
        <v>1.71</v>
      </c>
      <c r="L5">
        <v>171</v>
      </c>
      <c r="M5">
        <v>14.3</v>
      </c>
      <c r="N5">
        <v>45.3</v>
      </c>
      <c r="O5" s="4">
        <v>23.1</v>
      </c>
      <c r="P5" s="40">
        <v>1</v>
      </c>
      <c r="Q5">
        <v>78</v>
      </c>
      <c r="R5" s="37">
        <v>0</v>
      </c>
      <c r="S5">
        <v>93</v>
      </c>
      <c r="T5" s="5">
        <f t="shared" si="1"/>
        <v>0.83870967741935487</v>
      </c>
      <c r="U5" s="37">
        <v>0</v>
      </c>
      <c r="V5" s="4">
        <f t="shared" si="2"/>
        <v>21.237303785780242</v>
      </c>
      <c r="W5" s="39">
        <v>0</v>
      </c>
      <c r="X5">
        <v>7</v>
      </c>
      <c r="Y5" s="40">
        <v>0</v>
      </c>
      <c r="Z5" s="5">
        <v>5.3010000000000002</v>
      </c>
      <c r="AA5" s="23">
        <f t="shared" si="3"/>
        <v>1.0837600000000001</v>
      </c>
      <c r="AB5" s="84">
        <v>0</v>
      </c>
      <c r="AC5" s="5">
        <v>4.5999999999999996</v>
      </c>
      <c r="AD5" s="37">
        <v>0</v>
      </c>
      <c r="AE5">
        <v>18.829999999999998</v>
      </c>
      <c r="AF5" s="5">
        <v>5.94</v>
      </c>
      <c r="AG5" s="37">
        <v>1</v>
      </c>
      <c r="AH5" s="5">
        <v>1.45</v>
      </c>
      <c r="AI5" s="37">
        <v>0</v>
      </c>
      <c r="AJ5" s="5">
        <v>4</v>
      </c>
      <c r="AK5" s="37">
        <v>1</v>
      </c>
      <c r="AL5" s="5">
        <v>1.33</v>
      </c>
      <c r="AM5" s="37">
        <v>0</v>
      </c>
      <c r="AN5" s="4">
        <f t="shared" si="4"/>
        <v>4.4661654135338349</v>
      </c>
      <c r="AO5" s="37">
        <v>1</v>
      </c>
      <c r="AP5">
        <v>119</v>
      </c>
      <c r="AQ5" s="38">
        <v>0</v>
      </c>
      <c r="AR5">
        <v>74</v>
      </c>
      <c r="AS5" s="37">
        <v>0</v>
      </c>
      <c r="AT5">
        <v>58</v>
      </c>
      <c r="AU5">
        <v>45</v>
      </c>
      <c r="AV5">
        <v>5.4</v>
      </c>
      <c r="AW5" s="37">
        <v>1</v>
      </c>
      <c r="AX5">
        <v>1927</v>
      </c>
      <c r="AY5">
        <v>45</v>
      </c>
      <c r="AZ5">
        <v>54.7</v>
      </c>
      <c r="BA5">
        <v>333.5</v>
      </c>
      <c r="BB5">
        <v>7.8</v>
      </c>
      <c r="BC5">
        <v>218.2</v>
      </c>
      <c r="BD5">
        <v>96.2</v>
      </c>
      <c r="BE5">
        <v>74</v>
      </c>
      <c r="BF5">
        <v>103</v>
      </c>
      <c r="BG5">
        <v>25.5</v>
      </c>
      <c r="BH5">
        <v>9.3000000000000007</v>
      </c>
      <c r="BI5">
        <v>64.900000000000006</v>
      </c>
      <c r="BJ5">
        <v>16.100000000000001</v>
      </c>
      <c r="BK5">
        <v>14.4</v>
      </c>
      <c r="BL5">
        <v>34.5</v>
      </c>
      <c r="BM5">
        <v>8.1</v>
      </c>
      <c r="BN5">
        <v>2.7</v>
      </c>
      <c r="BO5">
        <v>2.13</v>
      </c>
      <c r="BP5">
        <v>0.34</v>
      </c>
      <c r="BQ5">
        <v>0</v>
      </c>
      <c r="BR5">
        <v>515</v>
      </c>
      <c r="BS5">
        <v>184.9</v>
      </c>
      <c r="BT5">
        <v>3037</v>
      </c>
      <c r="BU5">
        <v>1710</v>
      </c>
      <c r="BV5">
        <v>9.89</v>
      </c>
      <c r="BW5">
        <v>5.29</v>
      </c>
      <c r="BX5">
        <v>1.3</v>
      </c>
      <c r="BY5">
        <v>32.9</v>
      </c>
      <c r="BZ5">
        <v>51.1</v>
      </c>
      <c r="CA5">
        <v>1.02</v>
      </c>
      <c r="CB5">
        <v>0.84</v>
      </c>
      <c r="CC5">
        <v>14.2</v>
      </c>
      <c r="CD5">
        <v>0.8</v>
      </c>
      <c r="CE5">
        <v>0.61</v>
      </c>
      <c r="CF5">
        <v>173</v>
      </c>
      <c r="CG5">
        <v>38</v>
      </c>
      <c r="CH5">
        <v>218</v>
      </c>
      <c r="CI5">
        <v>0.66</v>
      </c>
      <c r="CJ5">
        <v>1.1000000000000001</v>
      </c>
      <c r="CK5">
        <v>1</v>
      </c>
      <c r="CL5" s="42" t="str">
        <f t="shared" ref="CL5:CL68" si="5">IF(CM5&lt;=99,"1",IF(CM5&lt;=199,"2",IF(CM5&lt;=299,"3","4")))</f>
        <v>1</v>
      </c>
      <c r="CM5" s="4">
        <v>49.666666666666664</v>
      </c>
      <c r="CN5" s="4">
        <v>0.99333333333333329</v>
      </c>
      <c r="CO5">
        <v>5</v>
      </c>
      <c r="CP5" s="42" t="str">
        <f t="shared" ref="CP5:CP68" si="6">IF(CQ5&lt;=149,"1",IF(CQ5&lt;=299,"2",IF(CQ5&lt;=399,"3","4")))</f>
        <v>1</v>
      </c>
      <c r="CQ5" s="4">
        <v>69.666666666666671</v>
      </c>
      <c r="CR5" s="4">
        <v>1.0246913580246915</v>
      </c>
      <c r="CS5" s="43" t="str">
        <f t="shared" ref="CS5:CS68" si="7">IF(CT5&lt;=149,"1",IF(CT5&lt;=299,"2",IF(CT5&lt;=399,"3","4")))</f>
        <v>1</v>
      </c>
      <c r="CT5" s="4">
        <f t="shared" ref="CT5:CT68" si="8">(CM5+CQ5)</f>
        <v>119.33333333333334</v>
      </c>
      <c r="CU5" s="4">
        <f t="shared" ref="CU5:CU68" si="9">(CN5+CR5)</f>
        <v>2.0180246913580246</v>
      </c>
      <c r="CV5" s="4">
        <v>2</v>
      </c>
    </row>
    <row r="6" spans="1:100" x14ac:dyDescent="0.3">
      <c r="A6" s="15" t="s">
        <v>83</v>
      </c>
      <c r="B6" s="17">
        <v>0</v>
      </c>
      <c r="C6" s="3">
        <v>33</v>
      </c>
      <c r="D6">
        <v>3</v>
      </c>
      <c r="E6">
        <v>2</v>
      </c>
      <c r="F6">
        <v>0</v>
      </c>
      <c r="G6">
        <v>2</v>
      </c>
      <c r="H6">
        <v>1</v>
      </c>
      <c r="I6">
        <v>1</v>
      </c>
      <c r="J6" s="4">
        <v>79.099999999999994</v>
      </c>
      <c r="K6" s="4">
        <f t="shared" si="0"/>
        <v>1.72</v>
      </c>
      <c r="L6">
        <v>172</v>
      </c>
      <c r="M6">
        <v>19.2</v>
      </c>
      <c r="N6">
        <v>56.8</v>
      </c>
      <c r="O6" s="4">
        <v>24.3</v>
      </c>
      <c r="P6" s="40">
        <v>1</v>
      </c>
      <c r="Q6">
        <v>93.5</v>
      </c>
      <c r="R6" s="37">
        <v>1</v>
      </c>
      <c r="S6">
        <v>101</v>
      </c>
      <c r="T6" s="5">
        <f t="shared" si="1"/>
        <v>0.92574257425742579</v>
      </c>
      <c r="U6" s="37">
        <v>1</v>
      </c>
      <c r="V6" s="4">
        <f t="shared" si="2"/>
        <v>26.737425635478637</v>
      </c>
      <c r="W6" s="39">
        <v>1</v>
      </c>
      <c r="X6">
        <v>11</v>
      </c>
      <c r="Y6" s="37">
        <v>1</v>
      </c>
      <c r="Z6" s="5">
        <v>19.748000000000001</v>
      </c>
      <c r="AA6" s="23">
        <f t="shared" si="3"/>
        <v>4.2041297777777782</v>
      </c>
      <c r="AB6" s="84">
        <v>1</v>
      </c>
      <c r="AC6" s="5">
        <v>4.79</v>
      </c>
      <c r="AD6" s="37">
        <v>0</v>
      </c>
      <c r="AE6">
        <v>3</v>
      </c>
      <c r="AF6" s="5">
        <v>5.25</v>
      </c>
      <c r="AG6" s="37">
        <v>1</v>
      </c>
      <c r="AH6" s="5">
        <v>2.74</v>
      </c>
      <c r="AI6" s="37">
        <v>1</v>
      </c>
      <c r="AJ6" s="5">
        <v>3.2</v>
      </c>
      <c r="AK6" s="37">
        <v>0</v>
      </c>
      <c r="AL6" s="5">
        <v>0.8</v>
      </c>
      <c r="AM6" s="37">
        <v>1</v>
      </c>
      <c r="AN6" s="5">
        <f t="shared" si="4"/>
        <v>6.5625</v>
      </c>
      <c r="AO6" s="37">
        <v>1</v>
      </c>
      <c r="AP6">
        <v>120</v>
      </c>
      <c r="AQ6" s="38">
        <v>0</v>
      </c>
      <c r="AR6">
        <v>91</v>
      </c>
      <c r="AS6" s="37">
        <v>1</v>
      </c>
      <c r="AT6">
        <v>83</v>
      </c>
      <c r="AU6">
        <v>30</v>
      </c>
      <c r="AV6">
        <v>5.5</v>
      </c>
      <c r="AW6" s="37">
        <v>1</v>
      </c>
      <c r="AX6">
        <v>1993</v>
      </c>
      <c r="AY6">
        <v>50.2</v>
      </c>
      <c r="AZ6">
        <v>40.700000000000003</v>
      </c>
      <c r="BA6">
        <v>379</v>
      </c>
      <c r="BB6">
        <v>7</v>
      </c>
      <c r="BC6">
        <v>307.3</v>
      </c>
      <c r="BD6">
        <v>47.6</v>
      </c>
      <c r="BE6">
        <v>35.1</v>
      </c>
      <c r="BF6">
        <v>150.9</v>
      </c>
      <c r="BG6">
        <v>18.399999999999999</v>
      </c>
      <c r="BH6">
        <v>10.1</v>
      </c>
      <c r="BI6">
        <v>71.3</v>
      </c>
      <c r="BJ6">
        <v>10.9</v>
      </c>
      <c r="BK6">
        <v>6.6</v>
      </c>
      <c r="BL6">
        <v>24</v>
      </c>
      <c r="BM6">
        <v>4.3</v>
      </c>
      <c r="BN6">
        <v>2.5</v>
      </c>
      <c r="BO6">
        <v>2.25</v>
      </c>
      <c r="BP6">
        <v>0.13</v>
      </c>
      <c r="BQ6">
        <v>0</v>
      </c>
      <c r="BR6">
        <v>482</v>
      </c>
      <c r="BS6">
        <v>162.5</v>
      </c>
      <c r="BT6">
        <v>2288</v>
      </c>
      <c r="BU6">
        <v>1512</v>
      </c>
      <c r="BV6">
        <v>10.45</v>
      </c>
      <c r="BW6">
        <v>7.21</v>
      </c>
      <c r="BX6">
        <v>1.46</v>
      </c>
      <c r="BY6">
        <v>53.8</v>
      </c>
      <c r="BZ6">
        <v>70.400000000000006</v>
      </c>
      <c r="CA6">
        <v>0.73</v>
      </c>
      <c r="CB6">
        <v>0.79</v>
      </c>
      <c r="CC6">
        <v>14.7</v>
      </c>
      <c r="CD6">
        <v>0.81</v>
      </c>
      <c r="CE6">
        <v>1.4</v>
      </c>
      <c r="CF6">
        <v>190.9</v>
      </c>
      <c r="CG6">
        <v>14.8</v>
      </c>
      <c r="CH6">
        <v>338</v>
      </c>
      <c r="CI6">
        <v>0.64</v>
      </c>
      <c r="CJ6">
        <v>2.2999999999999998</v>
      </c>
      <c r="CK6">
        <v>1</v>
      </c>
      <c r="CL6" s="42" t="str">
        <f t="shared" si="5"/>
        <v>1</v>
      </c>
      <c r="CM6" s="4">
        <v>22.333333333333332</v>
      </c>
      <c r="CN6" s="4">
        <v>0.44666666666666666</v>
      </c>
      <c r="CO6">
        <v>3</v>
      </c>
      <c r="CP6" s="42" t="str">
        <f t="shared" si="6"/>
        <v>1</v>
      </c>
      <c r="CQ6" s="4">
        <v>113.33333333333333</v>
      </c>
      <c r="CR6" s="4">
        <v>0.90864197530864199</v>
      </c>
      <c r="CS6" s="43" t="str">
        <f t="shared" si="7"/>
        <v>1</v>
      </c>
      <c r="CT6" s="4">
        <f t="shared" si="8"/>
        <v>135.66666666666666</v>
      </c>
      <c r="CU6" s="4">
        <f t="shared" si="9"/>
        <v>1.3553086419753086</v>
      </c>
      <c r="CV6" s="4">
        <v>1</v>
      </c>
    </row>
    <row r="7" spans="1:100" x14ac:dyDescent="0.3">
      <c r="A7" s="15" t="s">
        <v>84</v>
      </c>
      <c r="B7" s="17">
        <v>0</v>
      </c>
      <c r="C7" s="3">
        <v>48</v>
      </c>
      <c r="D7">
        <v>2</v>
      </c>
      <c r="E7">
        <v>1</v>
      </c>
      <c r="F7">
        <v>2</v>
      </c>
      <c r="G7">
        <v>0</v>
      </c>
      <c r="H7">
        <v>0</v>
      </c>
      <c r="I7">
        <v>1</v>
      </c>
      <c r="J7" s="4">
        <v>80.5</v>
      </c>
      <c r="K7" s="4">
        <f t="shared" si="0"/>
        <v>1.6569999999999998</v>
      </c>
      <c r="L7">
        <v>165.7</v>
      </c>
      <c r="M7">
        <v>24.6</v>
      </c>
      <c r="N7">
        <v>53</v>
      </c>
      <c r="O7" s="4">
        <v>30.6</v>
      </c>
      <c r="P7" s="40">
        <v>1</v>
      </c>
      <c r="Q7">
        <v>94.3</v>
      </c>
      <c r="R7" s="37">
        <v>1</v>
      </c>
      <c r="S7">
        <v>102.5</v>
      </c>
      <c r="T7" s="5">
        <f t="shared" si="1"/>
        <v>0.91999999999999993</v>
      </c>
      <c r="U7" s="37">
        <v>1</v>
      </c>
      <c r="V7" s="4">
        <f t="shared" si="2"/>
        <v>29.319115444108121</v>
      </c>
      <c r="W7" s="39">
        <v>1</v>
      </c>
      <c r="X7">
        <v>16</v>
      </c>
      <c r="Y7" s="37">
        <v>1</v>
      </c>
      <c r="AA7" s="23"/>
      <c r="AB7" s="84"/>
      <c r="AC7" s="5">
        <v>14.15</v>
      </c>
      <c r="AD7" s="37">
        <v>1</v>
      </c>
      <c r="AE7">
        <v>39.72</v>
      </c>
      <c r="AF7" s="5">
        <v>6.45</v>
      </c>
      <c r="AG7" s="37">
        <v>1</v>
      </c>
      <c r="AH7" s="5">
        <v>1.56</v>
      </c>
      <c r="AI7" s="37">
        <v>0</v>
      </c>
      <c r="AJ7" s="5">
        <v>4.62</v>
      </c>
      <c r="AK7" s="37">
        <v>1</v>
      </c>
      <c r="AL7" s="5">
        <v>1.1200000000000001</v>
      </c>
      <c r="AM7" s="37">
        <v>0</v>
      </c>
      <c r="AN7" s="4">
        <f t="shared" si="4"/>
        <v>5.7589285714285712</v>
      </c>
      <c r="AO7" s="37">
        <v>1</v>
      </c>
      <c r="AP7">
        <v>157</v>
      </c>
      <c r="AQ7" s="37">
        <v>1</v>
      </c>
      <c r="AR7">
        <v>101</v>
      </c>
      <c r="AS7" s="37">
        <v>1</v>
      </c>
      <c r="AT7">
        <v>74</v>
      </c>
      <c r="AU7">
        <v>57</v>
      </c>
      <c r="AV7">
        <v>7.8</v>
      </c>
      <c r="AW7" s="37">
        <v>0</v>
      </c>
      <c r="AX7">
        <v>2275</v>
      </c>
      <c r="AY7">
        <v>51.9</v>
      </c>
      <c r="AZ7">
        <v>39.299999999999997</v>
      </c>
      <c r="BA7">
        <v>455.7</v>
      </c>
      <c r="BB7">
        <v>7.1</v>
      </c>
      <c r="BC7">
        <v>344.1</v>
      </c>
      <c r="BD7">
        <v>97.7</v>
      </c>
      <c r="BE7">
        <v>92.1</v>
      </c>
      <c r="BF7">
        <v>125</v>
      </c>
      <c r="BG7">
        <v>15.5</v>
      </c>
      <c r="BH7">
        <v>9.1</v>
      </c>
      <c r="BI7">
        <v>75.099999999999994</v>
      </c>
      <c r="BJ7">
        <v>11.3</v>
      </c>
      <c r="BK7">
        <v>15.2</v>
      </c>
      <c r="BL7">
        <v>28.5</v>
      </c>
      <c r="BM7">
        <v>5.2</v>
      </c>
      <c r="BN7">
        <v>2.2999999999999998</v>
      </c>
      <c r="BO7">
        <v>1.88</v>
      </c>
      <c r="BP7">
        <v>0.17</v>
      </c>
      <c r="BQ7">
        <v>0</v>
      </c>
      <c r="BR7">
        <v>214</v>
      </c>
      <c r="BS7">
        <v>204.3</v>
      </c>
      <c r="BT7">
        <v>2811</v>
      </c>
      <c r="BU7">
        <v>2071</v>
      </c>
      <c r="BV7">
        <v>9.82</v>
      </c>
      <c r="BW7">
        <v>7.96</v>
      </c>
      <c r="BX7">
        <v>1.48</v>
      </c>
      <c r="BY7">
        <v>49.6</v>
      </c>
      <c r="BZ7">
        <v>62.1</v>
      </c>
      <c r="CA7">
        <v>0.43</v>
      </c>
      <c r="CB7">
        <v>0.49</v>
      </c>
      <c r="CC7">
        <v>18.5</v>
      </c>
      <c r="CD7">
        <v>0.92</v>
      </c>
      <c r="CE7">
        <v>1.69</v>
      </c>
      <c r="CF7">
        <v>144.9</v>
      </c>
      <c r="CG7">
        <v>27</v>
      </c>
      <c r="CH7">
        <v>274</v>
      </c>
      <c r="CI7">
        <v>0.56000000000000005</v>
      </c>
      <c r="CJ7">
        <v>0.9</v>
      </c>
      <c r="CK7">
        <v>0</v>
      </c>
      <c r="CL7" s="42" t="str">
        <f t="shared" si="5"/>
        <v>1</v>
      </c>
      <c r="CM7">
        <v>0</v>
      </c>
      <c r="CN7" s="4">
        <v>0</v>
      </c>
      <c r="CO7">
        <v>5</v>
      </c>
      <c r="CP7" s="42" t="str">
        <f t="shared" si="6"/>
        <v>2</v>
      </c>
      <c r="CQ7" s="4">
        <v>202.33333333333334</v>
      </c>
      <c r="CR7" s="4">
        <v>0.60493827160493818</v>
      </c>
      <c r="CS7" s="43" t="str">
        <f t="shared" si="7"/>
        <v>2</v>
      </c>
      <c r="CT7" s="4">
        <f t="shared" si="8"/>
        <v>202.33333333333334</v>
      </c>
      <c r="CU7" s="4">
        <f t="shared" si="9"/>
        <v>0.60493827160493818</v>
      </c>
      <c r="CV7" s="4">
        <v>1</v>
      </c>
    </row>
    <row r="8" spans="1:100" x14ac:dyDescent="0.3">
      <c r="A8" s="15" t="s">
        <v>85</v>
      </c>
      <c r="B8" s="17">
        <v>0</v>
      </c>
      <c r="C8" s="3">
        <v>53</v>
      </c>
      <c r="D8">
        <v>2</v>
      </c>
      <c r="E8">
        <v>2</v>
      </c>
      <c r="F8">
        <v>1</v>
      </c>
      <c r="G8">
        <v>1</v>
      </c>
      <c r="H8">
        <v>1</v>
      </c>
      <c r="I8">
        <v>0</v>
      </c>
      <c r="J8" s="4">
        <v>68.099999999999994</v>
      </c>
      <c r="K8" s="4">
        <f t="shared" si="0"/>
        <v>1.62</v>
      </c>
      <c r="L8">
        <v>162</v>
      </c>
      <c r="M8">
        <v>18.899999999999999</v>
      </c>
      <c r="N8">
        <v>53</v>
      </c>
      <c r="O8" s="4">
        <v>27.7</v>
      </c>
      <c r="P8" s="40">
        <v>1</v>
      </c>
      <c r="Q8">
        <v>75.2</v>
      </c>
      <c r="R8" s="37">
        <v>0</v>
      </c>
      <c r="S8">
        <v>94.4</v>
      </c>
      <c r="T8" s="5">
        <f t="shared" si="1"/>
        <v>0.79661016949152541</v>
      </c>
      <c r="U8" s="37">
        <v>0</v>
      </c>
      <c r="V8" s="4">
        <f t="shared" si="2"/>
        <v>25.948788294467299</v>
      </c>
      <c r="W8" s="39">
        <v>1</v>
      </c>
      <c r="X8">
        <v>14</v>
      </c>
      <c r="Y8" s="37">
        <v>1</v>
      </c>
      <c r="Z8" s="5">
        <v>23.478999999999999</v>
      </c>
      <c r="AA8" s="23">
        <f t="shared" si="3"/>
        <v>8.8698444444444444</v>
      </c>
      <c r="AB8" s="84">
        <v>1</v>
      </c>
      <c r="AC8" s="5">
        <v>8.5</v>
      </c>
      <c r="AD8" s="37">
        <v>1</v>
      </c>
      <c r="AE8">
        <v>3</v>
      </c>
      <c r="AF8" s="5">
        <v>6.37</v>
      </c>
      <c r="AG8" s="37">
        <v>1</v>
      </c>
      <c r="AH8" s="5">
        <v>2.06</v>
      </c>
      <c r="AI8" s="37">
        <v>1</v>
      </c>
      <c r="AJ8" s="5">
        <v>4.5999999999999996</v>
      </c>
      <c r="AK8" s="37">
        <v>1</v>
      </c>
      <c r="AL8" s="5">
        <v>0.83</v>
      </c>
      <c r="AM8" s="37">
        <v>1</v>
      </c>
      <c r="AN8" s="4">
        <f t="shared" si="4"/>
        <v>7.6746987951807233</v>
      </c>
      <c r="AO8" s="37">
        <v>1</v>
      </c>
      <c r="AP8">
        <v>124</v>
      </c>
      <c r="AQ8" s="38">
        <v>0</v>
      </c>
      <c r="AR8">
        <v>80</v>
      </c>
      <c r="AS8" s="37">
        <v>0</v>
      </c>
      <c r="AT8">
        <v>59</v>
      </c>
      <c r="AU8">
        <v>45</v>
      </c>
      <c r="AV8">
        <v>7.6</v>
      </c>
      <c r="AW8" s="37">
        <v>1</v>
      </c>
      <c r="AX8">
        <v>1078</v>
      </c>
      <c r="AY8">
        <v>32.5</v>
      </c>
      <c r="AZ8">
        <v>26.9</v>
      </c>
      <c r="BA8">
        <v>188.7</v>
      </c>
      <c r="BB8">
        <v>2.8</v>
      </c>
      <c r="BC8">
        <v>150.9</v>
      </c>
      <c r="BD8">
        <v>22.7</v>
      </c>
      <c r="BE8">
        <v>16.8</v>
      </c>
      <c r="BF8">
        <v>14.7</v>
      </c>
      <c r="BG8">
        <v>22.4</v>
      </c>
      <c r="BH8">
        <v>12.1</v>
      </c>
      <c r="BI8">
        <v>65.599999999999994</v>
      </c>
      <c r="BJ8">
        <v>13.2</v>
      </c>
      <c r="BK8">
        <v>5.9</v>
      </c>
      <c r="BL8">
        <v>15.8</v>
      </c>
      <c r="BM8">
        <v>1.7</v>
      </c>
      <c r="BN8">
        <v>0.9</v>
      </c>
      <c r="BO8">
        <v>0.3</v>
      </c>
      <c r="BP8">
        <v>0.53</v>
      </c>
      <c r="BQ8">
        <v>0</v>
      </c>
      <c r="BR8">
        <v>269</v>
      </c>
      <c r="BS8">
        <v>70.2</v>
      </c>
      <c r="BT8">
        <v>1872</v>
      </c>
      <c r="BU8">
        <v>1052</v>
      </c>
      <c r="BV8">
        <v>7.34</v>
      </c>
      <c r="BW8">
        <v>1.71</v>
      </c>
      <c r="BX8">
        <v>0.52</v>
      </c>
      <c r="BY8">
        <v>10.7</v>
      </c>
      <c r="BZ8">
        <v>11.1</v>
      </c>
      <c r="CA8">
        <v>0.48</v>
      </c>
      <c r="CB8">
        <v>0.41</v>
      </c>
      <c r="CC8">
        <v>13.3</v>
      </c>
      <c r="CD8">
        <v>0.25</v>
      </c>
      <c r="CE8">
        <v>3.46</v>
      </c>
      <c r="CF8">
        <v>67</v>
      </c>
      <c r="CG8">
        <v>9.9</v>
      </c>
      <c r="CH8">
        <v>380</v>
      </c>
      <c r="CI8">
        <v>3.18</v>
      </c>
      <c r="CJ8">
        <v>1.3</v>
      </c>
      <c r="CK8">
        <v>0</v>
      </c>
      <c r="CL8" s="42" t="str">
        <f t="shared" si="5"/>
        <v>1</v>
      </c>
      <c r="CM8">
        <v>0</v>
      </c>
      <c r="CN8" s="4">
        <v>0</v>
      </c>
      <c r="CO8">
        <v>4</v>
      </c>
      <c r="CP8" s="42" t="str">
        <f t="shared" si="6"/>
        <v>1</v>
      </c>
      <c r="CQ8">
        <v>84</v>
      </c>
      <c r="CR8" s="4">
        <v>1.5037037037037035</v>
      </c>
      <c r="CS8" s="43" t="str">
        <f t="shared" si="7"/>
        <v>1</v>
      </c>
      <c r="CT8" s="4">
        <f t="shared" si="8"/>
        <v>84</v>
      </c>
      <c r="CU8" s="4">
        <f t="shared" si="9"/>
        <v>1.5037037037037035</v>
      </c>
      <c r="CV8" s="4">
        <v>1</v>
      </c>
    </row>
    <row r="9" spans="1:100" x14ac:dyDescent="0.3">
      <c r="A9" s="15" t="s">
        <v>86</v>
      </c>
      <c r="B9" s="17">
        <v>0</v>
      </c>
      <c r="C9" s="3">
        <v>43</v>
      </c>
      <c r="D9">
        <v>2</v>
      </c>
      <c r="E9">
        <v>2</v>
      </c>
      <c r="F9">
        <v>2</v>
      </c>
      <c r="G9">
        <v>0</v>
      </c>
      <c r="H9">
        <v>1</v>
      </c>
      <c r="I9">
        <v>1</v>
      </c>
      <c r="J9" s="4">
        <v>61.4</v>
      </c>
      <c r="K9" s="4">
        <f t="shared" si="0"/>
        <v>1.76</v>
      </c>
      <c r="L9">
        <v>176</v>
      </c>
      <c r="M9">
        <v>8.3000000000000007</v>
      </c>
      <c r="N9">
        <v>50.3</v>
      </c>
      <c r="O9" s="4">
        <v>13.5</v>
      </c>
      <c r="P9" s="40">
        <v>0</v>
      </c>
      <c r="Q9">
        <v>101.3</v>
      </c>
      <c r="R9" s="37">
        <v>1</v>
      </c>
      <c r="S9">
        <v>94.2</v>
      </c>
      <c r="T9" s="5">
        <f t="shared" si="1"/>
        <v>1.0753715498938428</v>
      </c>
      <c r="U9" s="37">
        <v>1</v>
      </c>
      <c r="V9" s="4">
        <f t="shared" si="2"/>
        <v>19.821797520661157</v>
      </c>
      <c r="W9" s="39">
        <v>0</v>
      </c>
      <c r="X9">
        <v>5</v>
      </c>
      <c r="Y9" s="40">
        <v>0</v>
      </c>
      <c r="Z9" s="5">
        <v>5.0789999999999997</v>
      </c>
      <c r="AA9" s="23">
        <f t="shared" si="3"/>
        <v>1.0609466666666665</v>
      </c>
      <c r="AB9" s="84">
        <v>0</v>
      </c>
      <c r="AC9" s="5">
        <v>4.7</v>
      </c>
      <c r="AD9" s="37">
        <v>0</v>
      </c>
      <c r="AE9">
        <v>13.52</v>
      </c>
      <c r="AF9" s="5">
        <v>5.78</v>
      </c>
      <c r="AG9" s="37">
        <v>1</v>
      </c>
      <c r="AH9" s="5">
        <v>0.67</v>
      </c>
      <c r="AI9" s="37">
        <v>0</v>
      </c>
      <c r="AJ9" s="5">
        <v>4</v>
      </c>
      <c r="AK9" s="37">
        <v>1</v>
      </c>
      <c r="AL9" s="5">
        <v>1.47</v>
      </c>
      <c r="AM9" s="37">
        <v>0</v>
      </c>
      <c r="AN9" s="4">
        <f t="shared" si="4"/>
        <v>3.9319727891156466</v>
      </c>
      <c r="AO9" s="37">
        <v>0</v>
      </c>
      <c r="AP9">
        <v>120</v>
      </c>
      <c r="AQ9" s="38">
        <v>0</v>
      </c>
      <c r="AR9">
        <v>77</v>
      </c>
      <c r="AS9" s="37">
        <v>0</v>
      </c>
      <c r="AT9">
        <v>59</v>
      </c>
      <c r="AU9">
        <v>43</v>
      </c>
      <c r="AV9">
        <v>6.3</v>
      </c>
      <c r="AW9" s="37">
        <v>1</v>
      </c>
      <c r="AX9">
        <v>1873</v>
      </c>
      <c r="AY9">
        <v>90.5</v>
      </c>
      <c r="AZ9">
        <v>53.2</v>
      </c>
      <c r="BA9">
        <v>317.3</v>
      </c>
      <c r="BB9">
        <v>5.0999999999999996</v>
      </c>
      <c r="BC9">
        <v>276</v>
      </c>
      <c r="BD9">
        <v>18.100000000000001</v>
      </c>
      <c r="BE9">
        <v>10.3</v>
      </c>
      <c r="BF9">
        <v>37.200000000000003</v>
      </c>
      <c r="BG9">
        <v>25.6</v>
      </c>
      <c r="BH9">
        <v>19.3</v>
      </c>
      <c r="BI9">
        <v>63.5</v>
      </c>
      <c r="BJ9">
        <v>18.5</v>
      </c>
      <c r="BK9">
        <v>2.1</v>
      </c>
      <c r="BL9">
        <v>38.6</v>
      </c>
      <c r="BM9">
        <v>5.3</v>
      </c>
      <c r="BN9">
        <v>1.6</v>
      </c>
      <c r="BO9">
        <v>1.1100000000000001</v>
      </c>
      <c r="BP9">
        <v>0.35</v>
      </c>
      <c r="BQ9">
        <v>0.02</v>
      </c>
      <c r="BR9">
        <v>410</v>
      </c>
      <c r="BS9">
        <v>188.1</v>
      </c>
      <c r="BT9">
        <v>2565</v>
      </c>
      <c r="BU9">
        <v>1662</v>
      </c>
      <c r="BV9">
        <v>10.61</v>
      </c>
      <c r="BW9">
        <v>7.07</v>
      </c>
      <c r="BX9">
        <v>1.76</v>
      </c>
      <c r="BY9">
        <v>10.199999999999999</v>
      </c>
      <c r="BZ9">
        <v>11.5</v>
      </c>
      <c r="CA9">
        <v>0.54</v>
      </c>
      <c r="CB9">
        <v>0.4</v>
      </c>
      <c r="CC9">
        <v>15.2</v>
      </c>
      <c r="CD9">
        <v>0.56000000000000005</v>
      </c>
      <c r="CE9">
        <v>2.37</v>
      </c>
      <c r="CF9">
        <v>192.7</v>
      </c>
      <c r="CG9">
        <v>19</v>
      </c>
      <c r="CH9">
        <v>287</v>
      </c>
      <c r="CI9">
        <v>2.78</v>
      </c>
      <c r="CJ9">
        <v>1.1000000000000001</v>
      </c>
      <c r="CK9">
        <v>0</v>
      </c>
      <c r="CL9" s="42" t="str">
        <f t="shared" si="5"/>
        <v>1</v>
      </c>
      <c r="CM9">
        <v>0</v>
      </c>
      <c r="CN9" s="4">
        <v>0</v>
      </c>
      <c r="CO9">
        <v>5</v>
      </c>
      <c r="CP9" s="42" t="str">
        <f t="shared" si="6"/>
        <v>1</v>
      </c>
      <c r="CQ9" s="4">
        <v>83.666666666666671</v>
      </c>
      <c r="CR9" s="4">
        <v>1.9740740740740743</v>
      </c>
      <c r="CS9" s="43" t="str">
        <f t="shared" si="7"/>
        <v>1</v>
      </c>
      <c r="CT9" s="4">
        <f t="shared" si="8"/>
        <v>83.666666666666671</v>
      </c>
      <c r="CU9" s="4">
        <f t="shared" si="9"/>
        <v>1.9740740740740743</v>
      </c>
      <c r="CV9" s="4">
        <v>2</v>
      </c>
    </row>
    <row r="10" spans="1:100" x14ac:dyDescent="0.3">
      <c r="A10" s="15" t="s">
        <v>87</v>
      </c>
      <c r="B10" s="17">
        <v>0</v>
      </c>
      <c r="C10" s="3">
        <v>37</v>
      </c>
      <c r="D10">
        <v>2</v>
      </c>
      <c r="E10">
        <v>1</v>
      </c>
      <c r="F10">
        <v>2</v>
      </c>
      <c r="G10">
        <v>0</v>
      </c>
      <c r="H10">
        <v>0</v>
      </c>
      <c r="I10">
        <v>1</v>
      </c>
      <c r="J10" s="4">
        <v>70.400000000000006</v>
      </c>
      <c r="K10" s="4">
        <f t="shared" si="0"/>
        <v>1.7</v>
      </c>
      <c r="L10">
        <v>170</v>
      </c>
      <c r="M10">
        <v>18.899999999999999</v>
      </c>
      <c r="N10">
        <v>48.8</v>
      </c>
      <c r="O10" s="4">
        <v>26.9</v>
      </c>
      <c r="P10" s="40">
        <v>1</v>
      </c>
      <c r="Q10">
        <v>96</v>
      </c>
      <c r="R10" s="37">
        <v>1</v>
      </c>
      <c r="S10">
        <v>100.3</v>
      </c>
      <c r="T10" s="5">
        <f t="shared" si="1"/>
        <v>0.95712861415752748</v>
      </c>
      <c r="U10" s="37">
        <v>1</v>
      </c>
      <c r="V10" s="4">
        <f t="shared" si="2"/>
        <v>24.359861591695505</v>
      </c>
      <c r="W10" s="39">
        <v>1</v>
      </c>
      <c r="X10">
        <v>11</v>
      </c>
      <c r="Y10" s="37">
        <v>1</v>
      </c>
      <c r="AA10" s="23"/>
      <c r="AB10" s="84"/>
      <c r="AC10" s="5">
        <v>13.62</v>
      </c>
      <c r="AD10" s="37">
        <v>1</v>
      </c>
      <c r="AE10">
        <v>16</v>
      </c>
      <c r="AF10" s="5">
        <v>5.7</v>
      </c>
      <c r="AG10" s="37">
        <v>1</v>
      </c>
      <c r="AH10" s="5">
        <v>1.01</v>
      </c>
      <c r="AI10" s="37">
        <v>0</v>
      </c>
      <c r="AJ10" s="5">
        <v>4.2</v>
      </c>
      <c r="AK10" s="37">
        <v>1</v>
      </c>
      <c r="AL10" s="5">
        <v>1.04</v>
      </c>
      <c r="AM10" s="37">
        <v>0</v>
      </c>
      <c r="AN10" s="4">
        <f t="shared" si="4"/>
        <v>5.4807692307692308</v>
      </c>
      <c r="AO10" s="37">
        <v>1</v>
      </c>
      <c r="AP10">
        <v>126</v>
      </c>
      <c r="AQ10" s="38">
        <v>0</v>
      </c>
      <c r="AR10">
        <v>80</v>
      </c>
      <c r="AS10" s="37">
        <v>0</v>
      </c>
      <c r="AT10">
        <v>67</v>
      </c>
      <c r="AU10">
        <v>46</v>
      </c>
      <c r="AV10">
        <v>6</v>
      </c>
      <c r="AW10" s="37">
        <v>1</v>
      </c>
      <c r="AX10">
        <v>1928</v>
      </c>
      <c r="AY10">
        <v>69.3</v>
      </c>
      <c r="AZ10">
        <v>72.3</v>
      </c>
      <c r="BA10">
        <v>266.3</v>
      </c>
      <c r="BB10">
        <v>8.5</v>
      </c>
      <c r="BC10">
        <v>185.8</v>
      </c>
      <c r="BD10">
        <v>42.4</v>
      </c>
      <c r="BE10">
        <v>28.2</v>
      </c>
      <c r="BF10">
        <v>229.9</v>
      </c>
      <c r="BG10">
        <v>33.799999999999997</v>
      </c>
      <c r="BH10">
        <v>14.4</v>
      </c>
      <c r="BI10">
        <v>51.8</v>
      </c>
      <c r="BJ10">
        <v>21.8</v>
      </c>
      <c r="BK10">
        <v>5.5</v>
      </c>
      <c r="BL10">
        <v>46.7</v>
      </c>
      <c r="BM10">
        <v>6.8</v>
      </c>
      <c r="BN10">
        <v>2.6</v>
      </c>
      <c r="BO10">
        <v>2.2599999999999998</v>
      </c>
      <c r="BP10">
        <v>0.2</v>
      </c>
      <c r="BQ10">
        <v>0.09</v>
      </c>
      <c r="BR10">
        <v>796</v>
      </c>
      <c r="BS10">
        <v>228.3</v>
      </c>
      <c r="BT10">
        <v>3403</v>
      </c>
      <c r="BU10">
        <v>2039</v>
      </c>
      <c r="BV10">
        <v>15.69</v>
      </c>
      <c r="BW10">
        <v>7.42</v>
      </c>
      <c r="BX10">
        <v>1.96</v>
      </c>
      <c r="BY10">
        <v>34.799999999999997</v>
      </c>
      <c r="BZ10">
        <v>71.400000000000006</v>
      </c>
      <c r="CA10">
        <v>0.82</v>
      </c>
      <c r="CB10">
        <v>1.08</v>
      </c>
      <c r="CC10">
        <v>20.5</v>
      </c>
      <c r="CD10">
        <v>0.77</v>
      </c>
      <c r="CE10">
        <v>1.34</v>
      </c>
      <c r="CF10">
        <v>238.9</v>
      </c>
      <c r="CG10">
        <v>30</v>
      </c>
      <c r="CH10">
        <v>606</v>
      </c>
      <c r="CI10">
        <v>1.08</v>
      </c>
      <c r="CJ10">
        <v>1.8</v>
      </c>
      <c r="CK10">
        <v>1</v>
      </c>
      <c r="CL10" s="42" t="str">
        <f t="shared" si="5"/>
        <v>1</v>
      </c>
      <c r="CM10">
        <v>13</v>
      </c>
      <c r="CN10" s="4">
        <v>0.26</v>
      </c>
      <c r="CO10">
        <v>8</v>
      </c>
      <c r="CP10" s="42" t="str">
        <f t="shared" si="6"/>
        <v>1</v>
      </c>
      <c r="CQ10" s="4">
        <v>121.33333333333333</v>
      </c>
      <c r="CR10" s="4">
        <v>2.6320987654320986</v>
      </c>
      <c r="CS10" s="43" t="str">
        <f t="shared" si="7"/>
        <v>1</v>
      </c>
      <c r="CT10" s="4">
        <f t="shared" si="8"/>
        <v>134.33333333333331</v>
      </c>
      <c r="CU10" s="4">
        <f t="shared" si="9"/>
        <v>2.8920987654320989</v>
      </c>
      <c r="CV10" s="4">
        <v>2</v>
      </c>
    </row>
    <row r="11" spans="1:100" x14ac:dyDescent="0.3">
      <c r="A11" s="15" t="s">
        <v>88</v>
      </c>
      <c r="B11" s="17">
        <v>0</v>
      </c>
      <c r="C11" s="3">
        <v>31</v>
      </c>
      <c r="D11">
        <v>1</v>
      </c>
      <c r="E11">
        <v>3</v>
      </c>
      <c r="F11">
        <v>2</v>
      </c>
      <c r="G11">
        <v>0</v>
      </c>
      <c r="H11">
        <v>0</v>
      </c>
      <c r="I11">
        <v>1</v>
      </c>
      <c r="J11" s="4">
        <v>66.3</v>
      </c>
      <c r="K11" s="4">
        <f t="shared" si="0"/>
        <v>1.63</v>
      </c>
      <c r="L11">
        <v>163</v>
      </c>
      <c r="M11" s="4">
        <f t="shared" ref="M11:M74" si="10">(O11*J11)/100</f>
        <v>17.569499999999998</v>
      </c>
      <c r="N11" s="4">
        <v>46.2</v>
      </c>
      <c r="O11" s="4">
        <v>26.5</v>
      </c>
      <c r="P11" s="40">
        <v>1</v>
      </c>
      <c r="Q11">
        <v>89</v>
      </c>
      <c r="R11" s="37">
        <v>0</v>
      </c>
      <c r="S11">
        <v>92</v>
      </c>
      <c r="T11" s="5">
        <f t="shared" si="1"/>
        <v>0.96739130434782605</v>
      </c>
      <c r="U11" s="37">
        <v>1</v>
      </c>
      <c r="V11" s="4">
        <f t="shared" si="2"/>
        <v>24.953893635439798</v>
      </c>
      <c r="W11" s="39">
        <v>1</v>
      </c>
      <c r="X11">
        <v>10</v>
      </c>
      <c r="Y11" s="37">
        <v>1</v>
      </c>
      <c r="Z11" s="5">
        <v>5.7320000000000002</v>
      </c>
      <c r="AA11" s="23">
        <f t="shared" si="3"/>
        <v>1.2406595555555557</v>
      </c>
      <c r="AB11" s="84">
        <v>0</v>
      </c>
      <c r="AC11" s="5">
        <v>4.87</v>
      </c>
      <c r="AD11" s="37">
        <v>0</v>
      </c>
      <c r="AE11">
        <v>11.62</v>
      </c>
      <c r="AF11" s="5">
        <v>4.2300000000000004</v>
      </c>
      <c r="AG11" s="37">
        <v>0</v>
      </c>
      <c r="AH11" s="5">
        <v>1.02</v>
      </c>
      <c r="AI11" s="37">
        <v>0</v>
      </c>
      <c r="AJ11" s="5">
        <v>2.9</v>
      </c>
      <c r="AK11" s="37">
        <v>0</v>
      </c>
      <c r="AL11" s="5">
        <v>0.9</v>
      </c>
      <c r="AM11" s="37">
        <v>1</v>
      </c>
      <c r="AN11" s="4">
        <f t="shared" si="4"/>
        <v>4.7</v>
      </c>
      <c r="AO11" s="37">
        <v>1</v>
      </c>
      <c r="AP11">
        <v>120</v>
      </c>
      <c r="AQ11" s="38">
        <v>0</v>
      </c>
      <c r="AR11">
        <v>87</v>
      </c>
      <c r="AS11" s="37">
        <v>1</v>
      </c>
      <c r="AT11">
        <v>73</v>
      </c>
      <c r="AU11">
        <v>33</v>
      </c>
      <c r="AV11">
        <v>5.7</v>
      </c>
      <c r="AW11" s="37">
        <v>1</v>
      </c>
      <c r="AX11">
        <v>2616</v>
      </c>
      <c r="AY11">
        <v>62.3</v>
      </c>
      <c r="AZ11">
        <v>67.3</v>
      </c>
      <c r="BA11">
        <v>468</v>
      </c>
      <c r="BB11">
        <v>11.3</v>
      </c>
      <c r="BC11">
        <v>403.7</v>
      </c>
      <c r="BD11">
        <v>36.9</v>
      </c>
      <c r="BE11">
        <v>11.8</v>
      </c>
      <c r="BF11">
        <v>74.8</v>
      </c>
      <c r="BG11">
        <v>23.1</v>
      </c>
      <c r="BH11">
        <v>9.5</v>
      </c>
      <c r="BI11">
        <v>67.099999999999994</v>
      </c>
      <c r="BJ11">
        <v>15.8</v>
      </c>
      <c r="BK11">
        <v>1.7</v>
      </c>
      <c r="BL11">
        <v>46</v>
      </c>
      <c r="BM11">
        <v>7.6</v>
      </c>
      <c r="BN11">
        <v>5.2</v>
      </c>
      <c r="BO11">
        <v>4.7300000000000004</v>
      </c>
      <c r="BP11">
        <v>0.23</v>
      </c>
      <c r="BQ11">
        <v>0</v>
      </c>
      <c r="BR11">
        <v>473</v>
      </c>
      <c r="BS11">
        <v>241.6</v>
      </c>
      <c r="BT11">
        <v>3132</v>
      </c>
      <c r="BU11">
        <v>2090</v>
      </c>
      <c r="BV11">
        <v>14.36</v>
      </c>
      <c r="BW11">
        <v>8.42</v>
      </c>
      <c r="BX11">
        <v>1.65</v>
      </c>
      <c r="BY11">
        <v>54.8</v>
      </c>
      <c r="BZ11">
        <v>22.4</v>
      </c>
      <c r="CA11">
        <v>1.43</v>
      </c>
      <c r="CB11">
        <v>0.78</v>
      </c>
      <c r="CC11">
        <v>19.100000000000001</v>
      </c>
      <c r="CD11">
        <v>0.95</v>
      </c>
      <c r="CE11">
        <v>0.49</v>
      </c>
      <c r="CF11">
        <v>303.7</v>
      </c>
      <c r="CG11">
        <v>27.6</v>
      </c>
      <c r="CH11">
        <v>370</v>
      </c>
      <c r="CI11">
        <v>7.72</v>
      </c>
      <c r="CJ11">
        <v>4.4000000000000004</v>
      </c>
      <c r="CK11">
        <v>2</v>
      </c>
      <c r="CL11" s="42" t="str">
        <f t="shared" si="5"/>
        <v>1</v>
      </c>
      <c r="CM11">
        <v>70</v>
      </c>
      <c r="CN11" s="4">
        <v>1.4</v>
      </c>
      <c r="CO11">
        <v>9</v>
      </c>
      <c r="CP11" s="42" t="str">
        <f t="shared" si="6"/>
        <v>1</v>
      </c>
      <c r="CQ11" s="4">
        <v>99</v>
      </c>
      <c r="CR11" s="4">
        <v>1.9320987654320985</v>
      </c>
      <c r="CS11" s="43" t="str">
        <f t="shared" si="7"/>
        <v>2</v>
      </c>
      <c r="CT11" s="4">
        <f t="shared" si="8"/>
        <v>169</v>
      </c>
      <c r="CU11" s="4">
        <f t="shared" si="9"/>
        <v>3.3320987654320984</v>
      </c>
      <c r="CV11" s="4">
        <v>3</v>
      </c>
    </row>
    <row r="12" spans="1:100" x14ac:dyDescent="0.3">
      <c r="A12" s="15" t="s">
        <v>89</v>
      </c>
      <c r="B12" s="17">
        <v>0</v>
      </c>
      <c r="C12" s="3">
        <v>41</v>
      </c>
      <c r="D12">
        <v>4</v>
      </c>
      <c r="E12">
        <v>2</v>
      </c>
      <c r="F12">
        <v>2</v>
      </c>
      <c r="G12">
        <v>0</v>
      </c>
      <c r="H12">
        <v>1</v>
      </c>
      <c r="I12">
        <v>1</v>
      </c>
      <c r="J12" s="4">
        <v>70.5</v>
      </c>
      <c r="K12" s="4">
        <f t="shared" si="0"/>
        <v>1.67</v>
      </c>
      <c r="L12">
        <v>167</v>
      </c>
      <c r="M12" s="4">
        <f t="shared" si="10"/>
        <v>18.048000000000002</v>
      </c>
      <c r="N12" s="4">
        <v>49.8</v>
      </c>
      <c r="O12" s="4">
        <v>25.6</v>
      </c>
      <c r="P12" s="40">
        <v>1</v>
      </c>
      <c r="Q12">
        <v>84</v>
      </c>
      <c r="R12" s="37">
        <v>0</v>
      </c>
      <c r="S12">
        <v>95.5</v>
      </c>
      <c r="T12" s="5">
        <f t="shared" si="1"/>
        <v>0.87958115183246077</v>
      </c>
      <c r="U12" s="37">
        <v>0</v>
      </c>
      <c r="V12" s="4">
        <f t="shared" si="2"/>
        <v>25.278783749865539</v>
      </c>
      <c r="W12" s="39">
        <v>1</v>
      </c>
      <c r="X12">
        <v>12</v>
      </c>
      <c r="Y12" s="37">
        <v>1</v>
      </c>
      <c r="Z12">
        <v>6.81</v>
      </c>
      <c r="AA12" s="23">
        <f t="shared" si="3"/>
        <v>1.6646666666666665</v>
      </c>
      <c r="AB12" s="84">
        <v>0</v>
      </c>
      <c r="AC12" s="5">
        <v>5.5</v>
      </c>
      <c r="AD12" s="37">
        <v>0</v>
      </c>
      <c r="AE12">
        <v>19.04</v>
      </c>
      <c r="AF12" s="5">
        <v>6.95</v>
      </c>
      <c r="AG12" s="37">
        <v>1</v>
      </c>
      <c r="AH12" s="5">
        <v>1</v>
      </c>
      <c r="AI12" s="37">
        <v>0</v>
      </c>
      <c r="AJ12" s="5">
        <v>4.9000000000000004</v>
      </c>
      <c r="AK12" s="37">
        <v>1</v>
      </c>
      <c r="AL12" s="5">
        <v>1.58</v>
      </c>
      <c r="AM12" s="37">
        <v>0</v>
      </c>
      <c r="AN12" s="4">
        <f t="shared" si="4"/>
        <v>4.3987341772151902</v>
      </c>
      <c r="AO12" s="37">
        <v>1</v>
      </c>
      <c r="AP12">
        <v>130</v>
      </c>
      <c r="AQ12" s="37">
        <v>1</v>
      </c>
      <c r="AR12">
        <v>93</v>
      </c>
      <c r="AS12" s="37">
        <v>1</v>
      </c>
      <c r="AT12">
        <v>73</v>
      </c>
      <c r="AU12">
        <v>37</v>
      </c>
      <c r="AV12">
        <v>6.2</v>
      </c>
      <c r="AW12" s="37">
        <v>1</v>
      </c>
      <c r="AX12">
        <v>1904</v>
      </c>
      <c r="AY12">
        <v>129.30000000000001</v>
      </c>
      <c r="AZ12">
        <v>56.2</v>
      </c>
      <c r="BA12">
        <v>306.8</v>
      </c>
      <c r="BB12">
        <v>9</v>
      </c>
      <c r="BC12">
        <v>230</v>
      </c>
      <c r="BD12">
        <v>57.2</v>
      </c>
      <c r="BE12">
        <v>45.5</v>
      </c>
      <c r="BF12">
        <v>190.8</v>
      </c>
      <c r="BG12">
        <v>26.6</v>
      </c>
      <c r="BH12">
        <v>27.2</v>
      </c>
      <c r="BI12">
        <v>60.4</v>
      </c>
      <c r="BJ12">
        <v>16.100000000000001</v>
      </c>
      <c r="BK12">
        <v>9</v>
      </c>
      <c r="BL12">
        <v>34.1</v>
      </c>
      <c r="BM12">
        <v>9.6999999999999993</v>
      </c>
      <c r="BN12">
        <v>4</v>
      </c>
      <c r="BO12">
        <v>3.25</v>
      </c>
      <c r="BP12">
        <v>0.59</v>
      </c>
      <c r="BQ12">
        <v>0.08</v>
      </c>
      <c r="BR12">
        <v>564</v>
      </c>
      <c r="BS12">
        <v>227.1</v>
      </c>
      <c r="BT12">
        <v>3081</v>
      </c>
      <c r="BU12">
        <v>2023</v>
      </c>
      <c r="BV12">
        <v>13.53</v>
      </c>
      <c r="BW12">
        <v>7.71</v>
      </c>
      <c r="BX12">
        <v>1.85</v>
      </c>
      <c r="BY12">
        <v>57.8</v>
      </c>
      <c r="BZ12">
        <v>73.2</v>
      </c>
      <c r="CA12">
        <v>0.86</v>
      </c>
      <c r="CB12">
        <v>0.72</v>
      </c>
      <c r="CC12">
        <v>22.3</v>
      </c>
      <c r="CD12">
        <v>1.1599999999999999</v>
      </c>
      <c r="CE12">
        <v>3.43</v>
      </c>
      <c r="CF12">
        <v>255.6</v>
      </c>
      <c r="CG12">
        <v>18.600000000000001</v>
      </c>
      <c r="CH12">
        <v>458</v>
      </c>
      <c r="CI12">
        <v>4.43</v>
      </c>
      <c r="CJ12">
        <v>2.9</v>
      </c>
      <c r="CK12">
        <v>0</v>
      </c>
      <c r="CL12" s="42" t="str">
        <f t="shared" si="5"/>
        <v>1</v>
      </c>
      <c r="CM12">
        <v>0</v>
      </c>
      <c r="CN12" s="4">
        <v>0</v>
      </c>
      <c r="CO12">
        <v>5</v>
      </c>
      <c r="CP12" s="42" t="str">
        <f t="shared" si="6"/>
        <v>1</v>
      </c>
      <c r="CQ12" s="4">
        <v>65</v>
      </c>
      <c r="CR12" s="4">
        <v>1.2172839506172839</v>
      </c>
      <c r="CS12" s="43" t="str">
        <f t="shared" si="7"/>
        <v>1</v>
      </c>
      <c r="CT12" s="4">
        <f t="shared" si="8"/>
        <v>65</v>
      </c>
      <c r="CU12" s="4">
        <f t="shared" si="9"/>
        <v>1.2172839506172839</v>
      </c>
      <c r="CV12" s="4">
        <v>1</v>
      </c>
    </row>
    <row r="13" spans="1:100" x14ac:dyDescent="0.3">
      <c r="A13" s="15" t="s">
        <v>90</v>
      </c>
      <c r="B13" s="17">
        <v>0</v>
      </c>
      <c r="C13" s="3">
        <v>41</v>
      </c>
      <c r="D13">
        <v>1</v>
      </c>
      <c r="E13">
        <v>2</v>
      </c>
      <c r="F13">
        <v>2</v>
      </c>
      <c r="G13">
        <v>0</v>
      </c>
      <c r="H13">
        <v>0</v>
      </c>
      <c r="I13">
        <v>0</v>
      </c>
      <c r="J13" s="4">
        <v>64.8</v>
      </c>
      <c r="K13" s="4">
        <f t="shared" si="0"/>
        <v>1.73</v>
      </c>
      <c r="L13">
        <v>173</v>
      </c>
      <c r="M13" s="4">
        <f t="shared" si="10"/>
        <v>18.921599999999998</v>
      </c>
      <c r="N13" s="4">
        <v>43.5</v>
      </c>
      <c r="O13" s="4">
        <v>29.2</v>
      </c>
      <c r="P13" s="40">
        <v>1</v>
      </c>
      <c r="Q13">
        <v>91</v>
      </c>
      <c r="R13" s="37">
        <v>1</v>
      </c>
      <c r="S13">
        <v>96</v>
      </c>
      <c r="T13" s="5">
        <f t="shared" si="1"/>
        <v>0.94791666666666663</v>
      </c>
      <c r="U13" s="37">
        <v>1</v>
      </c>
      <c r="V13" s="4">
        <f t="shared" si="2"/>
        <v>21.65124127100805</v>
      </c>
      <c r="W13" s="39">
        <v>0</v>
      </c>
      <c r="X13">
        <v>10</v>
      </c>
      <c r="Y13" s="37">
        <v>1</v>
      </c>
      <c r="Z13" s="5">
        <v>18.36</v>
      </c>
      <c r="AA13" s="23">
        <f t="shared" si="3"/>
        <v>4.4635199999999999</v>
      </c>
      <c r="AB13" s="84">
        <v>1</v>
      </c>
      <c r="AC13" s="5">
        <v>5.47</v>
      </c>
      <c r="AD13" s="37">
        <v>0</v>
      </c>
      <c r="AE13">
        <v>23.56</v>
      </c>
      <c r="AF13" s="5">
        <v>4.92</v>
      </c>
      <c r="AG13" s="37">
        <v>0</v>
      </c>
      <c r="AH13" s="5">
        <v>1.54</v>
      </c>
      <c r="AI13" s="37">
        <v>0</v>
      </c>
      <c r="AJ13" s="5">
        <v>3.2</v>
      </c>
      <c r="AK13" s="37">
        <v>0</v>
      </c>
      <c r="AL13" s="5">
        <v>1.07</v>
      </c>
      <c r="AM13" s="37">
        <v>0</v>
      </c>
      <c r="AN13" s="4">
        <f t="shared" si="4"/>
        <v>4.5981308411214954</v>
      </c>
      <c r="AO13" s="37">
        <v>1</v>
      </c>
      <c r="AP13">
        <v>112</v>
      </c>
      <c r="AQ13" s="38">
        <v>0</v>
      </c>
      <c r="AR13">
        <v>81</v>
      </c>
      <c r="AS13" s="37">
        <v>0</v>
      </c>
      <c r="AT13">
        <v>83</v>
      </c>
      <c r="AU13">
        <v>30</v>
      </c>
      <c r="AV13">
        <v>5.8</v>
      </c>
      <c r="AW13" s="37">
        <v>1</v>
      </c>
      <c r="AX13">
        <v>1953</v>
      </c>
      <c r="AY13">
        <v>36</v>
      </c>
      <c r="AZ13">
        <v>55.3</v>
      </c>
      <c r="BA13">
        <v>348.2</v>
      </c>
      <c r="BB13">
        <v>7.5</v>
      </c>
      <c r="BC13">
        <v>247.4</v>
      </c>
      <c r="BD13">
        <v>87</v>
      </c>
      <c r="BE13">
        <v>75</v>
      </c>
      <c r="BF13">
        <v>46.9</v>
      </c>
      <c r="BG13">
        <v>25.5</v>
      </c>
      <c r="BH13">
        <v>7.4</v>
      </c>
      <c r="BI13">
        <v>66.8</v>
      </c>
      <c r="BJ13">
        <v>20.6</v>
      </c>
      <c r="BK13">
        <v>14.4</v>
      </c>
      <c r="BL13">
        <v>44.7</v>
      </c>
      <c r="BM13">
        <v>4.7</v>
      </c>
      <c r="BN13">
        <v>2</v>
      </c>
      <c r="BO13">
        <v>1.67</v>
      </c>
      <c r="BP13">
        <v>0.13</v>
      </c>
      <c r="BQ13">
        <v>0.21</v>
      </c>
      <c r="BR13">
        <v>271</v>
      </c>
      <c r="BS13">
        <v>180.2</v>
      </c>
      <c r="BT13">
        <v>2070</v>
      </c>
      <c r="BU13">
        <v>1695</v>
      </c>
      <c r="BV13">
        <v>9.16</v>
      </c>
      <c r="BW13">
        <v>6.97</v>
      </c>
      <c r="BX13">
        <v>1.74</v>
      </c>
      <c r="BY13">
        <v>35.6</v>
      </c>
      <c r="BZ13">
        <v>62.2</v>
      </c>
      <c r="CA13">
        <v>0.32</v>
      </c>
      <c r="CB13">
        <v>0.43</v>
      </c>
      <c r="CC13">
        <v>11.6</v>
      </c>
      <c r="CD13">
        <v>0.75</v>
      </c>
      <c r="CE13">
        <v>1.04</v>
      </c>
      <c r="CF13">
        <v>145.19999999999999</v>
      </c>
      <c r="CG13">
        <v>24.8</v>
      </c>
      <c r="CH13">
        <v>183</v>
      </c>
      <c r="CI13">
        <v>1.03</v>
      </c>
      <c r="CJ13">
        <v>1.1000000000000001</v>
      </c>
      <c r="CK13">
        <v>1</v>
      </c>
      <c r="CL13" s="42" t="str">
        <f t="shared" si="5"/>
        <v>1</v>
      </c>
      <c r="CM13">
        <v>20</v>
      </c>
      <c r="CN13" s="4">
        <v>0.4</v>
      </c>
      <c r="CO13">
        <v>7</v>
      </c>
      <c r="CP13" s="42" t="str">
        <f t="shared" si="6"/>
        <v>1</v>
      </c>
      <c r="CQ13" s="4">
        <v>87.333333333333329</v>
      </c>
      <c r="CR13" s="4">
        <v>1.439506172839506</v>
      </c>
      <c r="CS13" s="43" t="str">
        <f t="shared" si="7"/>
        <v>1</v>
      </c>
      <c r="CT13" s="4">
        <f t="shared" si="8"/>
        <v>107.33333333333333</v>
      </c>
      <c r="CU13" s="4">
        <f t="shared" si="9"/>
        <v>1.8395061728395059</v>
      </c>
      <c r="CV13" s="4">
        <v>1</v>
      </c>
    </row>
    <row r="14" spans="1:100" x14ac:dyDescent="0.3">
      <c r="A14" s="15" t="s">
        <v>91</v>
      </c>
      <c r="B14" s="17">
        <v>0</v>
      </c>
      <c r="C14" s="3">
        <v>37</v>
      </c>
      <c r="D14">
        <v>3</v>
      </c>
      <c r="E14">
        <v>2</v>
      </c>
      <c r="F14">
        <v>1</v>
      </c>
      <c r="G14">
        <v>0</v>
      </c>
      <c r="H14">
        <v>0</v>
      </c>
      <c r="I14">
        <v>0</v>
      </c>
      <c r="J14" s="4">
        <v>40.5</v>
      </c>
      <c r="K14" s="4">
        <f t="shared" si="0"/>
        <v>1.6219999999999999</v>
      </c>
      <c r="L14">
        <v>162.19999999999999</v>
      </c>
      <c r="M14" s="4">
        <f t="shared" si="10"/>
        <v>4.5765000000000002</v>
      </c>
      <c r="N14" s="4">
        <v>34</v>
      </c>
      <c r="O14" s="4">
        <v>11.3</v>
      </c>
      <c r="P14" s="40">
        <v>0</v>
      </c>
      <c r="Q14">
        <v>64.3</v>
      </c>
      <c r="R14" s="37">
        <v>0</v>
      </c>
      <c r="S14">
        <v>83.7</v>
      </c>
      <c r="T14" s="5">
        <f t="shared" si="1"/>
        <v>0.76821983273596173</v>
      </c>
      <c r="U14" s="37">
        <v>0</v>
      </c>
      <c r="V14" s="4">
        <f t="shared" si="2"/>
        <v>15.394065264755119</v>
      </c>
      <c r="W14" s="39">
        <v>0</v>
      </c>
      <c r="X14">
        <v>1</v>
      </c>
      <c r="Y14" s="40">
        <v>0</v>
      </c>
      <c r="Z14" s="5">
        <v>5.4340000000000002</v>
      </c>
      <c r="AA14" s="23">
        <f t="shared" si="3"/>
        <v>1.1616684444444443</v>
      </c>
      <c r="AB14" s="84">
        <v>0</v>
      </c>
      <c r="AC14" s="5">
        <v>4.8099999999999996</v>
      </c>
      <c r="AD14" s="37">
        <v>0</v>
      </c>
      <c r="AE14">
        <v>3</v>
      </c>
      <c r="AF14" s="5">
        <v>4.04</v>
      </c>
      <c r="AG14" s="37">
        <v>0</v>
      </c>
      <c r="AH14" s="5">
        <v>0.78</v>
      </c>
      <c r="AI14" s="37">
        <v>0</v>
      </c>
      <c r="AJ14" s="5">
        <v>2.39</v>
      </c>
      <c r="AK14" s="37">
        <v>0</v>
      </c>
      <c r="AL14" s="5">
        <v>1.3</v>
      </c>
      <c r="AM14" s="37">
        <v>0</v>
      </c>
      <c r="AN14" s="4">
        <f t="shared" si="4"/>
        <v>3.1076923076923078</v>
      </c>
      <c r="AO14" s="37">
        <v>0</v>
      </c>
      <c r="AP14">
        <v>104</v>
      </c>
      <c r="AQ14" s="38">
        <v>0</v>
      </c>
      <c r="AR14">
        <v>80</v>
      </c>
      <c r="AS14" s="37">
        <v>0</v>
      </c>
      <c r="AT14">
        <v>71</v>
      </c>
      <c r="AU14">
        <v>24</v>
      </c>
      <c r="AV14">
        <v>5.3</v>
      </c>
      <c r="AW14" s="37">
        <v>1</v>
      </c>
      <c r="AX14">
        <v>1999</v>
      </c>
      <c r="AY14">
        <v>58</v>
      </c>
      <c r="AZ14">
        <v>55.9</v>
      </c>
      <c r="BA14">
        <v>335.7</v>
      </c>
      <c r="BB14">
        <v>6.4</v>
      </c>
      <c r="BC14">
        <v>239.5</v>
      </c>
      <c r="BD14">
        <v>76.099999999999994</v>
      </c>
      <c r="BE14">
        <v>62.6</v>
      </c>
      <c r="BF14">
        <v>225.8</v>
      </c>
      <c r="BG14">
        <v>25.2</v>
      </c>
      <c r="BH14">
        <v>11.6</v>
      </c>
      <c r="BI14">
        <v>63</v>
      </c>
      <c r="BJ14">
        <v>15.4</v>
      </c>
      <c r="BK14">
        <v>11.7</v>
      </c>
      <c r="BL14">
        <v>34.200000000000003</v>
      </c>
      <c r="BM14">
        <v>6.8</v>
      </c>
      <c r="BN14">
        <v>3.1</v>
      </c>
      <c r="BO14">
        <v>2.57</v>
      </c>
      <c r="BP14">
        <v>0.25</v>
      </c>
      <c r="BQ14">
        <v>0</v>
      </c>
      <c r="BR14">
        <v>557</v>
      </c>
      <c r="BS14">
        <v>179.4</v>
      </c>
      <c r="BT14">
        <v>3556</v>
      </c>
      <c r="BU14">
        <v>1785</v>
      </c>
      <c r="BV14">
        <v>11.26</v>
      </c>
      <c r="BW14">
        <v>7.35</v>
      </c>
      <c r="BX14">
        <v>1.36</v>
      </c>
      <c r="BY14">
        <v>53.6</v>
      </c>
      <c r="BZ14">
        <v>65</v>
      </c>
      <c r="CA14">
        <v>0.63</v>
      </c>
      <c r="CB14">
        <v>0.93</v>
      </c>
      <c r="CC14">
        <v>18.7</v>
      </c>
      <c r="CD14">
        <v>1.05</v>
      </c>
      <c r="CE14">
        <v>2.34</v>
      </c>
      <c r="CF14">
        <v>182.1</v>
      </c>
      <c r="CG14">
        <v>47.9</v>
      </c>
      <c r="CH14">
        <v>695</v>
      </c>
      <c r="CI14">
        <v>1.74</v>
      </c>
      <c r="CJ14">
        <v>2.5</v>
      </c>
      <c r="CK14">
        <v>1</v>
      </c>
      <c r="CL14" s="42" t="str">
        <f t="shared" si="5"/>
        <v>1</v>
      </c>
      <c r="CM14" s="4">
        <v>46.666666666666664</v>
      </c>
      <c r="CN14" s="4">
        <v>0.93333333333333324</v>
      </c>
      <c r="CO14">
        <v>6</v>
      </c>
      <c r="CP14" s="42" t="str">
        <f t="shared" si="6"/>
        <v>2</v>
      </c>
      <c r="CQ14" s="4">
        <v>154</v>
      </c>
      <c r="CR14" s="4">
        <v>2.1641975308641976</v>
      </c>
      <c r="CS14" s="43" t="str">
        <f t="shared" si="7"/>
        <v>2</v>
      </c>
      <c r="CT14" s="4">
        <f t="shared" si="8"/>
        <v>200.66666666666666</v>
      </c>
      <c r="CU14" s="4">
        <f t="shared" si="9"/>
        <v>3.0975308641975308</v>
      </c>
      <c r="CV14" s="4">
        <v>3</v>
      </c>
    </row>
    <row r="15" spans="1:100" x14ac:dyDescent="0.3">
      <c r="A15" s="15" t="s">
        <v>92</v>
      </c>
      <c r="B15" s="17">
        <v>0</v>
      </c>
      <c r="C15" s="3">
        <v>39</v>
      </c>
      <c r="D15">
        <v>1</v>
      </c>
      <c r="E15">
        <v>2</v>
      </c>
      <c r="F15">
        <v>2</v>
      </c>
      <c r="G15">
        <v>0</v>
      </c>
      <c r="H15">
        <v>0</v>
      </c>
      <c r="I15">
        <v>1</v>
      </c>
      <c r="J15" s="4">
        <v>67.2</v>
      </c>
      <c r="K15" s="4">
        <f t="shared" si="0"/>
        <v>1.6359999999999999</v>
      </c>
      <c r="L15">
        <v>163.6</v>
      </c>
      <c r="M15" s="4">
        <f t="shared" si="10"/>
        <v>15.2544</v>
      </c>
      <c r="N15" s="4">
        <v>50.2</v>
      </c>
      <c r="O15" s="4">
        <v>22.7</v>
      </c>
      <c r="P15" s="40">
        <v>0</v>
      </c>
      <c r="Q15">
        <v>91.1</v>
      </c>
      <c r="R15" s="37">
        <v>1</v>
      </c>
      <c r="S15">
        <v>96</v>
      </c>
      <c r="T15" s="5">
        <f t="shared" si="1"/>
        <v>0.94895833333333324</v>
      </c>
      <c r="U15" s="37">
        <v>1</v>
      </c>
      <c r="V15" s="4">
        <f t="shared" si="2"/>
        <v>25.10745392483307</v>
      </c>
      <c r="W15" s="39">
        <v>1</v>
      </c>
      <c r="X15">
        <v>11</v>
      </c>
      <c r="Y15" s="37">
        <v>1</v>
      </c>
      <c r="Z15" s="5">
        <v>7.859</v>
      </c>
      <c r="AA15" s="23">
        <f t="shared" si="3"/>
        <v>1.6381648888888889</v>
      </c>
      <c r="AB15" s="84">
        <v>0</v>
      </c>
      <c r="AC15" s="5">
        <v>4.6900000000000004</v>
      </c>
      <c r="AD15" s="37">
        <v>0</v>
      </c>
      <c r="AE15">
        <v>14.33</v>
      </c>
      <c r="AF15" s="5">
        <v>5.81</v>
      </c>
      <c r="AG15" s="37">
        <v>1</v>
      </c>
      <c r="AH15" s="5">
        <v>1.31</v>
      </c>
      <c r="AI15" s="37">
        <v>0</v>
      </c>
      <c r="AJ15" s="5">
        <v>4.16</v>
      </c>
      <c r="AK15" s="37">
        <v>1</v>
      </c>
      <c r="AL15" s="5">
        <v>1.06</v>
      </c>
      <c r="AM15" s="37">
        <v>0</v>
      </c>
      <c r="AN15" s="4">
        <f t="shared" si="4"/>
        <v>5.4811320754716979</v>
      </c>
      <c r="AO15" s="37">
        <v>1</v>
      </c>
      <c r="AP15">
        <v>110</v>
      </c>
      <c r="AQ15" s="38">
        <v>0</v>
      </c>
      <c r="AR15">
        <v>78</v>
      </c>
      <c r="AS15" s="37">
        <v>0</v>
      </c>
      <c r="AT15">
        <v>68</v>
      </c>
      <c r="AU15">
        <v>31</v>
      </c>
      <c r="AV15">
        <v>5.8</v>
      </c>
      <c r="AW15" s="37">
        <v>1</v>
      </c>
      <c r="AX15">
        <v>2210</v>
      </c>
      <c r="AY15">
        <v>82.5</v>
      </c>
      <c r="AZ15">
        <v>69</v>
      </c>
      <c r="BA15">
        <v>334.7</v>
      </c>
      <c r="BB15">
        <v>11</v>
      </c>
      <c r="BC15">
        <v>248</v>
      </c>
      <c r="BD15">
        <v>64</v>
      </c>
      <c r="BE15">
        <v>36.1</v>
      </c>
      <c r="BF15">
        <v>176.5</v>
      </c>
      <c r="BG15">
        <v>28.1</v>
      </c>
      <c r="BH15">
        <v>14.9</v>
      </c>
      <c r="BI15">
        <v>56.8</v>
      </c>
      <c r="BJ15">
        <v>19</v>
      </c>
      <c r="BK15">
        <v>6.1</v>
      </c>
      <c r="BL15">
        <v>46.7</v>
      </c>
      <c r="BM15">
        <v>8.1</v>
      </c>
      <c r="BN15">
        <v>3.5</v>
      </c>
      <c r="BO15">
        <v>2.65</v>
      </c>
      <c r="BP15">
        <v>0.51</v>
      </c>
      <c r="BQ15">
        <v>0.1</v>
      </c>
      <c r="BR15">
        <v>504</v>
      </c>
      <c r="BS15">
        <v>288.7</v>
      </c>
      <c r="BT15">
        <v>3544</v>
      </c>
      <c r="BU15">
        <v>2736</v>
      </c>
      <c r="BV15">
        <v>13.74</v>
      </c>
      <c r="BW15">
        <v>8.0399999999999991</v>
      </c>
      <c r="BX15">
        <v>1.56</v>
      </c>
      <c r="BY15">
        <v>62.4</v>
      </c>
      <c r="BZ15">
        <v>28.4</v>
      </c>
      <c r="CA15">
        <v>0.9</v>
      </c>
      <c r="CB15">
        <v>0.94</v>
      </c>
      <c r="CC15">
        <v>24.9</v>
      </c>
      <c r="CD15">
        <v>1.17</v>
      </c>
      <c r="CE15">
        <v>2.4</v>
      </c>
      <c r="CF15">
        <v>220.1</v>
      </c>
      <c r="CG15">
        <v>60.3</v>
      </c>
      <c r="CH15">
        <v>1768</v>
      </c>
      <c r="CI15">
        <v>7.51</v>
      </c>
      <c r="CJ15">
        <v>9.1</v>
      </c>
      <c r="CK15">
        <v>2</v>
      </c>
      <c r="CL15" s="42" t="str">
        <f t="shared" si="5"/>
        <v>1</v>
      </c>
      <c r="CM15" s="4">
        <v>64.666666666666671</v>
      </c>
      <c r="CN15" s="4">
        <v>1.2933333333333334</v>
      </c>
      <c r="CO15">
        <v>4</v>
      </c>
      <c r="CP15" s="42" t="str">
        <f t="shared" si="6"/>
        <v>2</v>
      </c>
      <c r="CQ15" s="4">
        <v>176.66666666666666</v>
      </c>
      <c r="CR15" s="4">
        <v>0.90123456790123446</v>
      </c>
      <c r="CS15" s="43" t="str">
        <f t="shared" si="7"/>
        <v>2</v>
      </c>
      <c r="CT15" s="4">
        <f t="shared" si="8"/>
        <v>241.33333333333331</v>
      </c>
      <c r="CU15" s="4">
        <f t="shared" si="9"/>
        <v>2.194567901234568</v>
      </c>
      <c r="CV15" s="4">
        <v>2</v>
      </c>
    </row>
    <row r="16" spans="1:100" x14ac:dyDescent="0.3">
      <c r="A16" s="15" t="s">
        <v>93</v>
      </c>
      <c r="B16" s="17">
        <v>0</v>
      </c>
      <c r="C16" s="3">
        <v>40</v>
      </c>
      <c r="D16">
        <v>2</v>
      </c>
      <c r="E16">
        <v>1</v>
      </c>
      <c r="F16">
        <v>2</v>
      </c>
      <c r="G16">
        <v>0</v>
      </c>
      <c r="H16">
        <v>1</v>
      </c>
      <c r="I16">
        <v>1</v>
      </c>
      <c r="J16" s="4">
        <v>69.3</v>
      </c>
      <c r="K16" s="4">
        <f t="shared" si="0"/>
        <v>1.76</v>
      </c>
      <c r="L16">
        <v>176</v>
      </c>
      <c r="M16" s="4">
        <f t="shared" si="10"/>
        <v>14.3451</v>
      </c>
      <c r="N16" s="4">
        <v>52.1</v>
      </c>
      <c r="O16" s="4">
        <v>20.7</v>
      </c>
      <c r="P16" s="40">
        <v>0</v>
      </c>
      <c r="Q16">
        <v>88</v>
      </c>
      <c r="R16" s="37">
        <v>0</v>
      </c>
      <c r="S16">
        <v>100.5</v>
      </c>
      <c r="T16" s="5">
        <f t="shared" si="1"/>
        <v>0.87562189054726369</v>
      </c>
      <c r="U16" s="37">
        <v>0</v>
      </c>
      <c r="V16" s="4">
        <f t="shared" si="2"/>
        <v>22.37215909090909</v>
      </c>
      <c r="W16" s="39">
        <v>0</v>
      </c>
      <c r="X16">
        <v>8</v>
      </c>
      <c r="Y16" s="40">
        <v>0</v>
      </c>
      <c r="Z16" s="5">
        <v>14.311999999999999</v>
      </c>
      <c r="AA16" s="23">
        <f t="shared" si="3"/>
        <v>3.3267448888888889</v>
      </c>
      <c r="AB16" s="84">
        <v>1</v>
      </c>
      <c r="AC16" s="5">
        <v>5.23</v>
      </c>
      <c r="AD16" s="37">
        <v>0</v>
      </c>
      <c r="AE16">
        <v>28.46</v>
      </c>
      <c r="AF16" s="5">
        <v>7.98</v>
      </c>
      <c r="AG16" s="37">
        <v>1</v>
      </c>
      <c r="AH16" s="5">
        <v>1.87</v>
      </c>
      <c r="AI16" s="37">
        <v>1</v>
      </c>
      <c r="AJ16" s="5">
        <v>5.7</v>
      </c>
      <c r="AK16" s="37">
        <v>1</v>
      </c>
      <c r="AL16" s="5">
        <v>1.42</v>
      </c>
      <c r="AM16" s="37">
        <v>0</v>
      </c>
      <c r="AN16" s="4">
        <f t="shared" si="4"/>
        <v>5.6197183098591559</v>
      </c>
      <c r="AO16" s="37">
        <v>1</v>
      </c>
      <c r="AP16">
        <v>111</v>
      </c>
      <c r="AQ16" s="38">
        <v>0</v>
      </c>
      <c r="AR16">
        <v>76</v>
      </c>
      <c r="AS16" s="37">
        <v>0</v>
      </c>
      <c r="AT16">
        <v>66</v>
      </c>
      <c r="AU16">
        <v>35</v>
      </c>
      <c r="AV16">
        <v>5.8</v>
      </c>
      <c r="AW16" s="37">
        <v>1</v>
      </c>
      <c r="AX16">
        <v>2242</v>
      </c>
      <c r="AY16">
        <v>67.400000000000006</v>
      </c>
      <c r="AZ16">
        <v>72.5</v>
      </c>
      <c r="BA16">
        <v>350.9</v>
      </c>
      <c r="BB16">
        <v>8.6999999999999993</v>
      </c>
      <c r="BC16">
        <v>239.4</v>
      </c>
      <c r="BD16">
        <v>86.7</v>
      </c>
      <c r="BE16">
        <v>73.5</v>
      </c>
      <c r="BF16">
        <v>116</v>
      </c>
      <c r="BG16">
        <v>29.1</v>
      </c>
      <c r="BH16">
        <v>12</v>
      </c>
      <c r="BI16">
        <v>58.7</v>
      </c>
      <c r="BJ16">
        <v>18.5</v>
      </c>
      <c r="BK16">
        <v>12.3</v>
      </c>
      <c r="BL16">
        <v>46.2</v>
      </c>
      <c r="BM16">
        <v>8.6999999999999993</v>
      </c>
      <c r="BN16">
        <v>3.2</v>
      </c>
      <c r="BO16">
        <v>2.58</v>
      </c>
      <c r="BP16">
        <v>0.39</v>
      </c>
      <c r="BQ16">
        <v>0.21</v>
      </c>
      <c r="BR16">
        <v>577</v>
      </c>
      <c r="BS16">
        <v>229.3</v>
      </c>
      <c r="BT16">
        <v>3788</v>
      </c>
      <c r="BU16">
        <v>2005</v>
      </c>
      <c r="BV16">
        <v>10.31</v>
      </c>
      <c r="BW16">
        <v>6.59</v>
      </c>
      <c r="BX16">
        <v>1.27</v>
      </c>
      <c r="BY16">
        <v>28.7</v>
      </c>
      <c r="BZ16">
        <v>15.3</v>
      </c>
      <c r="CA16">
        <v>0.62</v>
      </c>
      <c r="CB16">
        <v>0.84</v>
      </c>
      <c r="CC16">
        <v>18.8</v>
      </c>
      <c r="CD16">
        <v>0.75</v>
      </c>
      <c r="CE16">
        <v>2.48</v>
      </c>
      <c r="CF16">
        <v>221.4</v>
      </c>
      <c r="CG16">
        <v>42.4</v>
      </c>
      <c r="CH16">
        <v>621</v>
      </c>
      <c r="CI16">
        <v>1.05</v>
      </c>
      <c r="CJ16">
        <v>2.2000000000000002</v>
      </c>
      <c r="CK16">
        <v>1</v>
      </c>
      <c r="CL16" s="42" t="str">
        <f t="shared" si="5"/>
        <v>1</v>
      </c>
      <c r="CM16" s="4">
        <v>46.666666666666664</v>
      </c>
      <c r="CN16" s="4">
        <v>0.93333333333333324</v>
      </c>
      <c r="CO16">
        <v>4</v>
      </c>
      <c r="CP16" s="42" t="str">
        <f t="shared" si="6"/>
        <v>1</v>
      </c>
      <c r="CQ16" s="4">
        <v>112.66666666666667</v>
      </c>
      <c r="CR16" s="4">
        <v>1.8888888888888888</v>
      </c>
      <c r="CS16" s="43" t="str">
        <f t="shared" si="7"/>
        <v>2</v>
      </c>
      <c r="CT16" s="4">
        <f t="shared" si="8"/>
        <v>159.33333333333334</v>
      </c>
      <c r="CU16" s="4">
        <f t="shared" si="9"/>
        <v>2.822222222222222</v>
      </c>
      <c r="CV16" s="4">
        <v>2</v>
      </c>
    </row>
    <row r="17" spans="1:100" x14ac:dyDescent="0.3">
      <c r="A17" s="15" t="s">
        <v>94</v>
      </c>
      <c r="B17" s="17">
        <v>0</v>
      </c>
      <c r="C17" s="3">
        <v>36</v>
      </c>
      <c r="D17">
        <v>3</v>
      </c>
      <c r="E17">
        <v>1</v>
      </c>
      <c r="F17">
        <v>2</v>
      </c>
      <c r="G17">
        <v>2</v>
      </c>
      <c r="H17">
        <v>1</v>
      </c>
      <c r="I17">
        <v>1</v>
      </c>
      <c r="J17" s="4">
        <v>74.7</v>
      </c>
      <c r="K17" s="4">
        <f t="shared" si="0"/>
        <v>1.67</v>
      </c>
      <c r="L17">
        <v>167</v>
      </c>
      <c r="M17" s="4">
        <f t="shared" si="10"/>
        <v>19.422000000000001</v>
      </c>
      <c r="N17" s="4">
        <v>52.4</v>
      </c>
      <c r="O17" s="4">
        <v>26</v>
      </c>
      <c r="P17" s="40">
        <v>1</v>
      </c>
      <c r="Q17">
        <v>86.7</v>
      </c>
      <c r="R17" s="37">
        <v>0</v>
      </c>
      <c r="S17">
        <v>100.2</v>
      </c>
      <c r="T17" s="5">
        <f t="shared" si="1"/>
        <v>0.8652694610778443</v>
      </c>
      <c r="U17" s="37">
        <v>0</v>
      </c>
      <c r="V17" s="4">
        <f t="shared" si="2"/>
        <v>26.784753845602211</v>
      </c>
      <c r="W17" s="39">
        <v>1</v>
      </c>
      <c r="X17">
        <v>12</v>
      </c>
      <c r="Y17" s="37">
        <v>1</v>
      </c>
      <c r="AA17" s="23"/>
      <c r="AB17" s="84"/>
      <c r="AC17" s="5">
        <v>4.7</v>
      </c>
      <c r="AD17" s="37">
        <v>0</v>
      </c>
      <c r="AE17">
        <v>3</v>
      </c>
      <c r="AF17" s="5">
        <v>7.68</v>
      </c>
      <c r="AG17" s="37">
        <v>1</v>
      </c>
      <c r="AH17" s="5">
        <v>4.16</v>
      </c>
      <c r="AI17" s="37">
        <v>1</v>
      </c>
      <c r="AJ17" s="5">
        <v>4.8</v>
      </c>
      <c r="AK17" s="37">
        <v>1</v>
      </c>
      <c r="AL17" s="5">
        <v>0.99</v>
      </c>
      <c r="AM17" s="37">
        <v>1</v>
      </c>
      <c r="AN17" s="4">
        <f t="shared" si="4"/>
        <v>7.7575757575757578</v>
      </c>
      <c r="AO17" s="37">
        <v>1</v>
      </c>
      <c r="AP17">
        <v>135</v>
      </c>
      <c r="AQ17" s="37">
        <v>1</v>
      </c>
      <c r="AR17">
        <v>95</v>
      </c>
      <c r="AS17" s="37">
        <v>1</v>
      </c>
      <c r="AT17">
        <v>71</v>
      </c>
      <c r="AU17">
        <v>40</v>
      </c>
      <c r="AV17">
        <v>6.2</v>
      </c>
      <c r="AW17" s="37">
        <v>1</v>
      </c>
      <c r="AX17">
        <v>2026</v>
      </c>
      <c r="AY17">
        <v>54.7</v>
      </c>
      <c r="AZ17">
        <v>52.6</v>
      </c>
      <c r="BA17">
        <v>354.5</v>
      </c>
      <c r="BB17">
        <v>10.8</v>
      </c>
      <c r="BC17">
        <v>275.8</v>
      </c>
      <c r="BD17">
        <v>58.9</v>
      </c>
      <c r="BE17">
        <v>49.5</v>
      </c>
      <c r="BF17">
        <v>38.1</v>
      </c>
      <c r="BG17">
        <v>23.4</v>
      </c>
      <c r="BH17">
        <v>10.8</v>
      </c>
      <c r="BI17">
        <v>65.599999999999994</v>
      </c>
      <c r="BJ17">
        <v>16.8</v>
      </c>
      <c r="BK17">
        <v>9.1999999999999993</v>
      </c>
      <c r="BL17">
        <v>37.799999999999997</v>
      </c>
      <c r="BM17">
        <v>4</v>
      </c>
      <c r="BN17">
        <v>2.4</v>
      </c>
      <c r="BO17">
        <v>2.04</v>
      </c>
      <c r="BP17">
        <v>7.0000000000000007E-2</v>
      </c>
      <c r="BQ17">
        <v>0</v>
      </c>
      <c r="BR17">
        <v>508</v>
      </c>
      <c r="BS17">
        <v>218.4</v>
      </c>
      <c r="BT17">
        <v>3447</v>
      </c>
      <c r="BU17">
        <v>1789</v>
      </c>
      <c r="BV17">
        <v>14.14</v>
      </c>
      <c r="BW17">
        <v>7.31</v>
      </c>
      <c r="BX17">
        <v>1.74</v>
      </c>
      <c r="BY17">
        <v>63.9</v>
      </c>
      <c r="BZ17">
        <v>38.799999999999997</v>
      </c>
      <c r="CA17">
        <v>0.7</v>
      </c>
      <c r="CB17">
        <v>0.57999999999999996</v>
      </c>
      <c r="CC17">
        <v>16.8</v>
      </c>
      <c r="CD17">
        <v>0.94</v>
      </c>
      <c r="CE17">
        <v>1.1599999999999999</v>
      </c>
      <c r="CF17">
        <v>194.2</v>
      </c>
      <c r="CG17">
        <v>23.5</v>
      </c>
      <c r="CH17">
        <v>199</v>
      </c>
      <c r="CI17">
        <v>0.02</v>
      </c>
      <c r="CJ17">
        <v>1.5</v>
      </c>
      <c r="CK17">
        <v>0</v>
      </c>
      <c r="CL17" s="42" t="str">
        <f t="shared" si="5"/>
        <v>1</v>
      </c>
      <c r="CM17">
        <v>0</v>
      </c>
      <c r="CN17" s="4">
        <v>0</v>
      </c>
      <c r="CO17">
        <v>6</v>
      </c>
      <c r="CP17" s="42" t="str">
        <f t="shared" si="6"/>
        <v>1</v>
      </c>
      <c r="CQ17" s="4">
        <v>64</v>
      </c>
      <c r="CR17" s="4">
        <v>1.1481481481481481</v>
      </c>
      <c r="CS17" s="43" t="str">
        <f t="shared" si="7"/>
        <v>1</v>
      </c>
      <c r="CT17" s="4">
        <f t="shared" si="8"/>
        <v>64</v>
      </c>
      <c r="CU17" s="4">
        <f t="shared" si="9"/>
        <v>1.1481481481481481</v>
      </c>
      <c r="CV17" s="4">
        <v>1</v>
      </c>
    </row>
    <row r="18" spans="1:100" x14ac:dyDescent="0.3">
      <c r="A18" s="15" t="s">
        <v>95</v>
      </c>
      <c r="B18" s="17">
        <v>0</v>
      </c>
      <c r="C18" s="3">
        <v>50</v>
      </c>
      <c r="D18">
        <v>2</v>
      </c>
      <c r="E18">
        <v>2</v>
      </c>
      <c r="F18">
        <v>2</v>
      </c>
      <c r="G18">
        <v>0</v>
      </c>
      <c r="H18">
        <v>1</v>
      </c>
      <c r="I18">
        <v>1</v>
      </c>
      <c r="J18" s="4">
        <v>69.5</v>
      </c>
      <c r="K18" s="4">
        <f t="shared" si="0"/>
        <v>1.67</v>
      </c>
      <c r="L18">
        <v>167</v>
      </c>
      <c r="M18" s="4">
        <f t="shared" si="10"/>
        <v>15.151000000000002</v>
      </c>
      <c r="N18" s="4">
        <v>51.5</v>
      </c>
      <c r="O18" s="4">
        <v>21.8</v>
      </c>
      <c r="P18" s="40">
        <v>0</v>
      </c>
      <c r="Q18">
        <v>91</v>
      </c>
      <c r="R18" s="37">
        <v>1</v>
      </c>
      <c r="S18">
        <v>101.4</v>
      </c>
      <c r="T18" s="5">
        <f t="shared" si="1"/>
        <v>0.89743589743589736</v>
      </c>
      <c r="U18" s="37">
        <v>0</v>
      </c>
      <c r="V18" s="4">
        <f t="shared" si="2"/>
        <v>24.920219441356807</v>
      </c>
      <c r="W18" s="39">
        <v>1</v>
      </c>
      <c r="X18">
        <v>12</v>
      </c>
      <c r="Y18" s="37">
        <v>1</v>
      </c>
      <c r="Z18" s="5">
        <v>27.305</v>
      </c>
      <c r="AA18" s="23">
        <f t="shared" si="3"/>
        <v>6.4561155555555567</v>
      </c>
      <c r="AB18" s="84">
        <v>1</v>
      </c>
      <c r="AC18" s="5">
        <v>5.32</v>
      </c>
      <c r="AD18" s="37">
        <v>0</v>
      </c>
      <c r="AE18">
        <v>3</v>
      </c>
      <c r="AF18" s="5">
        <v>6.72</v>
      </c>
      <c r="AG18" s="37">
        <v>1</v>
      </c>
      <c r="AH18" s="5">
        <v>1.97</v>
      </c>
      <c r="AI18" s="37">
        <v>1</v>
      </c>
      <c r="AJ18" s="5">
        <v>4.4000000000000004</v>
      </c>
      <c r="AK18" s="37">
        <v>1</v>
      </c>
      <c r="AL18" s="5">
        <v>1.39</v>
      </c>
      <c r="AM18" s="37">
        <v>0</v>
      </c>
      <c r="AN18" s="4">
        <f t="shared" si="4"/>
        <v>4.8345323741007196</v>
      </c>
      <c r="AO18" s="37">
        <v>1</v>
      </c>
      <c r="AP18">
        <v>146</v>
      </c>
      <c r="AQ18" s="37">
        <v>1</v>
      </c>
      <c r="AR18">
        <v>88</v>
      </c>
      <c r="AS18" s="37">
        <v>1</v>
      </c>
      <c r="AT18">
        <v>75</v>
      </c>
      <c r="AU18">
        <v>58</v>
      </c>
      <c r="AV18">
        <v>8.1</v>
      </c>
      <c r="AW18" s="37">
        <v>0</v>
      </c>
      <c r="AX18">
        <v>2283</v>
      </c>
      <c r="AY18">
        <v>68.5</v>
      </c>
      <c r="AZ18">
        <v>54.8</v>
      </c>
      <c r="BA18">
        <v>403.2</v>
      </c>
      <c r="BB18">
        <v>10.3</v>
      </c>
      <c r="BC18">
        <v>329.6</v>
      </c>
      <c r="BD18">
        <v>51.7</v>
      </c>
      <c r="BE18">
        <v>39.4</v>
      </c>
      <c r="BF18">
        <v>39</v>
      </c>
      <c r="BG18">
        <v>21.6</v>
      </c>
      <c r="BH18">
        <v>12</v>
      </c>
      <c r="BI18">
        <v>66.2</v>
      </c>
      <c r="BJ18">
        <v>15.5</v>
      </c>
      <c r="BK18">
        <v>6.5</v>
      </c>
      <c r="BL18">
        <v>39.299999999999997</v>
      </c>
      <c r="BM18">
        <v>4.7</v>
      </c>
      <c r="BN18">
        <v>4</v>
      </c>
      <c r="BO18">
        <v>2.91</v>
      </c>
      <c r="BP18">
        <v>0.69</v>
      </c>
      <c r="BQ18">
        <v>0</v>
      </c>
      <c r="BR18">
        <v>458</v>
      </c>
      <c r="BS18">
        <v>270.2</v>
      </c>
      <c r="BT18">
        <v>4815</v>
      </c>
      <c r="BU18">
        <v>2389</v>
      </c>
      <c r="BV18">
        <v>15.26</v>
      </c>
      <c r="BW18">
        <v>8.8699999999999992</v>
      </c>
      <c r="BX18">
        <v>2.21</v>
      </c>
      <c r="BY18">
        <v>90.8</v>
      </c>
      <c r="BZ18">
        <v>58.3</v>
      </c>
      <c r="CA18">
        <v>0.84</v>
      </c>
      <c r="CB18">
        <v>0.52</v>
      </c>
      <c r="CC18">
        <v>22.3</v>
      </c>
      <c r="CD18">
        <v>1.25</v>
      </c>
      <c r="CE18">
        <v>4.82</v>
      </c>
      <c r="CF18">
        <v>280.7</v>
      </c>
      <c r="CG18">
        <v>37.1</v>
      </c>
      <c r="CH18">
        <v>539</v>
      </c>
      <c r="CI18">
        <v>5.01</v>
      </c>
      <c r="CJ18">
        <v>1.6</v>
      </c>
      <c r="CK18">
        <v>0</v>
      </c>
      <c r="CL18" s="42" t="str">
        <f t="shared" si="5"/>
        <v>1</v>
      </c>
      <c r="CM18">
        <v>0</v>
      </c>
      <c r="CN18" s="4">
        <v>0</v>
      </c>
      <c r="CO18">
        <v>6</v>
      </c>
      <c r="CP18" s="42" t="str">
        <f t="shared" si="6"/>
        <v>1</v>
      </c>
      <c r="CQ18" s="4">
        <v>116.33333333333333</v>
      </c>
      <c r="CR18" s="4">
        <v>1.8283950617283951</v>
      </c>
      <c r="CS18" s="43" t="str">
        <f t="shared" si="7"/>
        <v>1</v>
      </c>
      <c r="CT18" s="4">
        <f t="shared" si="8"/>
        <v>116.33333333333333</v>
      </c>
      <c r="CU18" s="4">
        <f t="shared" si="9"/>
        <v>1.8283950617283951</v>
      </c>
      <c r="CV18" s="4">
        <v>1</v>
      </c>
    </row>
    <row r="19" spans="1:100" x14ac:dyDescent="0.3">
      <c r="A19" s="15" t="s">
        <v>96</v>
      </c>
      <c r="B19" s="17">
        <v>0</v>
      </c>
      <c r="C19" s="3">
        <v>55</v>
      </c>
      <c r="D19">
        <v>2</v>
      </c>
      <c r="E19">
        <v>2</v>
      </c>
      <c r="F19">
        <v>2</v>
      </c>
      <c r="G19">
        <v>0</v>
      </c>
      <c r="H19">
        <v>1</v>
      </c>
      <c r="I19">
        <v>0</v>
      </c>
      <c r="J19" s="4">
        <v>67.400000000000006</v>
      </c>
      <c r="K19" s="4">
        <f t="shared" si="0"/>
        <v>1.63</v>
      </c>
      <c r="L19">
        <v>163</v>
      </c>
      <c r="M19" s="4">
        <f t="shared" si="10"/>
        <v>17.995800000000003</v>
      </c>
      <c r="N19" s="4">
        <v>46.8</v>
      </c>
      <c r="O19" s="4">
        <v>26.7</v>
      </c>
      <c r="P19" s="40">
        <v>1</v>
      </c>
      <c r="Q19">
        <v>94.5</v>
      </c>
      <c r="R19" s="37">
        <v>1</v>
      </c>
      <c r="S19">
        <v>98</v>
      </c>
      <c r="T19" s="5">
        <f t="shared" si="1"/>
        <v>0.9642857142857143</v>
      </c>
      <c r="U19" s="37">
        <v>1</v>
      </c>
      <c r="V19" s="4">
        <f t="shared" si="2"/>
        <v>25.367909970266105</v>
      </c>
      <c r="W19" s="39">
        <v>1</v>
      </c>
      <c r="X19">
        <v>13</v>
      </c>
      <c r="Y19" s="37">
        <v>1</v>
      </c>
      <c r="Z19" s="5">
        <v>11.265000000000001</v>
      </c>
      <c r="AA19" s="23">
        <f t="shared" si="3"/>
        <v>2.3130800000000002</v>
      </c>
      <c r="AB19" s="84">
        <v>0</v>
      </c>
      <c r="AC19" s="5">
        <v>4.62</v>
      </c>
      <c r="AD19" s="37">
        <v>0</v>
      </c>
      <c r="AE19">
        <v>17</v>
      </c>
      <c r="AF19" s="5">
        <v>5.91</v>
      </c>
      <c r="AG19" s="37">
        <v>1</v>
      </c>
      <c r="AH19" s="5">
        <v>2.08</v>
      </c>
      <c r="AI19" s="37">
        <v>1</v>
      </c>
      <c r="AJ19" s="5">
        <v>4</v>
      </c>
      <c r="AK19" s="37">
        <v>1</v>
      </c>
      <c r="AL19" s="5">
        <v>0.98</v>
      </c>
      <c r="AM19" s="37">
        <v>1</v>
      </c>
      <c r="AN19" s="4">
        <f t="shared" si="4"/>
        <v>6.0306122448979593</v>
      </c>
      <c r="AO19" s="37">
        <v>1</v>
      </c>
      <c r="AP19">
        <v>107</v>
      </c>
      <c r="AQ19" s="38">
        <v>0</v>
      </c>
      <c r="AR19">
        <v>76</v>
      </c>
      <c r="AS19" s="37">
        <v>0</v>
      </c>
      <c r="AT19">
        <v>62</v>
      </c>
      <c r="AU19">
        <v>31</v>
      </c>
      <c r="AV19">
        <v>4.7</v>
      </c>
      <c r="AW19" s="37">
        <v>1</v>
      </c>
      <c r="AX19">
        <v>2433</v>
      </c>
      <c r="AY19">
        <v>47.3</v>
      </c>
      <c r="AZ19">
        <v>109.4</v>
      </c>
      <c r="BA19">
        <v>334.6</v>
      </c>
      <c r="BB19">
        <v>11.8</v>
      </c>
      <c r="BC19">
        <v>251</v>
      </c>
      <c r="BD19">
        <v>65.7</v>
      </c>
      <c r="BE19">
        <v>47.2</v>
      </c>
      <c r="BF19">
        <v>110.7</v>
      </c>
      <c r="BG19">
        <v>40.5</v>
      </c>
      <c r="BH19">
        <v>7.8</v>
      </c>
      <c r="BI19">
        <v>51.6</v>
      </c>
      <c r="BJ19">
        <v>30.8</v>
      </c>
      <c r="BK19">
        <v>7.3</v>
      </c>
      <c r="BL19">
        <v>83.1</v>
      </c>
      <c r="BM19">
        <v>12.3</v>
      </c>
      <c r="BN19">
        <v>4</v>
      </c>
      <c r="BO19">
        <v>3.41</v>
      </c>
      <c r="BP19">
        <v>0.37</v>
      </c>
      <c r="BQ19">
        <v>0.05</v>
      </c>
      <c r="BR19">
        <v>389</v>
      </c>
      <c r="BS19">
        <v>230.9</v>
      </c>
      <c r="BT19">
        <v>3339</v>
      </c>
      <c r="BU19">
        <v>2080</v>
      </c>
      <c r="BV19">
        <v>11.7</v>
      </c>
      <c r="BW19">
        <v>5.86</v>
      </c>
      <c r="BX19">
        <v>1.32</v>
      </c>
      <c r="BY19">
        <v>40</v>
      </c>
      <c r="BZ19">
        <v>27.7</v>
      </c>
      <c r="CA19">
        <v>0.67</v>
      </c>
      <c r="CB19">
        <v>0.47</v>
      </c>
      <c r="CC19">
        <v>14.8</v>
      </c>
      <c r="CD19">
        <v>0.55000000000000004</v>
      </c>
      <c r="CE19">
        <v>1.76</v>
      </c>
      <c r="CF19">
        <v>168.4</v>
      </c>
      <c r="CG19">
        <v>21</v>
      </c>
      <c r="CH19">
        <v>178</v>
      </c>
      <c r="CI19">
        <v>2.0299999999999998</v>
      </c>
      <c r="CJ19">
        <v>3.3</v>
      </c>
      <c r="CK19">
        <v>1</v>
      </c>
      <c r="CL19" s="42" t="str">
        <f t="shared" si="5"/>
        <v>1</v>
      </c>
      <c r="CM19">
        <v>18</v>
      </c>
      <c r="CN19" s="4">
        <v>0.36</v>
      </c>
      <c r="CO19">
        <v>4</v>
      </c>
      <c r="CP19" s="42" t="str">
        <f t="shared" si="6"/>
        <v>2</v>
      </c>
      <c r="CQ19" s="4">
        <v>149.66666666666666</v>
      </c>
      <c r="CR19" s="4">
        <v>1.4444444444444444</v>
      </c>
      <c r="CS19" s="43" t="str">
        <f t="shared" si="7"/>
        <v>2</v>
      </c>
      <c r="CT19" s="4">
        <f t="shared" si="8"/>
        <v>167.66666666666666</v>
      </c>
      <c r="CU19" s="4">
        <f t="shared" si="9"/>
        <v>1.8044444444444445</v>
      </c>
      <c r="CV19" s="4">
        <v>1</v>
      </c>
    </row>
    <row r="20" spans="1:100" x14ac:dyDescent="0.3">
      <c r="A20" s="15" t="s">
        <v>97</v>
      </c>
      <c r="B20" s="17">
        <v>0</v>
      </c>
      <c r="C20" s="3">
        <v>42</v>
      </c>
      <c r="D20">
        <v>2</v>
      </c>
      <c r="E20">
        <v>1</v>
      </c>
      <c r="F20">
        <v>2</v>
      </c>
      <c r="G20">
        <v>2</v>
      </c>
      <c r="H20">
        <v>0</v>
      </c>
      <c r="I20">
        <v>1</v>
      </c>
      <c r="J20" s="4">
        <v>71.2</v>
      </c>
      <c r="K20" s="4">
        <f t="shared" si="0"/>
        <v>1.67</v>
      </c>
      <c r="L20">
        <v>167</v>
      </c>
      <c r="M20" s="4">
        <f t="shared" si="10"/>
        <v>18.369600000000002</v>
      </c>
      <c r="N20" s="4">
        <v>50.1</v>
      </c>
      <c r="O20" s="4">
        <v>25.8</v>
      </c>
      <c r="P20" s="40">
        <v>1</v>
      </c>
      <c r="Q20">
        <v>93</v>
      </c>
      <c r="R20" s="37">
        <v>1</v>
      </c>
      <c r="S20">
        <v>97</v>
      </c>
      <c r="T20" s="5">
        <f t="shared" si="1"/>
        <v>0.95876288659793818</v>
      </c>
      <c r="U20" s="37">
        <v>1</v>
      </c>
      <c r="V20" s="4">
        <f t="shared" si="2"/>
        <v>25.52977876582165</v>
      </c>
      <c r="W20" s="39">
        <v>1</v>
      </c>
      <c r="X20">
        <v>12</v>
      </c>
      <c r="Y20" s="37">
        <v>1</v>
      </c>
      <c r="Z20" s="5">
        <v>9.1189999999999998</v>
      </c>
      <c r="AA20" s="23">
        <f t="shared" si="3"/>
        <v>2.2250360000000002</v>
      </c>
      <c r="AB20" s="84">
        <v>0</v>
      </c>
      <c r="AC20" s="5">
        <v>5.49</v>
      </c>
      <c r="AD20" s="37">
        <v>0</v>
      </c>
      <c r="AE20">
        <v>17.54</v>
      </c>
      <c r="AF20" s="5">
        <v>7.51</v>
      </c>
      <c r="AG20" s="37">
        <v>1</v>
      </c>
      <c r="AH20" s="5">
        <v>2.19</v>
      </c>
      <c r="AI20" s="37">
        <v>1</v>
      </c>
      <c r="AJ20" s="5">
        <v>5.6</v>
      </c>
      <c r="AK20" s="37">
        <v>1</v>
      </c>
      <c r="AL20" s="5">
        <v>0.96</v>
      </c>
      <c r="AM20" s="37">
        <v>1</v>
      </c>
      <c r="AN20" s="4">
        <f t="shared" si="4"/>
        <v>7.822916666666667</v>
      </c>
      <c r="AO20" s="37">
        <v>1</v>
      </c>
      <c r="AP20">
        <v>128</v>
      </c>
      <c r="AQ20" s="38">
        <v>0</v>
      </c>
      <c r="AR20">
        <v>91</v>
      </c>
      <c r="AS20" s="37">
        <v>1</v>
      </c>
      <c r="AT20">
        <v>59</v>
      </c>
      <c r="AU20">
        <v>39</v>
      </c>
      <c r="AV20">
        <v>6.4</v>
      </c>
      <c r="AW20" s="37">
        <v>1</v>
      </c>
      <c r="AX20">
        <v>1996</v>
      </c>
      <c r="AY20">
        <v>61.6</v>
      </c>
      <c r="AZ20">
        <v>37.799999999999997</v>
      </c>
      <c r="BA20">
        <v>374.8</v>
      </c>
      <c r="BB20">
        <v>6.3</v>
      </c>
      <c r="BC20">
        <v>292.10000000000002</v>
      </c>
      <c r="BD20">
        <v>67.3</v>
      </c>
      <c r="BE20">
        <v>57.5</v>
      </c>
      <c r="BF20">
        <v>82</v>
      </c>
      <c r="BG20">
        <v>17.100000000000001</v>
      </c>
      <c r="BH20">
        <v>12.3</v>
      </c>
      <c r="BI20">
        <v>70.400000000000006</v>
      </c>
      <c r="BJ20">
        <v>10.8</v>
      </c>
      <c r="BK20">
        <v>10.8</v>
      </c>
      <c r="BL20">
        <v>24</v>
      </c>
      <c r="BM20">
        <v>6</v>
      </c>
      <c r="BN20">
        <v>2.1</v>
      </c>
      <c r="BO20">
        <v>1.65</v>
      </c>
      <c r="BP20">
        <v>0.24</v>
      </c>
      <c r="BQ20">
        <v>0</v>
      </c>
      <c r="BR20">
        <v>370</v>
      </c>
      <c r="BS20">
        <v>181.1</v>
      </c>
      <c r="BT20">
        <v>3428</v>
      </c>
      <c r="BU20">
        <v>1699</v>
      </c>
      <c r="BV20">
        <v>10.45</v>
      </c>
      <c r="BW20">
        <v>6.71</v>
      </c>
      <c r="BX20">
        <v>1.0900000000000001</v>
      </c>
      <c r="BY20">
        <v>32.799999999999997</v>
      </c>
      <c r="BZ20">
        <v>19.3</v>
      </c>
      <c r="CA20">
        <v>0.62</v>
      </c>
      <c r="CB20">
        <v>0.53</v>
      </c>
      <c r="CC20">
        <v>24.7</v>
      </c>
      <c r="CD20">
        <v>0.95</v>
      </c>
      <c r="CE20">
        <v>1.1499999999999999</v>
      </c>
      <c r="CF20">
        <v>176.5</v>
      </c>
      <c r="CG20">
        <v>17.7</v>
      </c>
      <c r="CH20">
        <v>179</v>
      </c>
      <c r="CI20">
        <v>6.11</v>
      </c>
      <c r="CJ20">
        <v>1.2</v>
      </c>
      <c r="CK20">
        <v>2</v>
      </c>
      <c r="CL20" s="42" t="str">
        <f t="shared" si="5"/>
        <v>1</v>
      </c>
      <c r="CM20">
        <v>29</v>
      </c>
      <c r="CN20" s="4">
        <v>0.57999999999999996</v>
      </c>
      <c r="CO20">
        <v>6</v>
      </c>
      <c r="CP20" s="42" t="str">
        <f t="shared" si="6"/>
        <v>1</v>
      </c>
      <c r="CQ20" s="4">
        <v>68.166666666666671</v>
      </c>
      <c r="CR20" s="4">
        <v>0.97592592592592586</v>
      </c>
      <c r="CS20" s="43" t="str">
        <f t="shared" si="7"/>
        <v>1</v>
      </c>
      <c r="CT20" s="4">
        <f t="shared" si="8"/>
        <v>97.166666666666671</v>
      </c>
      <c r="CU20" s="4">
        <f t="shared" si="9"/>
        <v>1.5559259259259259</v>
      </c>
      <c r="CV20" s="4">
        <v>1</v>
      </c>
    </row>
    <row r="21" spans="1:100" x14ac:dyDescent="0.3">
      <c r="A21" s="15" t="s">
        <v>98</v>
      </c>
      <c r="B21" s="17">
        <v>0</v>
      </c>
      <c r="C21" s="3">
        <v>35</v>
      </c>
      <c r="D21">
        <v>3</v>
      </c>
      <c r="E21">
        <v>1</v>
      </c>
      <c r="F21">
        <v>2</v>
      </c>
      <c r="G21">
        <v>1</v>
      </c>
      <c r="H21">
        <v>1</v>
      </c>
      <c r="I21">
        <v>1</v>
      </c>
      <c r="J21" s="4">
        <v>60.1</v>
      </c>
      <c r="K21" s="4">
        <f t="shared" si="0"/>
        <v>1.67</v>
      </c>
      <c r="L21">
        <v>167</v>
      </c>
      <c r="M21" s="4">
        <f t="shared" si="10"/>
        <v>12.801300000000001</v>
      </c>
      <c r="N21" s="4">
        <v>44.8</v>
      </c>
      <c r="O21" s="4">
        <v>21.3</v>
      </c>
      <c r="P21" s="40">
        <v>0</v>
      </c>
      <c r="Q21">
        <v>78.599999999999994</v>
      </c>
      <c r="R21" s="37">
        <v>0</v>
      </c>
      <c r="S21">
        <v>90.8</v>
      </c>
      <c r="T21" s="5">
        <f t="shared" si="1"/>
        <v>0.86563876651982374</v>
      </c>
      <c r="U21" s="37">
        <v>0</v>
      </c>
      <c r="V21" s="4">
        <f t="shared" si="2"/>
        <v>21.549714941374738</v>
      </c>
      <c r="W21" s="39">
        <v>0</v>
      </c>
      <c r="X21">
        <v>7</v>
      </c>
      <c r="Y21" s="40">
        <v>0</v>
      </c>
      <c r="Z21" s="5">
        <v>7.2510000000000003</v>
      </c>
      <c r="AA21" s="23">
        <f t="shared" si="3"/>
        <v>1.6500053333333335</v>
      </c>
      <c r="AB21" s="84">
        <v>0</v>
      </c>
      <c r="AC21" s="5">
        <v>5.12</v>
      </c>
      <c r="AD21" s="37">
        <v>0</v>
      </c>
      <c r="AE21">
        <v>26.5</v>
      </c>
      <c r="AF21" s="5">
        <v>3.27</v>
      </c>
      <c r="AG21" s="37">
        <v>0</v>
      </c>
      <c r="AH21" s="5">
        <v>1.75</v>
      </c>
      <c r="AI21" s="37">
        <v>1</v>
      </c>
      <c r="AJ21" s="5">
        <v>1.9</v>
      </c>
      <c r="AK21" s="37">
        <v>0</v>
      </c>
      <c r="AL21" s="5">
        <v>0.59</v>
      </c>
      <c r="AM21" s="37">
        <v>1</v>
      </c>
      <c r="AN21" s="4">
        <f t="shared" si="4"/>
        <v>5.5423728813559325</v>
      </c>
      <c r="AO21" s="37">
        <v>1</v>
      </c>
      <c r="AP21">
        <v>120</v>
      </c>
      <c r="AQ21" s="38">
        <v>0</v>
      </c>
      <c r="AR21">
        <v>77</v>
      </c>
      <c r="AS21" s="37">
        <v>0</v>
      </c>
      <c r="AT21">
        <v>59</v>
      </c>
      <c r="AU21">
        <v>43</v>
      </c>
      <c r="AV21">
        <v>5.7</v>
      </c>
      <c r="AW21" s="37">
        <v>1</v>
      </c>
      <c r="AX21">
        <v>1967</v>
      </c>
      <c r="AY21">
        <v>45.6</v>
      </c>
      <c r="AZ21">
        <v>46.7</v>
      </c>
      <c r="BA21">
        <v>362.9</v>
      </c>
      <c r="BB21">
        <v>7.1</v>
      </c>
      <c r="BC21">
        <v>306.2</v>
      </c>
      <c r="BD21">
        <v>37.299999999999997</v>
      </c>
      <c r="BE21">
        <v>29.1</v>
      </c>
      <c r="BF21">
        <v>8.1</v>
      </c>
      <c r="BG21">
        <v>21.4</v>
      </c>
      <c r="BH21">
        <v>9.3000000000000007</v>
      </c>
      <c r="BI21">
        <v>69.2</v>
      </c>
      <c r="BJ21">
        <v>15.3</v>
      </c>
      <c r="BK21">
        <v>5.5</v>
      </c>
      <c r="BL21">
        <v>33.5</v>
      </c>
      <c r="BM21">
        <v>5.5</v>
      </c>
      <c r="BN21">
        <v>1.7</v>
      </c>
      <c r="BO21">
        <v>1.22</v>
      </c>
      <c r="BP21">
        <v>0.24</v>
      </c>
      <c r="BQ21">
        <v>0</v>
      </c>
      <c r="BR21">
        <v>362</v>
      </c>
      <c r="BS21">
        <v>169</v>
      </c>
      <c r="BT21">
        <v>3193</v>
      </c>
      <c r="BU21">
        <v>1365</v>
      </c>
      <c r="BV21">
        <v>9.9</v>
      </c>
      <c r="BW21">
        <v>6.27</v>
      </c>
      <c r="BX21">
        <v>1.73</v>
      </c>
      <c r="BY21">
        <v>25.1</v>
      </c>
      <c r="BZ21">
        <v>19.3</v>
      </c>
      <c r="CA21">
        <v>0.62</v>
      </c>
      <c r="CB21">
        <v>0.3</v>
      </c>
      <c r="CC21">
        <v>14.6</v>
      </c>
      <c r="CD21">
        <v>0.41</v>
      </c>
      <c r="CE21">
        <v>2.12</v>
      </c>
      <c r="CF21">
        <v>175.4</v>
      </c>
      <c r="CG21">
        <v>15.3</v>
      </c>
      <c r="CH21">
        <v>254</v>
      </c>
      <c r="CI21">
        <v>1.1399999999999999</v>
      </c>
      <c r="CJ21">
        <v>2.4</v>
      </c>
      <c r="CK21">
        <v>1</v>
      </c>
      <c r="CL21" s="42" t="str">
        <f t="shared" si="5"/>
        <v>1</v>
      </c>
      <c r="CM21" s="4">
        <v>37.333333333333336</v>
      </c>
      <c r="CN21" s="4">
        <v>0.7466666666666667</v>
      </c>
      <c r="CO21">
        <v>2</v>
      </c>
      <c r="CP21" s="42" t="str">
        <f t="shared" si="6"/>
        <v>1</v>
      </c>
      <c r="CQ21" s="4">
        <v>91.666666666666671</v>
      </c>
      <c r="CR21" s="4">
        <v>0.55555555555555558</v>
      </c>
      <c r="CS21" s="43" t="str">
        <f t="shared" si="7"/>
        <v>1</v>
      </c>
      <c r="CT21" s="4">
        <f t="shared" si="8"/>
        <v>129</v>
      </c>
      <c r="CU21" s="4">
        <f t="shared" si="9"/>
        <v>1.3022222222222224</v>
      </c>
      <c r="CV21" s="4">
        <v>1</v>
      </c>
    </row>
    <row r="22" spans="1:100" x14ac:dyDescent="0.3">
      <c r="A22" s="15" t="s">
        <v>99</v>
      </c>
      <c r="B22" s="17">
        <v>0</v>
      </c>
      <c r="C22" s="3">
        <v>40</v>
      </c>
      <c r="D22">
        <v>4</v>
      </c>
      <c r="E22">
        <v>2</v>
      </c>
      <c r="F22">
        <v>1</v>
      </c>
      <c r="G22">
        <v>0</v>
      </c>
      <c r="H22">
        <v>2</v>
      </c>
      <c r="I22">
        <v>1</v>
      </c>
      <c r="J22" s="4">
        <v>75.099999999999994</v>
      </c>
      <c r="K22" s="4">
        <f t="shared" si="0"/>
        <v>1.76</v>
      </c>
      <c r="L22">
        <v>176</v>
      </c>
      <c r="M22" s="4">
        <f t="shared" si="10"/>
        <v>13.968599999999999</v>
      </c>
      <c r="N22" s="4">
        <v>57.9</v>
      </c>
      <c r="O22" s="4">
        <v>18.600000000000001</v>
      </c>
      <c r="P22" s="40">
        <v>0</v>
      </c>
      <c r="Q22">
        <v>99.5</v>
      </c>
      <c r="R22" s="37">
        <v>1</v>
      </c>
      <c r="S22">
        <v>96.5</v>
      </c>
      <c r="T22" s="5">
        <f t="shared" si="1"/>
        <v>1.0310880829015545</v>
      </c>
      <c r="U22" s="37">
        <v>1</v>
      </c>
      <c r="V22" s="4">
        <f t="shared" si="2"/>
        <v>24.244576446280991</v>
      </c>
      <c r="W22" s="39">
        <v>1</v>
      </c>
      <c r="X22">
        <v>9</v>
      </c>
      <c r="Y22" s="40">
        <v>0</v>
      </c>
      <c r="Z22" s="5">
        <v>14.708</v>
      </c>
      <c r="AA22" s="23">
        <f t="shared" si="3"/>
        <v>4.5235271111111111</v>
      </c>
      <c r="AB22" s="84">
        <v>1</v>
      </c>
      <c r="AC22" s="5">
        <v>6.92</v>
      </c>
      <c r="AD22" s="37">
        <v>1</v>
      </c>
      <c r="AE22">
        <v>3</v>
      </c>
      <c r="AF22" s="5">
        <v>5.19</v>
      </c>
      <c r="AG22" s="37">
        <v>1</v>
      </c>
      <c r="AH22" s="5">
        <v>1.44</v>
      </c>
      <c r="AI22" s="37">
        <v>0</v>
      </c>
      <c r="AJ22" s="5">
        <v>3.3</v>
      </c>
      <c r="AK22" s="37">
        <v>0</v>
      </c>
      <c r="AL22" s="5">
        <v>1.2</v>
      </c>
      <c r="AM22" s="37">
        <v>0</v>
      </c>
      <c r="AN22" s="4">
        <f t="shared" si="4"/>
        <v>4.3250000000000002</v>
      </c>
      <c r="AO22" s="37">
        <v>1</v>
      </c>
      <c r="AP22">
        <v>121</v>
      </c>
      <c r="AQ22" s="38">
        <v>0</v>
      </c>
      <c r="AR22">
        <v>84</v>
      </c>
      <c r="AS22" s="37">
        <v>0</v>
      </c>
      <c r="AT22">
        <v>54</v>
      </c>
      <c r="AU22">
        <v>37</v>
      </c>
      <c r="AV22">
        <v>6.1</v>
      </c>
      <c r="AW22" s="37">
        <v>1</v>
      </c>
      <c r="AX22">
        <v>1851</v>
      </c>
      <c r="AY22">
        <v>48.1</v>
      </c>
      <c r="AZ22">
        <v>53.8</v>
      </c>
      <c r="BA22">
        <v>311.39999999999998</v>
      </c>
      <c r="BB22">
        <v>9.1</v>
      </c>
      <c r="BC22">
        <v>178.1</v>
      </c>
      <c r="BD22">
        <v>114.2</v>
      </c>
      <c r="BE22">
        <v>92.2</v>
      </c>
      <c r="BF22">
        <v>110.6</v>
      </c>
      <c r="BG22">
        <v>26.2</v>
      </c>
      <c r="BH22">
        <v>10.4</v>
      </c>
      <c r="BI22">
        <v>63.1</v>
      </c>
      <c r="BJ22">
        <v>17.899999999999999</v>
      </c>
      <c r="BK22">
        <v>18.7</v>
      </c>
      <c r="BL22">
        <v>36.799999999999997</v>
      </c>
      <c r="BM22">
        <v>5.9</v>
      </c>
      <c r="BN22">
        <v>3.2</v>
      </c>
      <c r="BO22">
        <v>2.29</v>
      </c>
      <c r="BP22">
        <v>0.72</v>
      </c>
      <c r="BQ22">
        <v>0.14000000000000001</v>
      </c>
      <c r="BR22">
        <v>448</v>
      </c>
      <c r="BS22">
        <v>293.3</v>
      </c>
      <c r="BT22">
        <v>5725</v>
      </c>
      <c r="BU22">
        <v>2424</v>
      </c>
      <c r="BV22">
        <v>13.17</v>
      </c>
      <c r="BW22">
        <v>7.88</v>
      </c>
      <c r="BX22">
        <v>1.83</v>
      </c>
      <c r="BY22">
        <v>20.8</v>
      </c>
      <c r="BZ22">
        <v>39.200000000000003</v>
      </c>
      <c r="CA22">
        <v>2.34</v>
      </c>
      <c r="CB22">
        <v>2.06</v>
      </c>
      <c r="CC22">
        <v>13.8</v>
      </c>
      <c r="CD22">
        <v>0.94</v>
      </c>
      <c r="CE22">
        <v>2.67</v>
      </c>
      <c r="CF22">
        <v>380.4</v>
      </c>
      <c r="CG22">
        <v>82</v>
      </c>
      <c r="CH22">
        <v>608</v>
      </c>
      <c r="CI22">
        <v>8.86</v>
      </c>
      <c r="CJ22">
        <v>2.2999999999999998</v>
      </c>
      <c r="CK22">
        <v>4</v>
      </c>
      <c r="CL22" s="42" t="str">
        <f t="shared" si="5"/>
        <v>2</v>
      </c>
      <c r="CM22" s="4">
        <v>162.66666666666666</v>
      </c>
      <c r="CN22" s="4">
        <v>3.253333333333333</v>
      </c>
      <c r="CO22">
        <v>6</v>
      </c>
      <c r="CP22" s="42" t="str">
        <f t="shared" si="6"/>
        <v>1</v>
      </c>
      <c r="CQ22" s="4">
        <v>126.33333333333333</v>
      </c>
      <c r="CR22" s="4">
        <v>1.5098765432098766</v>
      </c>
      <c r="CS22" s="43" t="str">
        <f t="shared" si="7"/>
        <v>2</v>
      </c>
      <c r="CT22" s="4">
        <f t="shared" si="8"/>
        <v>289</v>
      </c>
      <c r="CU22" s="4">
        <f t="shared" si="9"/>
        <v>4.7632098765432094</v>
      </c>
      <c r="CV22" s="4">
        <v>4</v>
      </c>
    </row>
    <row r="23" spans="1:100" x14ac:dyDescent="0.3">
      <c r="A23" s="15" t="s">
        <v>100</v>
      </c>
      <c r="B23" s="17">
        <v>0</v>
      </c>
      <c r="C23">
        <v>31</v>
      </c>
      <c r="D23">
        <v>2</v>
      </c>
      <c r="E23">
        <v>1</v>
      </c>
      <c r="F23">
        <v>2</v>
      </c>
      <c r="G23">
        <v>0</v>
      </c>
      <c r="H23">
        <v>0</v>
      </c>
      <c r="I23">
        <v>1</v>
      </c>
      <c r="J23">
        <v>87.5</v>
      </c>
      <c r="K23" s="4">
        <f t="shared" si="0"/>
        <v>1.76</v>
      </c>
      <c r="L23">
        <v>176</v>
      </c>
      <c r="M23" s="4">
        <f t="shared" si="10"/>
        <v>18.900000000000002</v>
      </c>
      <c r="N23" s="4">
        <v>60.5</v>
      </c>
      <c r="O23" s="4">
        <v>21.6</v>
      </c>
      <c r="P23" s="40">
        <v>0</v>
      </c>
      <c r="Q23">
        <v>99</v>
      </c>
      <c r="R23" s="37">
        <v>1</v>
      </c>
      <c r="S23">
        <v>104.5</v>
      </c>
      <c r="T23" s="5">
        <f t="shared" si="1"/>
        <v>0.94736842105263153</v>
      </c>
      <c r="U23" s="37">
        <v>1</v>
      </c>
      <c r="V23" s="4">
        <f t="shared" si="2"/>
        <v>28.247675619834713</v>
      </c>
      <c r="W23" s="39">
        <v>1</v>
      </c>
      <c r="X23">
        <v>10</v>
      </c>
      <c r="Y23" s="37">
        <v>1</v>
      </c>
      <c r="Z23" s="5">
        <v>10.15</v>
      </c>
      <c r="AA23" s="23">
        <f t="shared" si="3"/>
        <v>2.4224666666666668</v>
      </c>
      <c r="AB23" s="84">
        <v>0</v>
      </c>
      <c r="AC23" s="5">
        <v>5.37</v>
      </c>
      <c r="AD23" s="37">
        <v>0</v>
      </c>
      <c r="AE23">
        <v>3</v>
      </c>
      <c r="AF23" s="5">
        <v>3.9</v>
      </c>
      <c r="AG23" s="37">
        <v>0</v>
      </c>
      <c r="AH23" s="5">
        <v>1.66</v>
      </c>
      <c r="AI23" s="37">
        <v>0</v>
      </c>
      <c r="AJ23" s="5">
        <v>2.0299999999999998</v>
      </c>
      <c r="AK23" s="37">
        <v>0</v>
      </c>
      <c r="AL23" s="5">
        <v>1.1100000000000001</v>
      </c>
      <c r="AM23" s="37">
        <v>0</v>
      </c>
      <c r="AN23" s="4">
        <f t="shared" si="4"/>
        <v>3.5135135135135132</v>
      </c>
      <c r="AO23" s="37">
        <v>0</v>
      </c>
      <c r="AP23">
        <v>132</v>
      </c>
      <c r="AQ23" s="37">
        <v>1</v>
      </c>
      <c r="AR23">
        <v>83</v>
      </c>
      <c r="AS23" s="37">
        <v>0</v>
      </c>
      <c r="AT23">
        <v>75</v>
      </c>
      <c r="AU23">
        <v>49</v>
      </c>
      <c r="AV23">
        <v>5.9</v>
      </c>
      <c r="AW23" s="37">
        <v>1</v>
      </c>
      <c r="AX23">
        <v>1936</v>
      </c>
      <c r="AY23">
        <v>63.1</v>
      </c>
      <c r="AZ23">
        <v>59</v>
      </c>
      <c r="BA23">
        <v>306.60000000000002</v>
      </c>
      <c r="BB23">
        <v>12.5</v>
      </c>
      <c r="BC23">
        <v>234.6</v>
      </c>
      <c r="BD23">
        <v>56.5</v>
      </c>
      <c r="BE23">
        <v>39</v>
      </c>
      <c r="BF23">
        <v>222.5</v>
      </c>
      <c r="BG23">
        <v>27.4</v>
      </c>
      <c r="BH23">
        <v>13</v>
      </c>
      <c r="BI23">
        <v>59.4</v>
      </c>
      <c r="BJ23">
        <v>17.8</v>
      </c>
      <c r="BK23">
        <v>7.5</v>
      </c>
      <c r="BL23">
        <v>38.299999999999997</v>
      </c>
      <c r="BM23">
        <v>9.3000000000000007</v>
      </c>
      <c r="BN23">
        <v>3.2</v>
      </c>
      <c r="BO23">
        <v>2.67</v>
      </c>
      <c r="BP23">
        <v>0.25</v>
      </c>
      <c r="BQ23">
        <v>0.01</v>
      </c>
      <c r="BR23">
        <v>452</v>
      </c>
      <c r="BS23">
        <v>229.2</v>
      </c>
      <c r="BT23">
        <v>4556</v>
      </c>
      <c r="BU23">
        <v>2188</v>
      </c>
      <c r="BV23">
        <v>11.42</v>
      </c>
      <c r="BW23">
        <v>7.99</v>
      </c>
      <c r="BX23">
        <v>1.66</v>
      </c>
      <c r="BY23">
        <v>53.4</v>
      </c>
      <c r="BZ23">
        <v>58.4</v>
      </c>
      <c r="CA23">
        <v>0.63</v>
      </c>
      <c r="CB23">
        <v>1.36</v>
      </c>
      <c r="CC23">
        <v>20.7</v>
      </c>
      <c r="CD23">
        <v>1.0900000000000001</v>
      </c>
      <c r="CE23">
        <v>1.43</v>
      </c>
      <c r="CF23">
        <v>243.2</v>
      </c>
      <c r="CG23">
        <v>50.6</v>
      </c>
      <c r="CH23">
        <v>512</v>
      </c>
      <c r="CI23">
        <v>6.47</v>
      </c>
      <c r="CJ23">
        <v>3.1</v>
      </c>
      <c r="CK23">
        <v>3</v>
      </c>
      <c r="CL23" s="42" t="str">
        <f t="shared" si="5"/>
        <v>1</v>
      </c>
      <c r="CM23">
        <v>74</v>
      </c>
      <c r="CN23" s="4">
        <v>1.48</v>
      </c>
      <c r="CO23">
        <v>7</v>
      </c>
      <c r="CP23" s="42" t="str">
        <f t="shared" si="6"/>
        <v>1</v>
      </c>
      <c r="CQ23" s="4">
        <v>84.333333333333329</v>
      </c>
      <c r="CR23" s="4">
        <v>1.5222222222222221</v>
      </c>
      <c r="CS23" s="43" t="str">
        <f t="shared" si="7"/>
        <v>2</v>
      </c>
      <c r="CT23" s="4">
        <f t="shared" si="8"/>
        <v>158.33333333333331</v>
      </c>
      <c r="CU23" s="4">
        <f t="shared" si="9"/>
        <v>3.0022222222222221</v>
      </c>
      <c r="CV23" s="4">
        <v>3</v>
      </c>
    </row>
    <row r="24" spans="1:100" x14ac:dyDescent="0.3">
      <c r="A24" s="15" t="s">
        <v>101</v>
      </c>
      <c r="B24" s="17">
        <v>0</v>
      </c>
      <c r="C24" s="3">
        <v>51</v>
      </c>
      <c r="D24">
        <v>2</v>
      </c>
      <c r="E24">
        <v>1</v>
      </c>
      <c r="F24">
        <v>2</v>
      </c>
      <c r="G24">
        <v>0</v>
      </c>
      <c r="H24">
        <v>1</v>
      </c>
      <c r="I24">
        <v>1</v>
      </c>
      <c r="J24" s="4">
        <v>74.8</v>
      </c>
      <c r="K24" s="4">
        <f t="shared" si="0"/>
        <v>1.62</v>
      </c>
      <c r="L24">
        <v>162</v>
      </c>
      <c r="M24" s="4">
        <f t="shared" si="10"/>
        <v>24.0108</v>
      </c>
      <c r="N24" s="4">
        <v>48.2</v>
      </c>
      <c r="O24" s="4">
        <v>32.1</v>
      </c>
      <c r="P24" s="40">
        <v>1</v>
      </c>
      <c r="Q24">
        <v>95</v>
      </c>
      <c r="R24" s="37">
        <v>1</v>
      </c>
      <c r="S24">
        <v>103</v>
      </c>
      <c r="T24" s="5">
        <f t="shared" si="1"/>
        <v>0.92233009708737868</v>
      </c>
      <c r="U24" s="37">
        <v>1</v>
      </c>
      <c r="V24" s="4">
        <f t="shared" si="2"/>
        <v>28.501752781588166</v>
      </c>
      <c r="W24" s="39">
        <v>1</v>
      </c>
      <c r="X24">
        <v>16</v>
      </c>
      <c r="Y24" s="37">
        <v>1</v>
      </c>
      <c r="Z24">
        <v>9.59</v>
      </c>
      <c r="AA24" s="23">
        <f t="shared" si="3"/>
        <v>2.3229111111111114</v>
      </c>
      <c r="AB24" s="84">
        <v>0</v>
      </c>
      <c r="AC24" s="5">
        <v>5.45</v>
      </c>
      <c r="AD24" s="37">
        <v>0</v>
      </c>
      <c r="AE24">
        <v>55.07</v>
      </c>
      <c r="AF24" s="5">
        <v>5.68</v>
      </c>
      <c r="AG24" s="37">
        <v>1</v>
      </c>
      <c r="AH24" s="5">
        <v>1.99</v>
      </c>
      <c r="AI24" s="37">
        <v>1</v>
      </c>
      <c r="AJ24" s="5">
        <v>3.8</v>
      </c>
      <c r="AK24" s="37">
        <v>1</v>
      </c>
      <c r="AL24" s="5">
        <v>0.98</v>
      </c>
      <c r="AM24" s="37">
        <v>1</v>
      </c>
      <c r="AN24" s="4">
        <f t="shared" si="4"/>
        <v>5.795918367346939</v>
      </c>
      <c r="AO24" s="37">
        <v>1</v>
      </c>
      <c r="AP24">
        <v>159</v>
      </c>
      <c r="AQ24" s="37">
        <v>1</v>
      </c>
      <c r="AR24">
        <v>109</v>
      </c>
      <c r="AS24" s="37">
        <v>1</v>
      </c>
      <c r="AT24">
        <v>65</v>
      </c>
      <c r="AU24">
        <v>50</v>
      </c>
      <c r="AV24">
        <v>8.4</v>
      </c>
      <c r="AW24" s="37">
        <v>0</v>
      </c>
      <c r="AX24">
        <v>2103</v>
      </c>
      <c r="AY24">
        <v>54.6</v>
      </c>
      <c r="AZ24">
        <v>46.2</v>
      </c>
      <c r="BA24">
        <v>390.9</v>
      </c>
      <c r="BB24">
        <v>11.7</v>
      </c>
      <c r="BC24">
        <v>331.9</v>
      </c>
      <c r="BD24">
        <v>44.8</v>
      </c>
      <c r="BE24">
        <v>35</v>
      </c>
      <c r="BF24">
        <v>96.5</v>
      </c>
      <c r="BG24">
        <v>19.8</v>
      </c>
      <c r="BH24">
        <v>10.4</v>
      </c>
      <c r="BI24">
        <v>69.7</v>
      </c>
      <c r="BJ24">
        <v>13.6</v>
      </c>
      <c r="BK24">
        <v>6.2</v>
      </c>
      <c r="BL24">
        <v>31.8</v>
      </c>
      <c r="BM24">
        <v>5.6</v>
      </c>
      <c r="BN24">
        <v>2.7</v>
      </c>
      <c r="BO24">
        <v>2.2999999999999998</v>
      </c>
      <c r="BP24">
        <v>0.24</v>
      </c>
      <c r="BQ24">
        <v>0</v>
      </c>
      <c r="BR24">
        <v>411</v>
      </c>
      <c r="BS24">
        <v>197.6</v>
      </c>
      <c r="BT24">
        <v>3511</v>
      </c>
      <c r="BU24">
        <v>1858</v>
      </c>
      <c r="BV24">
        <v>13.7</v>
      </c>
      <c r="BW24">
        <v>8.17</v>
      </c>
      <c r="BX24">
        <v>1.84</v>
      </c>
      <c r="BY24">
        <v>28.9</v>
      </c>
      <c r="BZ24">
        <v>64</v>
      </c>
      <c r="CA24">
        <v>0.74</v>
      </c>
      <c r="CB24">
        <v>0.8</v>
      </c>
      <c r="CC24">
        <v>24</v>
      </c>
      <c r="CD24">
        <v>1.17</v>
      </c>
      <c r="CE24">
        <v>2</v>
      </c>
      <c r="CF24">
        <v>224.4</v>
      </c>
      <c r="CG24">
        <v>16.600000000000001</v>
      </c>
      <c r="CH24">
        <v>337</v>
      </c>
      <c r="CI24">
        <v>1.73</v>
      </c>
      <c r="CJ24">
        <v>1.6</v>
      </c>
      <c r="CK24">
        <v>0</v>
      </c>
      <c r="CL24" s="42" t="str">
        <f t="shared" si="5"/>
        <v>1</v>
      </c>
      <c r="CM24">
        <v>0</v>
      </c>
      <c r="CN24" s="4">
        <v>0</v>
      </c>
      <c r="CO24">
        <v>5</v>
      </c>
      <c r="CP24" s="42" t="str">
        <f t="shared" si="6"/>
        <v>1</v>
      </c>
      <c r="CQ24" s="4">
        <v>74.666666666666671</v>
      </c>
      <c r="CR24" s="4">
        <v>1.6814814814814814</v>
      </c>
      <c r="CS24" s="43" t="str">
        <f t="shared" si="7"/>
        <v>1</v>
      </c>
      <c r="CT24" s="4">
        <f t="shared" si="8"/>
        <v>74.666666666666671</v>
      </c>
      <c r="CU24" s="4">
        <f t="shared" si="9"/>
        <v>1.6814814814814814</v>
      </c>
      <c r="CV24" s="4">
        <v>1</v>
      </c>
    </row>
    <row r="25" spans="1:100" x14ac:dyDescent="0.3">
      <c r="A25" s="15" t="s">
        <v>102</v>
      </c>
      <c r="B25" s="17">
        <v>0</v>
      </c>
      <c r="C25" s="3">
        <v>36</v>
      </c>
      <c r="D25">
        <v>2</v>
      </c>
      <c r="E25">
        <v>1</v>
      </c>
      <c r="F25">
        <v>2</v>
      </c>
      <c r="G25">
        <v>0</v>
      </c>
      <c r="H25">
        <v>1</v>
      </c>
      <c r="I25">
        <v>0</v>
      </c>
      <c r="J25" s="4">
        <v>119.8</v>
      </c>
      <c r="K25" s="4">
        <f t="shared" si="0"/>
        <v>1.804</v>
      </c>
      <c r="L25">
        <v>180.4</v>
      </c>
      <c r="M25" s="4">
        <f t="shared" si="10"/>
        <v>43.726999999999997</v>
      </c>
      <c r="N25" s="4">
        <v>74.2</v>
      </c>
      <c r="O25" s="4">
        <v>36.5</v>
      </c>
      <c r="P25" s="40">
        <v>1</v>
      </c>
      <c r="Q25">
        <v>121.2</v>
      </c>
      <c r="R25" s="37">
        <v>1</v>
      </c>
      <c r="S25">
        <v>111.9</v>
      </c>
      <c r="T25" s="5">
        <f t="shared" si="1"/>
        <v>1.0831099195710456</v>
      </c>
      <c r="U25" s="37">
        <v>1</v>
      </c>
      <c r="V25" s="4">
        <f t="shared" si="2"/>
        <v>36.811520100687801</v>
      </c>
      <c r="W25" s="39">
        <v>1</v>
      </c>
      <c r="X25">
        <v>21</v>
      </c>
      <c r="Y25" s="37">
        <v>1</v>
      </c>
      <c r="Z25">
        <v>105</v>
      </c>
      <c r="AA25" s="23">
        <f t="shared" si="3"/>
        <v>23.61333333333333</v>
      </c>
      <c r="AB25" s="84">
        <v>1</v>
      </c>
      <c r="AC25" s="5">
        <v>5.0599999999999996</v>
      </c>
      <c r="AD25" s="37">
        <v>0</v>
      </c>
      <c r="AE25">
        <v>3</v>
      </c>
      <c r="AF25" s="5">
        <v>5.01</v>
      </c>
      <c r="AG25" s="37">
        <v>1</v>
      </c>
      <c r="AH25" s="5">
        <v>2.19</v>
      </c>
      <c r="AI25" s="37">
        <v>1</v>
      </c>
      <c r="AJ25" s="5">
        <v>3.12</v>
      </c>
      <c r="AK25" s="37">
        <v>0</v>
      </c>
      <c r="AL25" s="5">
        <v>0.9</v>
      </c>
      <c r="AM25" s="37">
        <v>1</v>
      </c>
      <c r="AN25" s="4">
        <f t="shared" si="4"/>
        <v>5.5666666666666664</v>
      </c>
      <c r="AO25" s="37">
        <v>1</v>
      </c>
      <c r="AP25">
        <v>143</v>
      </c>
      <c r="AQ25" s="37">
        <v>1</v>
      </c>
      <c r="AR25">
        <v>90</v>
      </c>
      <c r="AS25" s="37">
        <v>1</v>
      </c>
      <c r="AT25">
        <v>73</v>
      </c>
      <c r="AU25">
        <v>53</v>
      </c>
      <c r="AV25">
        <v>6.6</v>
      </c>
      <c r="AW25" s="37">
        <v>0</v>
      </c>
      <c r="AX25">
        <v>1437</v>
      </c>
      <c r="AY25">
        <v>44.4</v>
      </c>
      <c r="AZ25">
        <v>51.2</v>
      </c>
      <c r="BA25">
        <v>212</v>
      </c>
      <c r="BB25">
        <v>8.3000000000000007</v>
      </c>
      <c r="BC25">
        <v>156.30000000000001</v>
      </c>
      <c r="BD25">
        <v>34</v>
      </c>
      <c r="BE25">
        <v>25.3</v>
      </c>
      <c r="BF25">
        <v>154.69999999999999</v>
      </c>
      <c r="BG25">
        <v>32.1</v>
      </c>
      <c r="BH25">
        <v>12.4</v>
      </c>
      <c r="BI25">
        <v>55.3</v>
      </c>
      <c r="BJ25">
        <v>23.3</v>
      </c>
      <c r="BK25">
        <v>6.6</v>
      </c>
      <c r="BL25">
        <v>37.200000000000003</v>
      </c>
      <c r="BM25">
        <v>4.7</v>
      </c>
      <c r="BN25">
        <v>2.1</v>
      </c>
      <c r="BO25">
        <v>1.47</v>
      </c>
      <c r="BP25">
        <v>0.43</v>
      </c>
      <c r="BQ25">
        <v>0</v>
      </c>
      <c r="BR25">
        <v>304</v>
      </c>
      <c r="BS25">
        <v>174.7</v>
      </c>
      <c r="BT25">
        <v>4440</v>
      </c>
      <c r="BU25">
        <v>1712</v>
      </c>
      <c r="BV25">
        <v>9.3699999999999992</v>
      </c>
      <c r="BW25">
        <v>5.49</v>
      </c>
      <c r="BX25">
        <v>1.36</v>
      </c>
      <c r="BY25">
        <v>44.4</v>
      </c>
      <c r="BZ25">
        <v>52.3</v>
      </c>
      <c r="CA25">
        <v>0.73</v>
      </c>
      <c r="CB25">
        <v>0.69</v>
      </c>
      <c r="CC25">
        <v>12.4</v>
      </c>
      <c r="CD25">
        <v>0.78</v>
      </c>
      <c r="CE25">
        <v>3.97</v>
      </c>
      <c r="CF25">
        <v>143.9</v>
      </c>
      <c r="CG25">
        <v>16.5</v>
      </c>
      <c r="CH25">
        <v>200</v>
      </c>
      <c r="CI25">
        <v>3.4</v>
      </c>
      <c r="CJ25">
        <v>2.1</v>
      </c>
      <c r="CK25">
        <v>1</v>
      </c>
      <c r="CL25" s="42" t="str">
        <f t="shared" si="5"/>
        <v>1</v>
      </c>
      <c r="CM25">
        <v>13</v>
      </c>
      <c r="CN25" s="4">
        <v>0.26</v>
      </c>
      <c r="CO25">
        <v>4</v>
      </c>
      <c r="CP25" s="42" t="str">
        <f t="shared" si="6"/>
        <v>1</v>
      </c>
      <c r="CQ25" s="4">
        <v>119</v>
      </c>
      <c r="CR25" s="4">
        <v>1.462962962962963</v>
      </c>
      <c r="CS25" s="43" t="str">
        <f t="shared" si="7"/>
        <v>1</v>
      </c>
      <c r="CT25" s="4">
        <f t="shared" si="8"/>
        <v>132</v>
      </c>
      <c r="CU25" s="4">
        <f t="shared" si="9"/>
        <v>1.722962962962963</v>
      </c>
      <c r="CV25" s="4">
        <v>1</v>
      </c>
    </row>
    <row r="26" spans="1:100" x14ac:dyDescent="0.3">
      <c r="A26" s="15" t="s">
        <v>103</v>
      </c>
      <c r="B26" s="17">
        <v>0</v>
      </c>
      <c r="C26" s="3">
        <v>47</v>
      </c>
      <c r="D26">
        <v>3</v>
      </c>
      <c r="E26">
        <v>1</v>
      </c>
      <c r="F26">
        <v>2</v>
      </c>
      <c r="G26">
        <v>1</v>
      </c>
      <c r="H26">
        <v>1</v>
      </c>
      <c r="I26">
        <v>1</v>
      </c>
      <c r="J26" s="4">
        <v>54.9</v>
      </c>
      <c r="K26" s="4">
        <f t="shared" si="0"/>
        <v>1.66</v>
      </c>
      <c r="L26">
        <v>166</v>
      </c>
      <c r="M26" s="4">
        <f t="shared" si="10"/>
        <v>8.6742000000000008</v>
      </c>
      <c r="N26" s="4">
        <v>43.8</v>
      </c>
      <c r="O26" s="4">
        <v>15.8</v>
      </c>
      <c r="P26" s="40">
        <v>0</v>
      </c>
      <c r="Q26">
        <v>84</v>
      </c>
      <c r="R26" s="37">
        <v>0</v>
      </c>
      <c r="S26">
        <v>86</v>
      </c>
      <c r="T26" s="5">
        <f t="shared" si="1"/>
        <v>0.97674418604651159</v>
      </c>
      <c r="U26" s="37">
        <v>1</v>
      </c>
      <c r="V26" s="4">
        <f t="shared" si="2"/>
        <v>19.923065757003918</v>
      </c>
      <c r="W26" s="39">
        <v>0</v>
      </c>
      <c r="X26">
        <v>6</v>
      </c>
      <c r="Y26" s="40">
        <v>0</v>
      </c>
      <c r="Z26">
        <v>4.45</v>
      </c>
      <c r="AA26" s="23">
        <f t="shared" si="3"/>
        <v>0.96317777777777791</v>
      </c>
      <c r="AB26" s="84">
        <v>0</v>
      </c>
      <c r="AC26" s="5">
        <v>4.87</v>
      </c>
      <c r="AD26" s="37">
        <v>0</v>
      </c>
      <c r="AE26">
        <v>55.24</v>
      </c>
      <c r="AF26" s="5">
        <v>7.5</v>
      </c>
      <c r="AG26" s="37">
        <v>1</v>
      </c>
      <c r="AH26" s="5">
        <v>1.06</v>
      </c>
      <c r="AI26" s="37">
        <v>0</v>
      </c>
      <c r="AJ26" s="5">
        <v>6</v>
      </c>
      <c r="AK26" s="37">
        <v>1</v>
      </c>
      <c r="AL26" s="5">
        <v>1.01</v>
      </c>
      <c r="AM26" s="37">
        <v>0</v>
      </c>
      <c r="AN26" s="4">
        <f t="shared" si="4"/>
        <v>7.4257425742574261</v>
      </c>
      <c r="AO26" s="37">
        <v>1</v>
      </c>
      <c r="AP26">
        <v>128</v>
      </c>
      <c r="AQ26" s="38">
        <v>0</v>
      </c>
      <c r="AR26">
        <v>93</v>
      </c>
      <c r="AS26" s="37">
        <v>1</v>
      </c>
      <c r="AT26">
        <v>60</v>
      </c>
      <c r="AU26">
        <v>35</v>
      </c>
      <c r="AV26">
        <v>7</v>
      </c>
      <c r="AW26" s="37">
        <v>1</v>
      </c>
      <c r="AX26">
        <v>1901</v>
      </c>
      <c r="AY26">
        <v>45.3</v>
      </c>
      <c r="AZ26">
        <v>34.9</v>
      </c>
      <c r="BA26">
        <v>373.9</v>
      </c>
      <c r="BB26">
        <v>6</v>
      </c>
      <c r="BC26">
        <v>265.39999999999998</v>
      </c>
      <c r="BD26">
        <v>90.6</v>
      </c>
      <c r="BE26">
        <v>83.8</v>
      </c>
      <c r="BF26">
        <v>103.8</v>
      </c>
      <c r="BG26">
        <v>16.5</v>
      </c>
      <c r="BH26">
        <v>9.5</v>
      </c>
      <c r="BI26">
        <v>73.7</v>
      </c>
      <c r="BJ26">
        <v>9.9</v>
      </c>
      <c r="BK26">
        <v>16.5</v>
      </c>
      <c r="BL26">
        <v>20.8</v>
      </c>
      <c r="BM26">
        <v>4.3</v>
      </c>
      <c r="BN26">
        <v>2.7</v>
      </c>
      <c r="BO26">
        <v>2.2599999999999998</v>
      </c>
      <c r="BP26">
        <v>0.32</v>
      </c>
      <c r="BQ26">
        <v>0.02</v>
      </c>
      <c r="BR26">
        <v>399</v>
      </c>
      <c r="BS26">
        <v>146.30000000000001</v>
      </c>
      <c r="BT26">
        <v>1928</v>
      </c>
      <c r="BU26">
        <v>1371</v>
      </c>
      <c r="BV26">
        <v>8.94</v>
      </c>
      <c r="BW26">
        <v>6.16</v>
      </c>
      <c r="BX26">
        <v>1.44</v>
      </c>
      <c r="BY26">
        <v>54.1</v>
      </c>
      <c r="BZ26">
        <v>53.9</v>
      </c>
      <c r="CA26">
        <v>0.78</v>
      </c>
      <c r="CB26">
        <v>0.74</v>
      </c>
      <c r="CC26">
        <v>14.7</v>
      </c>
      <c r="CD26">
        <v>0.69</v>
      </c>
      <c r="CE26">
        <v>1.53</v>
      </c>
      <c r="CF26">
        <v>179</v>
      </c>
      <c r="CG26">
        <v>22</v>
      </c>
      <c r="CH26">
        <v>354</v>
      </c>
      <c r="CI26">
        <v>1.5</v>
      </c>
      <c r="CJ26">
        <v>1.3</v>
      </c>
      <c r="CK26">
        <v>0</v>
      </c>
      <c r="CL26" s="42" t="str">
        <f t="shared" si="5"/>
        <v>1</v>
      </c>
      <c r="CM26">
        <v>0</v>
      </c>
      <c r="CN26" s="4">
        <v>0</v>
      </c>
      <c r="CO26">
        <v>3</v>
      </c>
      <c r="CP26" s="42" t="str">
        <f t="shared" si="6"/>
        <v>1</v>
      </c>
      <c r="CQ26" s="4">
        <v>130.66666666666666</v>
      </c>
      <c r="CR26" s="4">
        <v>1.7382716049382716</v>
      </c>
      <c r="CS26" s="43" t="str">
        <f t="shared" si="7"/>
        <v>1</v>
      </c>
      <c r="CT26" s="4">
        <f t="shared" si="8"/>
        <v>130.66666666666666</v>
      </c>
      <c r="CU26" s="4">
        <f t="shared" si="9"/>
        <v>1.7382716049382716</v>
      </c>
      <c r="CV26" s="4">
        <v>1</v>
      </c>
    </row>
    <row r="27" spans="1:100" x14ac:dyDescent="0.3">
      <c r="A27" s="15" t="s">
        <v>104</v>
      </c>
      <c r="B27" s="17">
        <v>0</v>
      </c>
      <c r="C27" s="3">
        <v>52</v>
      </c>
      <c r="D27">
        <v>2</v>
      </c>
      <c r="E27">
        <v>1</v>
      </c>
      <c r="F27">
        <v>2</v>
      </c>
      <c r="G27">
        <v>0</v>
      </c>
      <c r="H27">
        <v>0</v>
      </c>
      <c r="I27">
        <v>0</v>
      </c>
      <c r="J27" s="4">
        <v>79.400000000000006</v>
      </c>
      <c r="K27" s="4">
        <f t="shared" si="0"/>
        <v>1.63</v>
      </c>
      <c r="L27">
        <v>163</v>
      </c>
      <c r="M27" s="4">
        <f t="shared" si="10"/>
        <v>26.202000000000002</v>
      </c>
      <c r="N27" s="4">
        <v>50.4</v>
      </c>
      <c r="O27" s="4">
        <v>33</v>
      </c>
      <c r="P27" s="40">
        <v>1</v>
      </c>
      <c r="Q27">
        <v>95.2</v>
      </c>
      <c r="R27" s="37">
        <v>1</v>
      </c>
      <c r="S27">
        <v>99.8</v>
      </c>
      <c r="T27" s="5">
        <f t="shared" si="1"/>
        <v>0.95390781563126259</v>
      </c>
      <c r="U27" s="37">
        <v>1</v>
      </c>
      <c r="V27" s="4">
        <f t="shared" si="2"/>
        <v>29.884451804734844</v>
      </c>
      <c r="W27" s="39">
        <v>1</v>
      </c>
      <c r="X27">
        <v>18</v>
      </c>
      <c r="Y27" s="37">
        <v>1</v>
      </c>
      <c r="AA27" s="23"/>
      <c r="AB27" s="84"/>
      <c r="AC27" s="5">
        <v>7.45</v>
      </c>
      <c r="AD27" s="37">
        <v>1</v>
      </c>
      <c r="AE27">
        <v>21.41</v>
      </c>
      <c r="AF27" s="5">
        <v>6.07</v>
      </c>
      <c r="AG27" s="37">
        <v>1</v>
      </c>
      <c r="AH27" s="5">
        <v>2.39</v>
      </c>
      <c r="AI27" s="37">
        <v>1</v>
      </c>
      <c r="AJ27" s="5">
        <v>3.87</v>
      </c>
      <c r="AK27" s="37">
        <v>1</v>
      </c>
      <c r="AL27" s="5">
        <v>1.41</v>
      </c>
      <c r="AM27" s="37">
        <v>0</v>
      </c>
      <c r="AN27" s="4">
        <f t="shared" si="4"/>
        <v>4.3049645390070923</v>
      </c>
      <c r="AO27" s="37">
        <v>1</v>
      </c>
      <c r="AP27">
        <v>139</v>
      </c>
      <c r="AQ27" s="37">
        <v>1</v>
      </c>
      <c r="AR27">
        <v>100</v>
      </c>
      <c r="AS27" s="37">
        <v>1</v>
      </c>
      <c r="AT27">
        <v>61</v>
      </c>
      <c r="AU27">
        <v>39</v>
      </c>
      <c r="AV27">
        <v>8</v>
      </c>
      <c r="AW27" s="37">
        <v>1</v>
      </c>
      <c r="AX27">
        <v>2295</v>
      </c>
      <c r="AY27">
        <v>55</v>
      </c>
      <c r="AZ27">
        <v>82</v>
      </c>
      <c r="BA27">
        <v>355.2</v>
      </c>
      <c r="BB27">
        <v>8.8000000000000007</v>
      </c>
      <c r="BC27">
        <v>276.5</v>
      </c>
      <c r="BD27">
        <v>20.8</v>
      </c>
      <c r="BE27">
        <v>12.3</v>
      </c>
      <c r="BF27">
        <v>130.80000000000001</v>
      </c>
      <c r="BG27">
        <v>32.200000000000003</v>
      </c>
      <c r="BH27">
        <v>9.6</v>
      </c>
      <c r="BI27">
        <v>58</v>
      </c>
      <c r="BJ27">
        <v>22.2</v>
      </c>
      <c r="BK27">
        <v>2</v>
      </c>
      <c r="BL27">
        <v>56.6</v>
      </c>
      <c r="BM27">
        <v>11.8</v>
      </c>
      <c r="BN27">
        <v>5.0999999999999996</v>
      </c>
      <c r="BO27">
        <v>4.2699999999999996</v>
      </c>
      <c r="BP27">
        <v>0.54</v>
      </c>
      <c r="BQ27">
        <v>0.11</v>
      </c>
      <c r="BR27">
        <v>570</v>
      </c>
      <c r="BS27">
        <v>232.4</v>
      </c>
      <c r="BT27">
        <v>4542</v>
      </c>
      <c r="BU27">
        <v>1984</v>
      </c>
      <c r="BV27">
        <v>11.76</v>
      </c>
      <c r="BW27">
        <v>7.15</v>
      </c>
      <c r="BX27">
        <v>1.41</v>
      </c>
      <c r="BY27">
        <v>23.2</v>
      </c>
      <c r="BZ27">
        <v>28.8</v>
      </c>
      <c r="CA27">
        <v>0.57999999999999996</v>
      </c>
      <c r="CB27">
        <v>0.51</v>
      </c>
      <c r="CC27">
        <v>17.8</v>
      </c>
      <c r="CD27">
        <v>0.71</v>
      </c>
      <c r="CE27">
        <v>2.0299999999999998</v>
      </c>
      <c r="CF27">
        <v>204.2</v>
      </c>
      <c r="CG27">
        <v>28.6</v>
      </c>
      <c r="CH27">
        <v>357</v>
      </c>
      <c r="CI27">
        <v>2.37</v>
      </c>
      <c r="CJ27">
        <v>3.9</v>
      </c>
      <c r="CK27">
        <v>1</v>
      </c>
      <c r="CL27" s="42" t="str">
        <f t="shared" si="5"/>
        <v>2</v>
      </c>
      <c r="CM27">
        <v>112</v>
      </c>
      <c r="CN27" s="4">
        <v>2.2400000000000002</v>
      </c>
      <c r="CO27">
        <v>5</v>
      </c>
      <c r="CP27" s="42" t="str">
        <f t="shared" si="6"/>
        <v>1</v>
      </c>
      <c r="CQ27" s="4">
        <v>120.66666666666667</v>
      </c>
      <c r="CR27" s="4">
        <v>1.8493827160493828</v>
      </c>
      <c r="CS27" s="43" t="str">
        <f t="shared" si="7"/>
        <v>2</v>
      </c>
      <c r="CT27" s="4">
        <f t="shared" si="8"/>
        <v>232.66666666666669</v>
      </c>
      <c r="CU27" s="4">
        <f t="shared" si="9"/>
        <v>4.089382716049383</v>
      </c>
      <c r="CV27" s="4">
        <v>4</v>
      </c>
    </row>
    <row r="28" spans="1:100" x14ac:dyDescent="0.3">
      <c r="A28" s="15" t="s">
        <v>105</v>
      </c>
      <c r="B28" s="17">
        <v>0</v>
      </c>
      <c r="C28" s="3">
        <v>62</v>
      </c>
      <c r="D28">
        <v>2</v>
      </c>
      <c r="E28">
        <v>2</v>
      </c>
      <c r="F28">
        <v>2</v>
      </c>
      <c r="G28">
        <v>2</v>
      </c>
      <c r="H28">
        <v>1</v>
      </c>
      <c r="I28">
        <v>1</v>
      </c>
      <c r="J28" s="4">
        <v>72.3</v>
      </c>
      <c r="K28" s="4">
        <f t="shared" si="0"/>
        <v>1.67</v>
      </c>
      <c r="L28">
        <v>167</v>
      </c>
      <c r="M28" s="4">
        <f t="shared" si="10"/>
        <v>15.472199999999997</v>
      </c>
      <c r="N28" s="4">
        <v>53.9</v>
      </c>
      <c r="O28" s="4">
        <v>21.4</v>
      </c>
      <c r="P28" s="40">
        <v>0</v>
      </c>
      <c r="Q28">
        <v>88.8</v>
      </c>
      <c r="R28" s="37">
        <v>0</v>
      </c>
      <c r="S28">
        <v>99.4</v>
      </c>
      <c r="T28" s="5">
        <f t="shared" si="1"/>
        <v>0.89336016096579474</v>
      </c>
      <c r="U28" s="37">
        <v>0</v>
      </c>
      <c r="V28" s="4">
        <f t="shared" si="2"/>
        <v>25.924199505181253</v>
      </c>
      <c r="W28" s="39">
        <v>1</v>
      </c>
      <c r="X28">
        <v>13</v>
      </c>
      <c r="Y28" s="37">
        <v>1</v>
      </c>
      <c r="AA28" s="23"/>
      <c r="AB28" s="84"/>
      <c r="AC28" s="5">
        <v>5.26</v>
      </c>
      <c r="AD28" s="37">
        <v>0</v>
      </c>
      <c r="AE28">
        <v>5.78</v>
      </c>
      <c r="AF28" s="5">
        <v>4.8499999999999996</v>
      </c>
      <c r="AG28" s="37">
        <v>0</v>
      </c>
      <c r="AH28" s="5">
        <v>1.03</v>
      </c>
      <c r="AI28" s="37">
        <v>0</v>
      </c>
      <c r="AJ28" s="5">
        <v>3.3</v>
      </c>
      <c r="AK28" s="37">
        <v>0</v>
      </c>
      <c r="AL28" s="5">
        <v>1.07</v>
      </c>
      <c r="AM28" s="37">
        <v>0</v>
      </c>
      <c r="AN28" s="4">
        <f t="shared" si="4"/>
        <v>4.5327102803738315</v>
      </c>
      <c r="AO28" s="37">
        <v>1</v>
      </c>
      <c r="AP28">
        <v>120</v>
      </c>
      <c r="AQ28" s="38">
        <v>0</v>
      </c>
      <c r="AR28">
        <v>86</v>
      </c>
      <c r="AS28" s="37">
        <v>1</v>
      </c>
      <c r="AT28">
        <v>60</v>
      </c>
      <c r="AU28">
        <v>34</v>
      </c>
      <c r="AV28">
        <v>8.6999999999999993</v>
      </c>
      <c r="AW28" s="37">
        <v>1</v>
      </c>
      <c r="AX28">
        <v>2019</v>
      </c>
      <c r="AY28">
        <v>66.099999999999994</v>
      </c>
      <c r="AZ28">
        <v>41.5</v>
      </c>
      <c r="BA28">
        <v>363.1</v>
      </c>
      <c r="BB28">
        <v>6.7</v>
      </c>
      <c r="BC28">
        <v>296.8</v>
      </c>
      <c r="BD28">
        <v>43.7</v>
      </c>
      <c r="BE28">
        <v>36.5</v>
      </c>
      <c r="BF28">
        <v>67.2</v>
      </c>
      <c r="BG28">
        <v>18.5</v>
      </c>
      <c r="BH28">
        <v>13.1</v>
      </c>
      <c r="BI28">
        <v>67.400000000000006</v>
      </c>
      <c r="BJ28">
        <v>13.2</v>
      </c>
      <c r="BK28">
        <v>6.8</v>
      </c>
      <c r="BL28">
        <v>29.5</v>
      </c>
      <c r="BM28">
        <v>4</v>
      </c>
      <c r="BN28">
        <v>2.7</v>
      </c>
      <c r="BO28">
        <v>2.11</v>
      </c>
      <c r="BP28">
        <v>0.39</v>
      </c>
      <c r="BQ28">
        <v>0</v>
      </c>
      <c r="BR28">
        <v>393</v>
      </c>
      <c r="BS28">
        <v>483</v>
      </c>
      <c r="BT28">
        <v>7710</v>
      </c>
      <c r="BU28">
        <v>2811</v>
      </c>
      <c r="BV28">
        <v>20.68</v>
      </c>
      <c r="BW28">
        <v>12.93</v>
      </c>
      <c r="BX28">
        <v>2.48</v>
      </c>
      <c r="BY28">
        <v>35.9</v>
      </c>
      <c r="BZ28">
        <v>54.3</v>
      </c>
      <c r="CA28">
        <v>0.84</v>
      </c>
      <c r="CB28">
        <v>0.56000000000000005</v>
      </c>
      <c r="CC28">
        <v>14.9</v>
      </c>
      <c r="CD28">
        <v>1.05</v>
      </c>
      <c r="CE28">
        <v>1</v>
      </c>
      <c r="CF28">
        <v>792.7</v>
      </c>
      <c r="CG28">
        <v>18.399999999999999</v>
      </c>
      <c r="CH28">
        <v>227</v>
      </c>
      <c r="CI28">
        <v>0.64</v>
      </c>
      <c r="CJ28">
        <v>1</v>
      </c>
      <c r="CK28">
        <v>0</v>
      </c>
      <c r="CL28" s="42" t="str">
        <f t="shared" si="5"/>
        <v>1</v>
      </c>
      <c r="CM28">
        <v>0</v>
      </c>
      <c r="CN28" s="4">
        <v>0</v>
      </c>
      <c r="CO28">
        <v>6</v>
      </c>
      <c r="CP28" s="42" t="str">
        <f t="shared" si="6"/>
        <v>1</v>
      </c>
      <c r="CQ28" s="4">
        <v>141.33333333333334</v>
      </c>
      <c r="CR28" s="4">
        <v>3.1012345679012343</v>
      </c>
      <c r="CS28" s="43" t="str">
        <f t="shared" si="7"/>
        <v>1</v>
      </c>
      <c r="CT28" s="4">
        <f t="shared" si="8"/>
        <v>141.33333333333334</v>
      </c>
      <c r="CU28" s="4">
        <f t="shared" si="9"/>
        <v>3.1012345679012343</v>
      </c>
      <c r="CV28" s="4">
        <v>3</v>
      </c>
    </row>
    <row r="29" spans="1:100" x14ac:dyDescent="0.3">
      <c r="A29" s="15" t="s">
        <v>106</v>
      </c>
      <c r="B29" s="17">
        <v>0</v>
      </c>
      <c r="C29" s="3">
        <v>32</v>
      </c>
      <c r="D29">
        <v>1</v>
      </c>
      <c r="E29">
        <v>3</v>
      </c>
      <c r="F29">
        <v>1</v>
      </c>
      <c r="G29">
        <v>0</v>
      </c>
      <c r="H29">
        <v>1</v>
      </c>
      <c r="I29">
        <v>0</v>
      </c>
      <c r="J29" s="4">
        <v>74.400000000000006</v>
      </c>
      <c r="K29" s="4">
        <f t="shared" si="0"/>
        <v>1.7</v>
      </c>
      <c r="L29">
        <v>170</v>
      </c>
      <c r="M29" s="4">
        <f t="shared" si="10"/>
        <v>24.254400000000004</v>
      </c>
      <c r="N29" s="4">
        <v>46.9</v>
      </c>
      <c r="O29" s="4">
        <v>32.6</v>
      </c>
      <c r="P29" s="40">
        <v>1</v>
      </c>
      <c r="Q29">
        <v>93</v>
      </c>
      <c r="R29" s="37">
        <v>1</v>
      </c>
      <c r="S29">
        <v>100</v>
      </c>
      <c r="T29" s="5">
        <f t="shared" si="1"/>
        <v>0.93</v>
      </c>
      <c r="U29" s="37">
        <v>1</v>
      </c>
      <c r="V29" s="4">
        <f t="shared" si="2"/>
        <v>25.743944636678204</v>
      </c>
      <c r="W29" s="39">
        <v>1</v>
      </c>
      <c r="X29">
        <v>5</v>
      </c>
      <c r="Y29" s="40">
        <v>0</v>
      </c>
      <c r="Z29">
        <v>13.3</v>
      </c>
      <c r="AA29" s="23">
        <f t="shared" si="3"/>
        <v>3.1151555555555555</v>
      </c>
      <c r="AB29" s="84">
        <v>1</v>
      </c>
      <c r="AC29" s="5">
        <v>5.27</v>
      </c>
      <c r="AD29" s="37">
        <v>0</v>
      </c>
      <c r="AE29">
        <v>3</v>
      </c>
      <c r="AF29" s="5">
        <v>6.59</v>
      </c>
      <c r="AG29" s="37">
        <v>1</v>
      </c>
      <c r="AH29" s="5">
        <v>1.5</v>
      </c>
      <c r="AI29" s="37">
        <v>0</v>
      </c>
      <c r="AJ29" s="5">
        <v>5</v>
      </c>
      <c r="AK29" s="37">
        <v>1</v>
      </c>
      <c r="AL29" s="5">
        <v>1.19</v>
      </c>
      <c r="AM29" s="37">
        <v>0</v>
      </c>
      <c r="AN29" s="4">
        <f t="shared" si="4"/>
        <v>5.53781512605042</v>
      </c>
      <c r="AO29" s="37">
        <v>1</v>
      </c>
      <c r="AP29">
        <v>153</v>
      </c>
      <c r="AQ29" s="37">
        <v>1</v>
      </c>
      <c r="AR29">
        <v>89</v>
      </c>
      <c r="AS29" s="37">
        <v>1</v>
      </c>
      <c r="AT29">
        <v>104</v>
      </c>
      <c r="AU29">
        <v>64</v>
      </c>
      <c r="AV29">
        <v>6.3</v>
      </c>
      <c r="AW29" s="37">
        <v>0</v>
      </c>
      <c r="AX29">
        <v>2115</v>
      </c>
      <c r="AY29">
        <v>49.6</v>
      </c>
      <c r="AZ29">
        <v>51.8</v>
      </c>
      <c r="BA29">
        <v>384.9</v>
      </c>
      <c r="BB29">
        <v>11.5</v>
      </c>
      <c r="BC29">
        <v>326.2</v>
      </c>
      <c r="BD29">
        <v>36.5</v>
      </c>
      <c r="BE29">
        <v>23.9</v>
      </c>
      <c r="BF29">
        <v>20.8</v>
      </c>
      <c r="BG29">
        <v>22</v>
      </c>
      <c r="BH29">
        <v>9.4</v>
      </c>
      <c r="BI29">
        <v>68.2</v>
      </c>
      <c r="BJ29">
        <v>17.3</v>
      </c>
      <c r="BK29">
        <v>4.2</v>
      </c>
      <c r="BL29">
        <v>40.700000000000003</v>
      </c>
      <c r="BM29">
        <v>4.4000000000000004</v>
      </c>
      <c r="BN29">
        <v>2.1</v>
      </c>
      <c r="BO29">
        <v>1.69</v>
      </c>
      <c r="BP29">
        <v>0.09</v>
      </c>
      <c r="BQ29">
        <v>0.23</v>
      </c>
      <c r="BR29">
        <v>524</v>
      </c>
      <c r="BS29">
        <v>247.1</v>
      </c>
      <c r="BT29">
        <v>5548</v>
      </c>
      <c r="BU29">
        <v>2290</v>
      </c>
      <c r="BV29">
        <v>14.18</v>
      </c>
      <c r="BW29">
        <v>9.52</v>
      </c>
      <c r="BX29">
        <v>2.27</v>
      </c>
      <c r="BY29">
        <v>40.200000000000003</v>
      </c>
      <c r="BZ29">
        <v>75.599999999999994</v>
      </c>
      <c r="CA29">
        <v>0.59</v>
      </c>
      <c r="CB29">
        <v>0.51</v>
      </c>
      <c r="CC29">
        <v>13.7</v>
      </c>
      <c r="CD29">
        <v>1.1499999999999999</v>
      </c>
      <c r="CE29">
        <v>0.82</v>
      </c>
      <c r="CF29">
        <v>250.2</v>
      </c>
      <c r="CG29">
        <v>34.1</v>
      </c>
      <c r="CH29">
        <v>235</v>
      </c>
      <c r="CI29">
        <v>0.42</v>
      </c>
      <c r="CJ29">
        <v>1.8</v>
      </c>
      <c r="CK29">
        <v>0</v>
      </c>
      <c r="CL29" s="42" t="str">
        <f t="shared" si="5"/>
        <v>1</v>
      </c>
      <c r="CM29">
        <v>0</v>
      </c>
      <c r="CN29" s="4">
        <v>0</v>
      </c>
      <c r="CO29">
        <v>7</v>
      </c>
      <c r="CP29" s="42" t="str">
        <f t="shared" si="6"/>
        <v>2</v>
      </c>
      <c r="CQ29" s="4">
        <v>216</v>
      </c>
      <c r="CR29" s="4">
        <v>2.9481481481481482</v>
      </c>
      <c r="CS29" s="43" t="str">
        <f t="shared" si="7"/>
        <v>2</v>
      </c>
      <c r="CT29" s="4">
        <f t="shared" si="8"/>
        <v>216</v>
      </c>
      <c r="CU29" s="4">
        <f t="shared" si="9"/>
        <v>2.9481481481481482</v>
      </c>
      <c r="CV29" s="4">
        <v>2</v>
      </c>
    </row>
    <row r="30" spans="1:100" x14ac:dyDescent="0.3">
      <c r="A30" s="15" t="s">
        <v>107</v>
      </c>
      <c r="B30" s="17">
        <v>0</v>
      </c>
      <c r="C30">
        <v>46</v>
      </c>
      <c r="D30">
        <v>3</v>
      </c>
      <c r="E30">
        <v>1</v>
      </c>
      <c r="F30">
        <v>1</v>
      </c>
      <c r="G30">
        <v>0</v>
      </c>
      <c r="H30">
        <v>0</v>
      </c>
      <c r="I30">
        <v>1</v>
      </c>
      <c r="J30" s="4">
        <v>74.2</v>
      </c>
      <c r="K30" s="4">
        <f t="shared" si="0"/>
        <v>1.71</v>
      </c>
      <c r="L30">
        <v>171</v>
      </c>
      <c r="M30" s="4">
        <f t="shared" si="10"/>
        <v>17.808000000000003</v>
      </c>
      <c r="N30" s="4">
        <v>53.5</v>
      </c>
      <c r="O30">
        <v>24</v>
      </c>
      <c r="P30" s="40">
        <v>1</v>
      </c>
      <c r="Q30">
        <v>65</v>
      </c>
      <c r="R30" s="37">
        <v>0</v>
      </c>
      <c r="S30">
        <v>58</v>
      </c>
      <c r="T30" s="5">
        <f t="shared" si="1"/>
        <v>1.1206896551724137</v>
      </c>
      <c r="U30" s="37">
        <v>1</v>
      </c>
      <c r="V30" s="4">
        <f t="shared" si="2"/>
        <v>25.375329161109406</v>
      </c>
      <c r="W30" s="39">
        <v>1</v>
      </c>
      <c r="X30">
        <v>12</v>
      </c>
      <c r="Y30" s="37">
        <v>1</v>
      </c>
      <c r="AA30" s="23"/>
      <c r="AB30" s="84"/>
      <c r="AC30" s="5">
        <v>6</v>
      </c>
      <c r="AD30" s="37">
        <v>1</v>
      </c>
      <c r="AE30">
        <v>3</v>
      </c>
      <c r="AF30" s="5">
        <v>5.8</v>
      </c>
      <c r="AG30" s="37">
        <v>1</v>
      </c>
      <c r="AH30" s="5">
        <v>1.1599999999999999</v>
      </c>
      <c r="AI30" s="37">
        <v>0</v>
      </c>
      <c r="AJ30" s="5">
        <v>4.7</v>
      </c>
      <c r="AK30" s="37">
        <v>1</v>
      </c>
      <c r="AL30" s="5">
        <v>1.45</v>
      </c>
      <c r="AM30" s="37">
        <v>0</v>
      </c>
      <c r="AN30">
        <f t="shared" si="4"/>
        <v>4</v>
      </c>
      <c r="AO30" s="37">
        <v>1</v>
      </c>
      <c r="AP30">
        <v>144</v>
      </c>
      <c r="AQ30" s="37">
        <v>1</v>
      </c>
      <c r="AR30">
        <v>96</v>
      </c>
      <c r="AS30" s="37">
        <v>1</v>
      </c>
      <c r="AT30">
        <v>58</v>
      </c>
      <c r="AU30">
        <v>48</v>
      </c>
      <c r="AV30">
        <v>7.5</v>
      </c>
      <c r="AW30" s="37">
        <v>0</v>
      </c>
      <c r="AX30">
        <v>1997</v>
      </c>
      <c r="AY30">
        <v>56.4</v>
      </c>
      <c r="AZ30">
        <v>52.9</v>
      </c>
      <c r="BA30">
        <v>345.2</v>
      </c>
      <c r="BB30">
        <v>16.2</v>
      </c>
      <c r="BC30">
        <v>301.3</v>
      </c>
      <c r="BD30">
        <v>33.700000000000003</v>
      </c>
      <c r="BE30">
        <v>20.399999999999999</v>
      </c>
      <c r="BF30">
        <v>26.1</v>
      </c>
      <c r="BG30">
        <v>23.9</v>
      </c>
      <c r="BH30">
        <v>11.3</v>
      </c>
      <c r="BI30">
        <v>64.8</v>
      </c>
      <c r="BJ30">
        <v>16.2</v>
      </c>
      <c r="BK30">
        <v>3.8</v>
      </c>
      <c r="BL30">
        <v>35.9</v>
      </c>
      <c r="BM30">
        <v>4.3</v>
      </c>
      <c r="BN30">
        <v>2.8</v>
      </c>
      <c r="BO30">
        <v>2.3199999999999998</v>
      </c>
      <c r="BP30">
        <v>0.21</v>
      </c>
      <c r="BQ30">
        <v>0</v>
      </c>
      <c r="BR30">
        <v>392</v>
      </c>
      <c r="BS30">
        <v>191</v>
      </c>
      <c r="BT30">
        <v>3654</v>
      </c>
      <c r="BU30">
        <v>1685</v>
      </c>
      <c r="BV30">
        <v>11.06</v>
      </c>
      <c r="BW30">
        <v>4.88</v>
      </c>
      <c r="BX30">
        <v>1.68</v>
      </c>
      <c r="BY30">
        <v>73.5</v>
      </c>
      <c r="BZ30">
        <v>21.4</v>
      </c>
      <c r="CA30">
        <v>8.6199999999999992</v>
      </c>
      <c r="CB30">
        <v>8.2799999999999994</v>
      </c>
      <c r="CC30">
        <v>14.3</v>
      </c>
      <c r="CD30">
        <v>0.61</v>
      </c>
      <c r="CE30">
        <v>1.77</v>
      </c>
      <c r="CF30">
        <v>198.1</v>
      </c>
      <c r="CG30">
        <v>38.299999999999997</v>
      </c>
      <c r="CH30">
        <v>407</v>
      </c>
      <c r="CI30">
        <v>2.12</v>
      </c>
      <c r="CJ30">
        <v>32.299999999999997</v>
      </c>
      <c r="CK30">
        <v>0</v>
      </c>
      <c r="CL30" s="42" t="str">
        <f t="shared" si="5"/>
        <v>1</v>
      </c>
      <c r="CM30">
        <v>0</v>
      </c>
      <c r="CN30" s="4">
        <v>0</v>
      </c>
      <c r="CO30">
        <v>4</v>
      </c>
      <c r="CP30" s="42" t="str">
        <f t="shared" si="6"/>
        <v>1</v>
      </c>
      <c r="CQ30" s="4">
        <v>147.33333333333334</v>
      </c>
      <c r="CR30" s="4">
        <v>1.0407407407407407</v>
      </c>
      <c r="CS30" s="43" t="str">
        <f t="shared" si="7"/>
        <v>1</v>
      </c>
      <c r="CT30" s="4">
        <f t="shared" si="8"/>
        <v>147.33333333333334</v>
      </c>
      <c r="CU30" s="4">
        <f t="shared" si="9"/>
        <v>1.0407407407407407</v>
      </c>
      <c r="CV30" s="4">
        <v>1</v>
      </c>
    </row>
    <row r="31" spans="1:100" x14ac:dyDescent="0.3">
      <c r="A31" s="15" t="s">
        <v>108</v>
      </c>
      <c r="B31" s="17">
        <v>0</v>
      </c>
      <c r="C31" s="3">
        <v>47</v>
      </c>
      <c r="D31">
        <v>2</v>
      </c>
      <c r="E31">
        <v>3</v>
      </c>
      <c r="F31">
        <v>1</v>
      </c>
      <c r="G31">
        <v>0</v>
      </c>
      <c r="H31">
        <v>1</v>
      </c>
      <c r="I31">
        <v>0</v>
      </c>
      <c r="J31" s="4">
        <v>56.4</v>
      </c>
      <c r="K31" s="4">
        <f t="shared" si="0"/>
        <v>1.65</v>
      </c>
      <c r="L31">
        <v>165</v>
      </c>
      <c r="M31" s="4">
        <f t="shared" si="10"/>
        <v>12.125999999999999</v>
      </c>
      <c r="N31" s="4">
        <v>42</v>
      </c>
      <c r="O31" s="4">
        <v>21.5</v>
      </c>
      <c r="P31" s="40">
        <v>0</v>
      </c>
      <c r="Q31">
        <v>73.8</v>
      </c>
      <c r="R31" s="37">
        <v>0</v>
      </c>
      <c r="S31">
        <v>89.7</v>
      </c>
      <c r="T31" s="5">
        <f t="shared" si="1"/>
        <v>0.82274247491638786</v>
      </c>
      <c r="U31" s="37">
        <v>0</v>
      </c>
      <c r="V31" s="4">
        <f t="shared" si="2"/>
        <v>20.716253443526174</v>
      </c>
      <c r="W31" s="39">
        <v>0</v>
      </c>
      <c r="X31">
        <v>8</v>
      </c>
      <c r="Y31" s="40">
        <v>0</v>
      </c>
      <c r="Z31">
        <v>6.35</v>
      </c>
      <c r="AA31" s="23">
        <f t="shared" si="3"/>
        <v>1.4590888888888887</v>
      </c>
      <c r="AB31" s="84">
        <v>0</v>
      </c>
      <c r="AC31" s="5">
        <v>5.17</v>
      </c>
      <c r="AD31" s="37">
        <v>0</v>
      </c>
      <c r="AE31">
        <v>3</v>
      </c>
      <c r="AF31" s="5">
        <v>6</v>
      </c>
      <c r="AG31" s="37">
        <v>1</v>
      </c>
      <c r="AH31" s="5">
        <v>0.98</v>
      </c>
      <c r="AI31" s="37">
        <v>0</v>
      </c>
      <c r="AJ31" s="5">
        <v>4.3</v>
      </c>
      <c r="AK31" s="37">
        <v>1</v>
      </c>
      <c r="AL31" s="5">
        <v>1.27</v>
      </c>
      <c r="AM31" s="37">
        <v>0</v>
      </c>
      <c r="AN31" s="4">
        <f t="shared" si="4"/>
        <v>4.7244094488188972</v>
      </c>
      <c r="AO31" s="37">
        <v>1</v>
      </c>
      <c r="AP31">
        <v>125</v>
      </c>
      <c r="AQ31" s="38">
        <v>0</v>
      </c>
      <c r="AR31">
        <v>87</v>
      </c>
      <c r="AS31" s="37">
        <v>1</v>
      </c>
      <c r="AT31">
        <v>72</v>
      </c>
      <c r="AU31">
        <v>38</v>
      </c>
      <c r="AV31">
        <v>6.9</v>
      </c>
      <c r="AW31" s="37">
        <v>1</v>
      </c>
      <c r="AX31">
        <v>1873</v>
      </c>
      <c r="AY31">
        <v>58.4</v>
      </c>
      <c r="AZ31">
        <v>60.8</v>
      </c>
      <c r="BA31">
        <v>289.7</v>
      </c>
      <c r="BB31">
        <v>9</v>
      </c>
      <c r="BC31">
        <v>215.7</v>
      </c>
      <c r="BD31">
        <v>56</v>
      </c>
      <c r="BE31">
        <v>33.9</v>
      </c>
      <c r="BF31">
        <v>135.19999999999999</v>
      </c>
      <c r="BG31">
        <v>29.2</v>
      </c>
      <c r="BH31">
        <v>12.5</v>
      </c>
      <c r="BI31">
        <v>58</v>
      </c>
      <c r="BJ31">
        <v>17.399999999999999</v>
      </c>
      <c r="BK31">
        <v>6.8</v>
      </c>
      <c r="BL31">
        <v>36.299999999999997</v>
      </c>
      <c r="BM31">
        <v>10.6</v>
      </c>
      <c r="BN31">
        <v>5.8</v>
      </c>
      <c r="BO31">
        <v>5.3</v>
      </c>
      <c r="BP31">
        <v>0.23</v>
      </c>
      <c r="BQ31">
        <v>7.0000000000000007E-2</v>
      </c>
      <c r="BR31">
        <v>358</v>
      </c>
      <c r="BS31">
        <v>227.5</v>
      </c>
      <c r="BT31">
        <v>3778</v>
      </c>
      <c r="BU31">
        <v>2044</v>
      </c>
      <c r="BV31">
        <v>9.31</v>
      </c>
      <c r="BW31">
        <v>7.05</v>
      </c>
      <c r="BX31">
        <v>1.53</v>
      </c>
      <c r="BY31">
        <v>64.5</v>
      </c>
      <c r="BZ31">
        <v>55</v>
      </c>
      <c r="CA31">
        <v>0.55000000000000004</v>
      </c>
      <c r="CB31">
        <v>0.71</v>
      </c>
      <c r="CC31">
        <v>19</v>
      </c>
      <c r="CD31">
        <v>1.08</v>
      </c>
      <c r="CE31">
        <v>2.4300000000000002</v>
      </c>
      <c r="CF31">
        <v>195.8</v>
      </c>
      <c r="CG31">
        <v>51.4</v>
      </c>
      <c r="CH31">
        <v>281</v>
      </c>
      <c r="CI31">
        <v>1.55</v>
      </c>
      <c r="CJ31">
        <v>1.8</v>
      </c>
      <c r="CK31">
        <v>3</v>
      </c>
      <c r="CL31" s="42" t="str">
        <f t="shared" si="5"/>
        <v>1</v>
      </c>
      <c r="CM31" s="4">
        <v>71.666666666666671</v>
      </c>
      <c r="CN31" s="4">
        <v>1.4333333333333333</v>
      </c>
      <c r="CO31">
        <v>8</v>
      </c>
      <c r="CP31" s="42" t="str">
        <f t="shared" si="6"/>
        <v>1</v>
      </c>
      <c r="CQ31" s="4">
        <v>101.33333333333333</v>
      </c>
      <c r="CR31" s="4">
        <v>1.7469135802469133</v>
      </c>
      <c r="CS31" s="43" t="str">
        <f t="shared" si="7"/>
        <v>2</v>
      </c>
      <c r="CT31" s="4">
        <f t="shared" si="8"/>
        <v>173</v>
      </c>
      <c r="CU31" s="4">
        <f t="shared" si="9"/>
        <v>3.1802469135802465</v>
      </c>
      <c r="CV31" s="4">
        <v>3</v>
      </c>
    </row>
    <row r="32" spans="1:100" x14ac:dyDescent="0.3">
      <c r="A32" s="15" t="s">
        <v>109</v>
      </c>
      <c r="B32" s="17">
        <v>0</v>
      </c>
      <c r="C32" s="3">
        <v>51</v>
      </c>
      <c r="D32">
        <v>2</v>
      </c>
      <c r="E32">
        <v>1</v>
      </c>
      <c r="F32">
        <v>2</v>
      </c>
      <c r="G32">
        <v>0</v>
      </c>
      <c r="H32">
        <v>1</v>
      </c>
      <c r="I32">
        <v>0</v>
      </c>
      <c r="J32" s="4">
        <v>65</v>
      </c>
      <c r="K32" s="4">
        <f t="shared" si="0"/>
        <v>1.67</v>
      </c>
      <c r="L32">
        <v>167</v>
      </c>
      <c r="M32" s="4">
        <f t="shared" si="10"/>
        <v>16.574999999999999</v>
      </c>
      <c r="N32" s="4">
        <v>45.9</v>
      </c>
      <c r="O32" s="4">
        <v>25.5</v>
      </c>
      <c r="P32" s="40">
        <v>1</v>
      </c>
      <c r="Q32">
        <v>97.1</v>
      </c>
      <c r="R32" s="37">
        <v>1</v>
      </c>
      <c r="S32">
        <v>95.9</v>
      </c>
      <c r="T32" s="5">
        <f t="shared" si="1"/>
        <v>1.0125130344108446</v>
      </c>
      <c r="U32" s="37">
        <v>1</v>
      </c>
      <c r="V32" s="4">
        <f t="shared" si="2"/>
        <v>23.306680053067517</v>
      </c>
      <c r="W32" s="39">
        <v>1</v>
      </c>
      <c r="X32">
        <v>11</v>
      </c>
      <c r="Y32" s="37">
        <v>1</v>
      </c>
      <c r="Z32">
        <v>10.58</v>
      </c>
      <c r="AA32" s="23">
        <f t="shared" si="3"/>
        <v>2.473368888888889</v>
      </c>
      <c r="AB32" s="84">
        <v>0</v>
      </c>
      <c r="AC32" s="5">
        <v>5.26</v>
      </c>
      <c r="AD32" s="37">
        <v>0</v>
      </c>
      <c r="AE32">
        <v>12.54</v>
      </c>
      <c r="AF32" s="5">
        <v>5.03</v>
      </c>
      <c r="AG32" s="37">
        <v>1</v>
      </c>
      <c r="AH32" s="5">
        <v>1.05</v>
      </c>
      <c r="AI32" s="37">
        <v>0</v>
      </c>
      <c r="AJ32" s="5">
        <v>3</v>
      </c>
      <c r="AK32" s="37">
        <v>0</v>
      </c>
      <c r="AL32" s="5">
        <v>1.1299999999999999</v>
      </c>
      <c r="AM32" s="37">
        <v>0</v>
      </c>
      <c r="AN32" s="4">
        <f t="shared" si="4"/>
        <v>4.4513274336283191</v>
      </c>
      <c r="AO32" s="37">
        <v>1</v>
      </c>
      <c r="AP32">
        <v>101</v>
      </c>
      <c r="AQ32" s="38">
        <v>0</v>
      </c>
      <c r="AR32">
        <v>71</v>
      </c>
      <c r="AS32" s="37">
        <v>0</v>
      </c>
      <c r="AT32">
        <v>63</v>
      </c>
      <c r="AU32">
        <v>30</v>
      </c>
      <c r="AV32">
        <v>6.5</v>
      </c>
      <c r="AW32" s="37">
        <v>1</v>
      </c>
      <c r="AX32">
        <v>2548</v>
      </c>
      <c r="AY32">
        <v>74.599999999999994</v>
      </c>
      <c r="AZ32">
        <v>76.400000000000006</v>
      </c>
      <c r="BA32">
        <v>413</v>
      </c>
      <c r="BB32">
        <v>16.399999999999999</v>
      </c>
      <c r="BC32">
        <v>359.6</v>
      </c>
      <c r="BD32">
        <v>45.2</v>
      </c>
      <c r="BE32">
        <v>21.6</v>
      </c>
      <c r="BF32">
        <v>66</v>
      </c>
      <c r="BG32">
        <v>27</v>
      </c>
      <c r="BH32">
        <v>11.7</v>
      </c>
      <c r="BI32">
        <v>60.8</v>
      </c>
      <c r="BJ32">
        <v>19.600000000000001</v>
      </c>
      <c r="BK32">
        <v>3.2</v>
      </c>
      <c r="BL32">
        <v>55.6</v>
      </c>
      <c r="BM32">
        <v>10.1</v>
      </c>
      <c r="BN32">
        <v>4.0999999999999996</v>
      </c>
      <c r="BO32">
        <v>3.57</v>
      </c>
      <c r="BP32">
        <v>0.4</v>
      </c>
      <c r="BQ32">
        <v>0.2</v>
      </c>
      <c r="BR32">
        <v>519</v>
      </c>
      <c r="BS32">
        <v>559.70000000000005</v>
      </c>
      <c r="BT32">
        <v>7210</v>
      </c>
      <c r="BU32">
        <v>3099</v>
      </c>
      <c r="BV32">
        <v>19.8</v>
      </c>
      <c r="BW32">
        <v>12.77</v>
      </c>
      <c r="BX32">
        <v>2.66</v>
      </c>
      <c r="BY32">
        <v>77.400000000000006</v>
      </c>
      <c r="BZ32">
        <v>43.3</v>
      </c>
      <c r="CA32">
        <v>1.49</v>
      </c>
      <c r="CB32">
        <v>0.63</v>
      </c>
      <c r="CC32">
        <v>22</v>
      </c>
      <c r="CD32">
        <v>1.22</v>
      </c>
      <c r="CE32">
        <v>0.69</v>
      </c>
      <c r="CF32">
        <v>638.5</v>
      </c>
      <c r="CG32">
        <v>18.5</v>
      </c>
      <c r="CH32">
        <v>466</v>
      </c>
      <c r="CI32">
        <v>0.06</v>
      </c>
      <c r="CJ32">
        <v>4.3</v>
      </c>
      <c r="CK32">
        <v>1</v>
      </c>
      <c r="CL32" s="42" t="str">
        <f t="shared" si="5"/>
        <v>1</v>
      </c>
      <c r="CM32">
        <v>24</v>
      </c>
      <c r="CN32" s="4">
        <v>0.48</v>
      </c>
      <c r="CO32">
        <v>4</v>
      </c>
      <c r="CP32" s="42" t="str">
        <f t="shared" si="6"/>
        <v>1</v>
      </c>
      <c r="CQ32" s="4">
        <v>95.666666666666671</v>
      </c>
      <c r="CR32" s="4">
        <v>0.84197530864197534</v>
      </c>
      <c r="CS32" s="43" t="str">
        <f t="shared" si="7"/>
        <v>1</v>
      </c>
      <c r="CT32" s="4">
        <f t="shared" si="8"/>
        <v>119.66666666666667</v>
      </c>
      <c r="CU32" s="4">
        <f t="shared" si="9"/>
        <v>1.3219753086419752</v>
      </c>
      <c r="CV32" s="4">
        <v>1</v>
      </c>
    </row>
    <row r="33" spans="1:100" x14ac:dyDescent="0.3">
      <c r="A33" s="15" t="s">
        <v>110</v>
      </c>
      <c r="B33" s="17">
        <v>0</v>
      </c>
      <c r="C33" s="3">
        <v>57</v>
      </c>
      <c r="D33">
        <v>3</v>
      </c>
      <c r="E33">
        <v>2</v>
      </c>
      <c r="F33">
        <v>2</v>
      </c>
      <c r="G33">
        <v>0</v>
      </c>
      <c r="H33">
        <v>2</v>
      </c>
      <c r="I33">
        <v>1</v>
      </c>
      <c r="J33" s="4">
        <v>49.7</v>
      </c>
      <c r="K33" s="4">
        <f t="shared" si="0"/>
        <v>1.59</v>
      </c>
      <c r="L33">
        <v>159</v>
      </c>
      <c r="M33" s="4">
        <f t="shared" si="10"/>
        <v>9.1448</v>
      </c>
      <c r="N33" s="4">
        <v>38.5</v>
      </c>
      <c r="O33" s="4">
        <v>18.399999999999999</v>
      </c>
      <c r="P33" s="40">
        <v>0</v>
      </c>
      <c r="Q33">
        <v>74.099999999999994</v>
      </c>
      <c r="R33" s="37">
        <v>0</v>
      </c>
      <c r="S33">
        <v>87.9</v>
      </c>
      <c r="T33" s="5">
        <f t="shared" si="1"/>
        <v>0.84300341296928316</v>
      </c>
      <c r="U33" s="37">
        <v>0</v>
      </c>
      <c r="V33" s="4">
        <f t="shared" si="2"/>
        <v>19.65903247498121</v>
      </c>
      <c r="W33" s="39">
        <v>0</v>
      </c>
      <c r="X33">
        <v>7</v>
      </c>
      <c r="Y33" s="40">
        <v>0</v>
      </c>
      <c r="Z33">
        <v>6.59</v>
      </c>
      <c r="AA33" s="23">
        <f t="shared" si="3"/>
        <v>1.8920622222222221</v>
      </c>
      <c r="AB33" s="84">
        <v>0</v>
      </c>
      <c r="AC33" s="5">
        <v>6.46</v>
      </c>
      <c r="AD33" s="37">
        <v>1</v>
      </c>
      <c r="AE33">
        <v>3</v>
      </c>
      <c r="AF33" s="5">
        <v>6.08</v>
      </c>
      <c r="AG33" s="37">
        <v>1</v>
      </c>
      <c r="AH33" s="5">
        <v>1.19</v>
      </c>
      <c r="AI33" s="37">
        <v>0</v>
      </c>
      <c r="AJ33" s="5">
        <v>4.2</v>
      </c>
      <c r="AK33" s="37">
        <v>1</v>
      </c>
      <c r="AL33" s="5">
        <v>1.33</v>
      </c>
      <c r="AM33" s="37">
        <v>0</v>
      </c>
      <c r="AN33" s="4">
        <f t="shared" si="4"/>
        <v>4.5714285714285712</v>
      </c>
      <c r="AO33" s="37">
        <v>1</v>
      </c>
      <c r="AP33">
        <v>125</v>
      </c>
      <c r="AQ33" s="38">
        <v>0</v>
      </c>
      <c r="AR33">
        <v>84</v>
      </c>
      <c r="AS33" s="37">
        <v>0</v>
      </c>
      <c r="AT33">
        <v>70</v>
      </c>
      <c r="AU33">
        <v>41</v>
      </c>
      <c r="AV33">
        <v>7.9</v>
      </c>
      <c r="AW33" s="37">
        <v>1</v>
      </c>
      <c r="AX33">
        <v>1165</v>
      </c>
      <c r="AY33">
        <v>29.1</v>
      </c>
      <c r="AZ33">
        <v>32.6</v>
      </c>
      <c r="BA33">
        <v>200.3</v>
      </c>
      <c r="BB33">
        <v>5.2</v>
      </c>
      <c r="BC33">
        <v>144.9</v>
      </c>
      <c r="BD33">
        <v>42.4</v>
      </c>
      <c r="BE33">
        <v>33.9</v>
      </c>
      <c r="BF33">
        <v>72.900000000000006</v>
      </c>
      <c r="BG33">
        <v>25.2</v>
      </c>
      <c r="BH33">
        <v>10</v>
      </c>
      <c r="BI33">
        <v>64.5</v>
      </c>
      <c r="BJ33">
        <v>17.2</v>
      </c>
      <c r="BK33">
        <v>10.9</v>
      </c>
      <c r="BL33">
        <v>22.3</v>
      </c>
      <c r="BM33">
        <v>3.5</v>
      </c>
      <c r="BN33">
        <v>1.5</v>
      </c>
      <c r="BO33">
        <v>1.25</v>
      </c>
      <c r="BP33">
        <v>0.09</v>
      </c>
      <c r="BQ33">
        <v>0</v>
      </c>
      <c r="BR33">
        <v>249</v>
      </c>
      <c r="BS33">
        <v>113.8</v>
      </c>
      <c r="BT33">
        <v>1656</v>
      </c>
      <c r="BU33">
        <v>1085</v>
      </c>
      <c r="BV33">
        <v>7.07</v>
      </c>
      <c r="BW33">
        <v>4.3899999999999997</v>
      </c>
      <c r="BX33">
        <v>0.84</v>
      </c>
      <c r="BY33">
        <v>28.5</v>
      </c>
      <c r="BZ33">
        <v>29.9</v>
      </c>
      <c r="CA33">
        <v>0.33</v>
      </c>
      <c r="CB33">
        <v>0.45</v>
      </c>
      <c r="CC33">
        <v>8.8000000000000007</v>
      </c>
      <c r="CD33">
        <v>0.48</v>
      </c>
      <c r="CE33">
        <v>0.28000000000000003</v>
      </c>
      <c r="CF33">
        <v>139.1</v>
      </c>
      <c r="CG33">
        <v>21.6</v>
      </c>
      <c r="CH33">
        <v>305</v>
      </c>
      <c r="CI33">
        <v>2.62</v>
      </c>
      <c r="CJ33">
        <v>1.2</v>
      </c>
      <c r="CK33">
        <v>1</v>
      </c>
      <c r="CL33" s="42" t="str">
        <f t="shared" si="5"/>
        <v>1</v>
      </c>
      <c r="CM33" s="4">
        <v>20.666666666666668</v>
      </c>
      <c r="CN33" s="4">
        <v>0.41333333333333333</v>
      </c>
      <c r="CO33">
        <v>7</v>
      </c>
      <c r="CP33" s="42" t="str">
        <f t="shared" si="6"/>
        <v>1</v>
      </c>
      <c r="CQ33" s="4">
        <v>96</v>
      </c>
      <c r="CR33" s="4">
        <v>1.6703703703703703</v>
      </c>
      <c r="CS33" s="43" t="str">
        <f t="shared" si="7"/>
        <v>1</v>
      </c>
      <c r="CT33" s="4">
        <f t="shared" si="8"/>
        <v>116.66666666666667</v>
      </c>
      <c r="CU33" s="4">
        <f t="shared" si="9"/>
        <v>2.0837037037037036</v>
      </c>
      <c r="CV33" s="4">
        <v>2</v>
      </c>
    </row>
    <row r="34" spans="1:100" x14ac:dyDescent="0.3">
      <c r="A34" s="15" t="s">
        <v>111</v>
      </c>
      <c r="B34" s="17">
        <v>0</v>
      </c>
      <c r="C34">
        <v>38</v>
      </c>
      <c r="D34">
        <v>3</v>
      </c>
      <c r="E34">
        <v>1</v>
      </c>
      <c r="F34">
        <v>1</v>
      </c>
      <c r="G34">
        <v>0</v>
      </c>
      <c r="H34">
        <v>1</v>
      </c>
      <c r="I34">
        <v>0</v>
      </c>
      <c r="J34" s="4">
        <v>68.5</v>
      </c>
      <c r="K34" s="4">
        <f t="shared" si="0"/>
        <v>1.81</v>
      </c>
      <c r="L34">
        <v>181</v>
      </c>
      <c r="M34" s="4">
        <f t="shared" si="10"/>
        <v>13.973999999999998</v>
      </c>
      <c r="N34" s="4">
        <v>51.7</v>
      </c>
      <c r="O34">
        <v>20.399999999999999</v>
      </c>
      <c r="P34" s="40">
        <v>0</v>
      </c>
      <c r="Q34">
        <v>83.8</v>
      </c>
      <c r="R34" s="37">
        <v>0</v>
      </c>
      <c r="S34">
        <v>95.2</v>
      </c>
      <c r="T34" s="5">
        <f t="shared" si="1"/>
        <v>0.88025210084033612</v>
      </c>
      <c r="U34" s="37">
        <v>0</v>
      </c>
      <c r="V34" s="4">
        <f t="shared" si="2"/>
        <v>20.909007661548792</v>
      </c>
      <c r="W34" s="39">
        <v>0</v>
      </c>
      <c r="X34">
        <v>7</v>
      </c>
      <c r="Y34" s="40">
        <v>0</v>
      </c>
      <c r="AA34" s="23"/>
      <c r="AB34" s="84"/>
      <c r="AC34" s="5">
        <v>5.73</v>
      </c>
      <c r="AD34" s="37">
        <v>1</v>
      </c>
      <c r="AE34">
        <v>3</v>
      </c>
      <c r="AF34" s="5">
        <v>6.16</v>
      </c>
      <c r="AG34" s="37">
        <v>1</v>
      </c>
      <c r="AH34" s="5">
        <v>1.97</v>
      </c>
      <c r="AI34" s="37">
        <v>1</v>
      </c>
      <c r="AJ34" s="5">
        <v>4</v>
      </c>
      <c r="AK34" s="37">
        <v>1</v>
      </c>
      <c r="AL34" s="5">
        <v>1.28</v>
      </c>
      <c r="AM34" s="37">
        <v>0</v>
      </c>
      <c r="AN34" s="4">
        <f t="shared" si="4"/>
        <v>4.8125</v>
      </c>
      <c r="AO34" s="37">
        <v>1</v>
      </c>
      <c r="AP34">
        <v>113</v>
      </c>
      <c r="AQ34" s="38">
        <v>0</v>
      </c>
      <c r="AR34">
        <v>77</v>
      </c>
      <c r="AS34" s="37">
        <v>0</v>
      </c>
      <c r="AT34">
        <v>67</v>
      </c>
      <c r="AU34">
        <v>37</v>
      </c>
      <c r="AV34">
        <v>5.6</v>
      </c>
      <c r="AW34" s="37">
        <v>1</v>
      </c>
      <c r="AX34">
        <v>2065</v>
      </c>
      <c r="AY34">
        <v>69.900000000000006</v>
      </c>
      <c r="AZ34">
        <v>58.2</v>
      </c>
      <c r="BA34">
        <v>336.1</v>
      </c>
      <c r="BB34">
        <v>12.6</v>
      </c>
      <c r="BC34">
        <v>274.60000000000002</v>
      </c>
      <c r="BD34">
        <v>46.7</v>
      </c>
      <c r="BE34">
        <v>31.3</v>
      </c>
      <c r="BF34">
        <v>264.5</v>
      </c>
      <c r="BG34">
        <v>25.4</v>
      </c>
      <c r="BH34">
        <v>13.5</v>
      </c>
      <c r="BI34">
        <v>61</v>
      </c>
      <c r="BJ34">
        <v>16</v>
      </c>
      <c r="BK34">
        <v>5.7</v>
      </c>
      <c r="BL34">
        <v>36.700000000000003</v>
      </c>
      <c r="BM34">
        <v>7.5</v>
      </c>
      <c r="BN34">
        <v>3.1</v>
      </c>
      <c r="BO34">
        <v>2.65</v>
      </c>
      <c r="BP34">
        <v>0.28000000000000003</v>
      </c>
      <c r="BQ34">
        <v>0.31</v>
      </c>
      <c r="BR34">
        <v>541</v>
      </c>
      <c r="BS34">
        <v>183.8</v>
      </c>
      <c r="BT34">
        <v>3326</v>
      </c>
      <c r="BU34">
        <v>1703</v>
      </c>
      <c r="BV34">
        <v>12.3</v>
      </c>
      <c r="BW34">
        <v>7.16</v>
      </c>
      <c r="BX34">
        <v>1.98</v>
      </c>
      <c r="BY34">
        <v>48.6</v>
      </c>
      <c r="BZ34">
        <v>86.3</v>
      </c>
      <c r="CA34">
        <v>11.52</v>
      </c>
      <c r="CB34">
        <v>11.29</v>
      </c>
      <c r="CC34">
        <v>16.600000000000001</v>
      </c>
      <c r="CD34">
        <v>0.78</v>
      </c>
      <c r="CE34">
        <v>2.1</v>
      </c>
      <c r="CF34">
        <v>194.3</v>
      </c>
      <c r="CG34">
        <v>18.399999999999999</v>
      </c>
      <c r="CH34">
        <v>417</v>
      </c>
      <c r="CI34">
        <v>3.4</v>
      </c>
      <c r="CJ34">
        <v>47.8</v>
      </c>
      <c r="CK34">
        <v>0</v>
      </c>
      <c r="CL34" s="42" t="str">
        <f t="shared" si="5"/>
        <v>1</v>
      </c>
      <c r="CM34">
        <v>0</v>
      </c>
      <c r="CN34" s="4">
        <v>0</v>
      </c>
      <c r="CO34">
        <v>5</v>
      </c>
      <c r="CP34" s="42" t="str">
        <f t="shared" si="6"/>
        <v>1</v>
      </c>
      <c r="CQ34" s="4">
        <v>65.333333333333329</v>
      </c>
      <c r="CR34" s="4">
        <v>1.5456790123456789</v>
      </c>
      <c r="CS34" s="43" t="str">
        <f t="shared" si="7"/>
        <v>1</v>
      </c>
      <c r="CT34" s="4">
        <f t="shared" si="8"/>
        <v>65.333333333333329</v>
      </c>
      <c r="CU34" s="4">
        <f t="shared" si="9"/>
        <v>1.5456790123456789</v>
      </c>
      <c r="CV34" s="4">
        <v>1</v>
      </c>
    </row>
    <row r="35" spans="1:100" x14ac:dyDescent="0.3">
      <c r="A35" s="15" t="s">
        <v>112</v>
      </c>
      <c r="B35" s="17">
        <v>0</v>
      </c>
      <c r="C35" s="3">
        <v>58</v>
      </c>
      <c r="D35">
        <v>4</v>
      </c>
      <c r="E35">
        <v>1</v>
      </c>
      <c r="F35">
        <v>1</v>
      </c>
      <c r="G35">
        <v>1</v>
      </c>
      <c r="H35">
        <v>0</v>
      </c>
      <c r="I35">
        <v>1</v>
      </c>
      <c r="J35" s="4">
        <v>56.9</v>
      </c>
      <c r="K35" s="4">
        <f t="shared" si="0"/>
        <v>1.67</v>
      </c>
      <c r="L35">
        <v>167</v>
      </c>
      <c r="M35" s="4">
        <f t="shared" si="10"/>
        <v>8.3643000000000001</v>
      </c>
      <c r="N35" s="4">
        <v>46</v>
      </c>
      <c r="O35" s="4">
        <v>14.7</v>
      </c>
      <c r="P35" s="40">
        <v>0</v>
      </c>
      <c r="Q35">
        <v>76.7</v>
      </c>
      <c r="R35" s="37">
        <v>0</v>
      </c>
      <c r="S35">
        <v>87.3</v>
      </c>
      <c r="T35" s="5">
        <f t="shared" si="1"/>
        <v>0.87857961053837352</v>
      </c>
      <c r="U35" s="37">
        <v>0</v>
      </c>
      <c r="V35" s="4">
        <f t="shared" si="2"/>
        <v>20.402309154146796</v>
      </c>
      <c r="W35" s="39">
        <v>0</v>
      </c>
      <c r="X35">
        <v>8</v>
      </c>
      <c r="Y35" s="40">
        <v>0</v>
      </c>
      <c r="Z35">
        <v>6.65</v>
      </c>
      <c r="AA35" s="23">
        <f t="shared" si="3"/>
        <v>1.5605333333333333</v>
      </c>
      <c r="AB35" s="84">
        <v>0</v>
      </c>
      <c r="AC35" s="5">
        <v>5.28</v>
      </c>
      <c r="AD35" s="37">
        <v>0</v>
      </c>
      <c r="AE35">
        <v>3</v>
      </c>
      <c r="AF35" s="5">
        <v>5.26</v>
      </c>
      <c r="AG35" s="37">
        <v>1</v>
      </c>
      <c r="AH35" s="5">
        <v>0.88</v>
      </c>
      <c r="AI35" s="37">
        <v>0</v>
      </c>
      <c r="AJ35" s="5">
        <v>2.5</v>
      </c>
      <c r="AK35" s="37">
        <v>0</v>
      </c>
      <c r="AL35" s="5">
        <v>2.4</v>
      </c>
      <c r="AM35" s="37">
        <v>0</v>
      </c>
      <c r="AN35" s="4">
        <f t="shared" si="4"/>
        <v>2.1916666666666669</v>
      </c>
      <c r="AO35" s="37">
        <v>0</v>
      </c>
      <c r="AP35">
        <v>119</v>
      </c>
      <c r="AQ35" s="38">
        <v>0</v>
      </c>
      <c r="AR35">
        <v>80</v>
      </c>
      <c r="AS35" s="37">
        <v>0</v>
      </c>
      <c r="AT35">
        <v>73</v>
      </c>
      <c r="AU35">
        <v>39</v>
      </c>
      <c r="AV35">
        <v>8</v>
      </c>
      <c r="AW35" s="37">
        <v>1</v>
      </c>
      <c r="AX35">
        <v>1340</v>
      </c>
      <c r="AY35">
        <v>40.1</v>
      </c>
      <c r="AZ35">
        <v>33.9</v>
      </c>
      <c r="BA35">
        <v>232.5</v>
      </c>
      <c r="BB35">
        <v>4.3</v>
      </c>
      <c r="BC35">
        <v>166.4</v>
      </c>
      <c r="BD35">
        <v>55.9</v>
      </c>
      <c r="BE35">
        <v>50.5</v>
      </c>
      <c r="BF35">
        <v>54.9</v>
      </c>
      <c r="BG35">
        <v>22.7</v>
      </c>
      <c r="BH35">
        <v>12</v>
      </c>
      <c r="BI35">
        <v>65.099999999999994</v>
      </c>
      <c r="BJ35">
        <v>15.9</v>
      </c>
      <c r="BK35">
        <v>14.1</v>
      </c>
      <c r="BL35">
        <v>23.7</v>
      </c>
      <c r="BM35">
        <v>4.3</v>
      </c>
      <c r="BN35">
        <v>1.9</v>
      </c>
      <c r="BO35">
        <v>1.17</v>
      </c>
      <c r="BP35">
        <v>0.64</v>
      </c>
      <c r="BQ35">
        <v>0</v>
      </c>
      <c r="BR35">
        <v>173</v>
      </c>
      <c r="BS35">
        <v>125.2</v>
      </c>
      <c r="BT35">
        <v>2550</v>
      </c>
      <c r="BU35">
        <v>1288</v>
      </c>
      <c r="BV35">
        <v>7.23</v>
      </c>
      <c r="BW35">
        <v>4.55</v>
      </c>
      <c r="BX35">
        <v>0.94</v>
      </c>
      <c r="BY35">
        <v>32.700000000000003</v>
      </c>
      <c r="BZ35">
        <v>41.7</v>
      </c>
      <c r="CA35">
        <v>0.46</v>
      </c>
      <c r="CB35">
        <v>0.39</v>
      </c>
      <c r="CC35">
        <v>18.3</v>
      </c>
      <c r="CD35">
        <v>1.1200000000000001</v>
      </c>
      <c r="CE35">
        <v>5.53</v>
      </c>
      <c r="CF35">
        <v>78.2</v>
      </c>
      <c r="CG35">
        <v>10</v>
      </c>
      <c r="CH35">
        <v>177</v>
      </c>
      <c r="CI35">
        <v>6.26</v>
      </c>
      <c r="CJ35">
        <v>1.6</v>
      </c>
      <c r="CK35">
        <v>0</v>
      </c>
      <c r="CL35" s="42" t="str">
        <f t="shared" si="5"/>
        <v>1</v>
      </c>
      <c r="CM35">
        <v>0</v>
      </c>
      <c r="CN35" s="4">
        <v>0</v>
      </c>
      <c r="CO35">
        <v>6</v>
      </c>
      <c r="CP35" s="42" t="str">
        <f t="shared" si="6"/>
        <v>1</v>
      </c>
      <c r="CQ35" s="4">
        <v>94.333333333333329</v>
      </c>
      <c r="CR35" s="4">
        <v>1.2407407407407409</v>
      </c>
      <c r="CS35" s="43" t="str">
        <f t="shared" si="7"/>
        <v>1</v>
      </c>
      <c r="CT35" s="4">
        <f t="shared" si="8"/>
        <v>94.333333333333329</v>
      </c>
      <c r="CU35" s="4">
        <f t="shared" si="9"/>
        <v>1.2407407407407409</v>
      </c>
      <c r="CV35" s="4">
        <v>1</v>
      </c>
    </row>
    <row r="36" spans="1:100" x14ac:dyDescent="0.3">
      <c r="A36" s="15" t="s">
        <v>113</v>
      </c>
      <c r="B36" s="17">
        <v>0</v>
      </c>
      <c r="C36" s="3">
        <v>60</v>
      </c>
      <c r="D36">
        <v>4</v>
      </c>
      <c r="E36">
        <v>1</v>
      </c>
      <c r="F36">
        <v>2</v>
      </c>
      <c r="G36">
        <v>0</v>
      </c>
      <c r="H36">
        <v>0</v>
      </c>
      <c r="I36">
        <v>1</v>
      </c>
      <c r="J36" s="4">
        <v>61.1</v>
      </c>
      <c r="K36" s="4">
        <f t="shared" si="0"/>
        <v>1.61</v>
      </c>
      <c r="L36">
        <v>161</v>
      </c>
      <c r="M36" s="4">
        <f t="shared" si="10"/>
        <v>16.252600000000001</v>
      </c>
      <c r="N36" s="4">
        <v>42.4</v>
      </c>
      <c r="O36" s="4">
        <v>26.6</v>
      </c>
      <c r="P36" s="40">
        <v>1</v>
      </c>
      <c r="Q36">
        <v>89</v>
      </c>
      <c r="R36" s="37">
        <v>0</v>
      </c>
      <c r="S36">
        <v>90</v>
      </c>
      <c r="T36" s="5">
        <f t="shared" si="1"/>
        <v>0.98888888888888893</v>
      </c>
      <c r="U36" s="37">
        <v>1</v>
      </c>
      <c r="V36" s="4">
        <f t="shared" si="2"/>
        <v>23.571621465221249</v>
      </c>
      <c r="W36" s="39">
        <v>1</v>
      </c>
      <c r="X36">
        <v>12</v>
      </c>
      <c r="Y36" s="37">
        <v>1</v>
      </c>
      <c r="AA36" s="23"/>
      <c r="AB36" s="84"/>
      <c r="AC36" s="5">
        <v>5.85</v>
      </c>
      <c r="AD36" s="37">
        <v>1</v>
      </c>
      <c r="AE36">
        <v>3</v>
      </c>
      <c r="AF36" s="5">
        <v>6.9</v>
      </c>
      <c r="AG36" s="37">
        <v>1</v>
      </c>
      <c r="AH36" s="5">
        <v>2.1800000000000002</v>
      </c>
      <c r="AI36" s="37">
        <v>1</v>
      </c>
      <c r="AJ36" s="5">
        <v>3.73</v>
      </c>
      <c r="AK36" s="37">
        <v>1</v>
      </c>
      <c r="AL36" s="5">
        <v>1.68</v>
      </c>
      <c r="AM36" s="37">
        <v>0</v>
      </c>
      <c r="AN36" s="4">
        <f t="shared" si="4"/>
        <v>4.1071428571428577</v>
      </c>
      <c r="AO36" s="37">
        <v>1</v>
      </c>
      <c r="AP36">
        <v>162</v>
      </c>
      <c r="AQ36" s="37">
        <v>1</v>
      </c>
      <c r="AR36">
        <v>119</v>
      </c>
      <c r="AS36" s="37">
        <v>1</v>
      </c>
      <c r="AT36">
        <v>75</v>
      </c>
      <c r="AU36">
        <v>43</v>
      </c>
      <c r="AV36">
        <v>9.8000000000000007</v>
      </c>
      <c r="AW36" s="37">
        <v>0</v>
      </c>
      <c r="AX36">
        <v>1827</v>
      </c>
      <c r="AY36">
        <v>54.8</v>
      </c>
      <c r="AZ36">
        <v>57.7</v>
      </c>
      <c r="BA36">
        <v>289.3</v>
      </c>
      <c r="BB36">
        <v>4.5999999999999996</v>
      </c>
      <c r="BC36">
        <v>182.7</v>
      </c>
      <c r="BD36">
        <v>64.3</v>
      </c>
      <c r="BE36">
        <v>51.4</v>
      </c>
      <c r="BF36">
        <v>239.4</v>
      </c>
      <c r="BG36">
        <v>28.4</v>
      </c>
      <c r="BH36">
        <v>12</v>
      </c>
      <c r="BI36">
        <v>59.4</v>
      </c>
      <c r="BJ36">
        <v>17.600000000000001</v>
      </c>
      <c r="BK36">
        <v>10.6</v>
      </c>
      <c r="BL36">
        <v>35.700000000000003</v>
      </c>
      <c r="BM36">
        <v>10.1</v>
      </c>
      <c r="BN36">
        <v>4.8</v>
      </c>
      <c r="BO36">
        <v>3.99</v>
      </c>
      <c r="BP36">
        <v>0.45</v>
      </c>
      <c r="BQ36">
        <v>0</v>
      </c>
      <c r="BR36">
        <v>319</v>
      </c>
      <c r="BS36">
        <v>249.5</v>
      </c>
      <c r="BT36">
        <v>3775</v>
      </c>
      <c r="BU36">
        <v>1953</v>
      </c>
      <c r="BV36">
        <v>10.85</v>
      </c>
      <c r="BW36">
        <v>7.42</v>
      </c>
      <c r="BX36">
        <v>1.38</v>
      </c>
      <c r="BY36">
        <v>64.7</v>
      </c>
      <c r="BZ36">
        <v>64.7</v>
      </c>
      <c r="CA36">
        <v>0.69</v>
      </c>
      <c r="CB36">
        <v>0.65</v>
      </c>
      <c r="CC36">
        <v>15.5</v>
      </c>
      <c r="CD36">
        <v>1.05</v>
      </c>
      <c r="CE36">
        <v>4.28</v>
      </c>
      <c r="CF36">
        <v>147.30000000000001</v>
      </c>
      <c r="CG36">
        <v>17</v>
      </c>
      <c r="CH36">
        <v>333</v>
      </c>
      <c r="CI36">
        <v>3.9</v>
      </c>
      <c r="CJ36">
        <v>2.4</v>
      </c>
      <c r="CK36">
        <v>1</v>
      </c>
      <c r="CL36" s="42" t="str">
        <f t="shared" si="5"/>
        <v>1</v>
      </c>
      <c r="CM36" s="4">
        <v>22.333333333333332</v>
      </c>
      <c r="CN36" s="4">
        <v>0.44666666666666666</v>
      </c>
      <c r="CO36">
        <v>4</v>
      </c>
      <c r="CP36" s="42" t="str">
        <f t="shared" si="6"/>
        <v>1</v>
      </c>
      <c r="CQ36" s="4">
        <v>72</v>
      </c>
      <c r="CR36" s="4">
        <v>0.56666666666666665</v>
      </c>
      <c r="CS36" s="43" t="str">
        <f t="shared" si="7"/>
        <v>1</v>
      </c>
      <c r="CT36" s="4">
        <f t="shared" si="8"/>
        <v>94.333333333333329</v>
      </c>
      <c r="CU36" s="4">
        <f t="shared" si="9"/>
        <v>1.0133333333333332</v>
      </c>
      <c r="CV36" s="4">
        <v>1</v>
      </c>
    </row>
    <row r="37" spans="1:100" x14ac:dyDescent="0.3">
      <c r="A37" s="15" t="s">
        <v>114</v>
      </c>
      <c r="B37" s="17">
        <v>0</v>
      </c>
      <c r="C37" s="3">
        <v>45</v>
      </c>
      <c r="D37">
        <v>1</v>
      </c>
      <c r="E37">
        <v>2</v>
      </c>
      <c r="F37">
        <v>2</v>
      </c>
      <c r="G37">
        <v>0</v>
      </c>
      <c r="H37">
        <v>1</v>
      </c>
      <c r="I37">
        <v>1</v>
      </c>
      <c r="J37" s="4">
        <v>66.599999999999994</v>
      </c>
      <c r="K37" s="4">
        <f t="shared" si="0"/>
        <v>1.74</v>
      </c>
      <c r="L37">
        <v>174</v>
      </c>
      <c r="M37" s="4">
        <f t="shared" si="10"/>
        <v>18.0486</v>
      </c>
      <c r="N37" s="4">
        <v>46.1</v>
      </c>
      <c r="O37" s="4">
        <v>27.1</v>
      </c>
      <c r="P37" s="40">
        <v>1</v>
      </c>
      <c r="Q37">
        <v>86.7</v>
      </c>
      <c r="R37" s="37">
        <v>0</v>
      </c>
      <c r="S37">
        <v>93.8</v>
      </c>
      <c r="T37" s="5">
        <f t="shared" si="1"/>
        <v>0.92430703624733479</v>
      </c>
      <c r="U37" s="37">
        <v>1</v>
      </c>
      <c r="V37" s="4">
        <f t="shared" si="2"/>
        <v>21.997621878715812</v>
      </c>
      <c r="W37" s="39">
        <v>0</v>
      </c>
      <c r="X37">
        <v>10</v>
      </c>
      <c r="Y37" s="37">
        <v>1</v>
      </c>
      <c r="Z37">
        <v>11.29</v>
      </c>
      <c r="AA37" s="23">
        <f t="shared" si="3"/>
        <v>2.9253644444444444</v>
      </c>
      <c r="AB37" s="84">
        <v>1</v>
      </c>
      <c r="AC37" s="5">
        <v>5.83</v>
      </c>
      <c r="AD37" s="37">
        <v>1</v>
      </c>
      <c r="AE37">
        <v>13.78</v>
      </c>
      <c r="AF37" s="5">
        <v>6.1</v>
      </c>
      <c r="AG37" s="37">
        <v>1</v>
      </c>
      <c r="AH37" s="5">
        <v>1.54</v>
      </c>
      <c r="AI37" s="37">
        <v>0</v>
      </c>
      <c r="AJ37" s="5">
        <v>4.29</v>
      </c>
      <c r="AK37" s="37">
        <v>1</v>
      </c>
      <c r="AL37" s="5">
        <v>1.1100000000000001</v>
      </c>
      <c r="AM37" s="37">
        <v>0</v>
      </c>
      <c r="AN37" s="4">
        <f t="shared" si="4"/>
        <v>5.4954954954954944</v>
      </c>
      <c r="AO37" s="37">
        <v>1</v>
      </c>
      <c r="AP37">
        <v>142</v>
      </c>
      <c r="AQ37" s="37">
        <v>1</v>
      </c>
      <c r="AR37">
        <v>89</v>
      </c>
      <c r="AS37" s="37">
        <v>1</v>
      </c>
      <c r="AT37">
        <v>89</v>
      </c>
      <c r="AU37">
        <v>53</v>
      </c>
      <c r="AV37">
        <v>7.2</v>
      </c>
      <c r="AW37" s="37">
        <v>1</v>
      </c>
      <c r="AX37">
        <v>2069</v>
      </c>
      <c r="AY37">
        <v>46.9</v>
      </c>
      <c r="AZ37">
        <v>53.1</v>
      </c>
      <c r="BA37">
        <v>373.9</v>
      </c>
      <c r="BB37">
        <v>12.1</v>
      </c>
      <c r="BC37">
        <v>263.39999999999998</v>
      </c>
      <c r="BD37">
        <v>97.9</v>
      </c>
      <c r="BE37">
        <v>81.099999999999994</v>
      </c>
      <c r="BF37">
        <v>21.6</v>
      </c>
      <c r="BG37">
        <v>23.1</v>
      </c>
      <c r="BH37">
        <v>9.1</v>
      </c>
      <c r="BI37">
        <v>67.8</v>
      </c>
      <c r="BJ37">
        <v>15.7</v>
      </c>
      <c r="BK37">
        <v>14.7</v>
      </c>
      <c r="BL37">
        <v>36.1</v>
      </c>
      <c r="BM37">
        <v>7</v>
      </c>
      <c r="BN37">
        <v>2.7</v>
      </c>
      <c r="BO37">
        <v>2.1</v>
      </c>
      <c r="BP37">
        <v>0.53</v>
      </c>
      <c r="BQ37">
        <v>0</v>
      </c>
      <c r="BR37">
        <v>527</v>
      </c>
      <c r="BS37">
        <v>243.1</v>
      </c>
      <c r="BT37">
        <v>3379</v>
      </c>
      <c r="BU37">
        <v>1919</v>
      </c>
      <c r="BV37">
        <v>10.87</v>
      </c>
      <c r="BW37">
        <v>6</v>
      </c>
      <c r="BX37">
        <v>1.38</v>
      </c>
      <c r="BY37">
        <v>28.8</v>
      </c>
      <c r="BZ37">
        <v>23.7</v>
      </c>
      <c r="CA37">
        <v>0.97</v>
      </c>
      <c r="CB37">
        <v>0.48</v>
      </c>
      <c r="CC37">
        <v>17.899999999999999</v>
      </c>
      <c r="CD37">
        <v>0.93</v>
      </c>
      <c r="CE37">
        <v>2.38</v>
      </c>
      <c r="CF37">
        <v>291.5</v>
      </c>
      <c r="CG37">
        <v>35.1</v>
      </c>
      <c r="CH37">
        <v>476</v>
      </c>
      <c r="CI37">
        <v>3.17</v>
      </c>
      <c r="CJ37">
        <v>2.1</v>
      </c>
      <c r="CK37">
        <v>0</v>
      </c>
      <c r="CL37" s="42" t="str">
        <f t="shared" si="5"/>
        <v>1</v>
      </c>
      <c r="CM37">
        <v>0</v>
      </c>
      <c r="CN37" s="4">
        <v>0</v>
      </c>
      <c r="CO37">
        <v>5</v>
      </c>
      <c r="CP37" s="42" t="str">
        <f t="shared" si="6"/>
        <v>1</v>
      </c>
      <c r="CQ37" s="4">
        <v>64.666666666666671</v>
      </c>
      <c r="CR37" s="4">
        <v>1.3456790123456788</v>
      </c>
      <c r="CS37" s="43" t="str">
        <f t="shared" si="7"/>
        <v>1</v>
      </c>
      <c r="CT37" s="4">
        <f t="shared" si="8"/>
        <v>64.666666666666671</v>
      </c>
      <c r="CU37" s="4">
        <f t="shared" si="9"/>
        <v>1.3456790123456788</v>
      </c>
      <c r="CV37" s="4">
        <v>1</v>
      </c>
    </row>
    <row r="38" spans="1:100" x14ac:dyDescent="0.3">
      <c r="A38" s="15" t="s">
        <v>115</v>
      </c>
      <c r="B38" s="17">
        <v>0</v>
      </c>
      <c r="C38" s="3">
        <v>49</v>
      </c>
      <c r="D38">
        <v>3</v>
      </c>
      <c r="E38">
        <v>3</v>
      </c>
      <c r="F38">
        <v>2</v>
      </c>
      <c r="G38">
        <v>0</v>
      </c>
      <c r="H38">
        <v>1</v>
      </c>
      <c r="I38">
        <v>1</v>
      </c>
      <c r="J38" s="4">
        <v>62.6</v>
      </c>
      <c r="K38" s="4">
        <f t="shared" si="0"/>
        <v>1.6540000000000001</v>
      </c>
      <c r="L38">
        <v>165.4</v>
      </c>
      <c r="M38" s="4">
        <f t="shared" si="10"/>
        <v>15.962999999999999</v>
      </c>
      <c r="N38" s="4">
        <v>44.2</v>
      </c>
      <c r="O38" s="4">
        <v>25.5</v>
      </c>
      <c r="P38" s="40">
        <v>1</v>
      </c>
      <c r="Q38">
        <v>84.2</v>
      </c>
      <c r="R38" s="37">
        <v>0</v>
      </c>
      <c r="S38">
        <v>92.6</v>
      </c>
      <c r="T38" s="5">
        <f t="shared" si="1"/>
        <v>0.90928725701943858</v>
      </c>
      <c r="U38" s="37">
        <v>1</v>
      </c>
      <c r="V38" s="4">
        <f t="shared" si="2"/>
        <v>22.88249218851664</v>
      </c>
      <c r="W38" s="39">
        <v>0</v>
      </c>
      <c r="X38">
        <v>11</v>
      </c>
      <c r="Y38" s="37">
        <v>1</v>
      </c>
      <c r="AA38" s="23"/>
      <c r="AB38" s="84"/>
      <c r="AC38" s="5">
        <v>7.38</v>
      </c>
      <c r="AD38" s="37">
        <v>1</v>
      </c>
      <c r="AE38">
        <v>3</v>
      </c>
      <c r="AF38" s="5">
        <v>6.39</v>
      </c>
      <c r="AG38" s="37">
        <v>1</v>
      </c>
      <c r="AH38" s="5">
        <v>1.62</v>
      </c>
      <c r="AI38" s="37">
        <v>0</v>
      </c>
      <c r="AJ38" s="5">
        <v>4.3600000000000003</v>
      </c>
      <c r="AK38" s="37">
        <v>1</v>
      </c>
      <c r="AL38" s="5">
        <v>1.31</v>
      </c>
      <c r="AM38" s="37">
        <v>0</v>
      </c>
      <c r="AN38" s="4">
        <f t="shared" si="4"/>
        <v>4.8778625954198471</v>
      </c>
      <c r="AO38" s="37">
        <v>1</v>
      </c>
      <c r="AP38">
        <v>221</v>
      </c>
      <c r="AQ38" s="37">
        <v>1</v>
      </c>
      <c r="AR38">
        <v>140</v>
      </c>
      <c r="AS38" s="37">
        <v>1</v>
      </c>
      <c r="AT38">
        <v>108</v>
      </c>
      <c r="AU38">
        <v>81</v>
      </c>
      <c r="AV38">
        <v>10.4</v>
      </c>
      <c r="AW38" s="37">
        <v>0</v>
      </c>
      <c r="AX38">
        <v>1765</v>
      </c>
      <c r="AY38">
        <v>37</v>
      </c>
      <c r="AZ38">
        <v>58.1</v>
      </c>
      <c r="BA38">
        <v>290.39999999999998</v>
      </c>
      <c r="BB38">
        <v>10.6</v>
      </c>
      <c r="BC38">
        <v>224.7</v>
      </c>
      <c r="BD38">
        <v>54.5</v>
      </c>
      <c r="BE38">
        <v>30.1</v>
      </c>
      <c r="BF38">
        <v>3.9</v>
      </c>
      <c r="BG38">
        <v>29.6</v>
      </c>
      <c r="BH38">
        <v>8.4</v>
      </c>
      <c r="BI38">
        <v>61.7</v>
      </c>
      <c r="BJ38">
        <v>21.4</v>
      </c>
      <c r="BK38">
        <v>6.4</v>
      </c>
      <c r="BL38">
        <v>42</v>
      </c>
      <c r="BM38">
        <v>8.5</v>
      </c>
      <c r="BN38">
        <v>3.4</v>
      </c>
      <c r="BO38">
        <v>2.98</v>
      </c>
      <c r="BP38">
        <v>0.15</v>
      </c>
      <c r="BQ38">
        <v>0.05</v>
      </c>
      <c r="BR38">
        <v>382</v>
      </c>
      <c r="BS38">
        <v>216.6</v>
      </c>
      <c r="BT38">
        <v>3471</v>
      </c>
      <c r="BU38">
        <v>1854</v>
      </c>
      <c r="BV38">
        <v>14.09</v>
      </c>
      <c r="BW38">
        <v>6.45</v>
      </c>
      <c r="BX38">
        <v>1.52</v>
      </c>
      <c r="BY38">
        <v>42.1</v>
      </c>
      <c r="BZ38">
        <v>54</v>
      </c>
      <c r="CA38">
        <v>0.79</v>
      </c>
      <c r="CB38">
        <v>0.45</v>
      </c>
      <c r="CC38">
        <v>13.2</v>
      </c>
      <c r="CD38">
        <v>0.86</v>
      </c>
      <c r="CE38">
        <v>0.38</v>
      </c>
      <c r="CF38">
        <v>172.3</v>
      </c>
      <c r="CG38">
        <v>53.4</v>
      </c>
      <c r="CH38">
        <v>318</v>
      </c>
      <c r="CI38">
        <v>0.01</v>
      </c>
      <c r="CJ38">
        <v>2.6</v>
      </c>
      <c r="CK38">
        <v>0</v>
      </c>
      <c r="CL38" s="42" t="str">
        <f t="shared" si="5"/>
        <v>1</v>
      </c>
      <c r="CM38">
        <v>0</v>
      </c>
      <c r="CN38" s="4">
        <v>0</v>
      </c>
      <c r="CO38">
        <v>7</v>
      </c>
      <c r="CP38" s="42" t="str">
        <f t="shared" si="6"/>
        <v>2</v>
      </c>
      <c r="CQ38" s="4">
        <v>209.33333333333334</v>
      </c>
      <c r="CR38" s="4">
        <v>2.7530864197530862</v>
      </c>
      <c r="CS38" s="43" t="str">
        <f t="shared" si="7"/>
        <v>2</v>
      </c>
      <c r="CT38" s="4">
        <f t="shared" si="8"/>
        <v>209.33333333333334</v>
      </c>
      <c r="CU38" s="4">
        <f t="shared" si="9"/>
        <v>2.7530864197530862</v>
      </c>
      <c r="CV38" s="4">
        <v>2</v>
      </c>
    </row>
    <row r="39" spans="1:100" x14ac:dyDescent="0.3">
      <c r="A39" s="15" t="s">
        <v>116</v>
      </c>
      <c r="B39" s="17">
        <v>0</v>
      </c>
      <c r="C39" s="3">
        <v>45</v>
      </c>
      <c r="D39">
        <v>4</v>
      </c>
      <c r="E39">
        <v>1</v>
      </c>
      <c r="F39">
        <v>1</v>
      </c>
      <c r="G39">
        <v>0</v>
      </c>
      <c r="H39">
        <v>0</v>
      </c>
      <c r="I39">
        <v>0</v>
      </c>
      <c r="J39" s="4">
        <v>98.7</v>
      </c>
      <c r="K39" s="4">
        <f t="shared" si="0"/>
        <v>1.74</v>
      </c>
      <c r="L39">
        <v>174</v>
      </c>
      <c r="M39" s="4">
        <f t="shared" si="10"/>
        <v>37.802100000000003</v>
      </c>
      <c r="N39" s="4">
        <v>57.7</v>
      </c>
      <c r="O39" s="4">
        <v>38.299999999999997</v>
      </c>
      <c r="P39" s="40">
        <v>1</v>
      </c>
      <c r="Q39">
        <v>111.3</v>
      </c>
      <c r="R39" s="37">
        <v>1</v>
      </c>
      <c r="S39">
        <v>121</v>
      </c>
      <c r="T39" s="5">
        <f t="shared" si="1"/>
        <v>0.91983471074380163</v>
      </c>
      <c r="U39" s="37">
        <v>1</v>
      </c>
      <c r="V39" s="4">
        <f t="shared" si="2"/>
        <v>32.600079270709472</v>
      </c>
      <c r="W39" s="39">
        <v>1</v>
      </c>
      <c r="X39">
        <v>21</v>
      </c>
      <c r="Y39" s="37">
        <v>1</v>
      </c>
      <c r="AA39" s="23"/>
      <c r="AB39" s="84"/>
      <c r="AC39" s="5">
        <v>7.71</v>
      </c>
      <c r="AD39" s="37">
        <v>1</v>
      </c>
      <c r="AE39">
        <v>14.38</v>
      </c>
      <c r="AF39" s="5">
        <v>5.0599999999999996</v>
      </c>
      <c r="AG39" s="37">
        <v>1</v>
      </c>
      <c r="AH39" s="5">
        <v>1.38</v>
      </c>
      <c r="AI39" s="37">
        <v>0</v>
      </c>
      <c r="AJ39" s="5">
        <v>3.12</v>
      </c>
      <c r="AK39" s="37">
        <v>0</v>
      </c>
      <c r="AL39" s="5">
        <v>1.31</v>
      </c>
      <c r="AM39" s="37">
        <v>0</v>
      </c>
      <c r="AN39" s="4">
        <f t="shared" si="4"/>
        <v>3.8625954198473278</v>
      </c>
      <c r="AO39" s="37">
        <v>0</v>
      </c>
      <c r="AP39">
        <v>139</v>
      </c>
      <c r="AQ39" s="37">
        <v>1</v>
      </c>
      <c r="AR39">
        <v>84</v>
      </c>
      <c r="AS39" s="37">
        <v>0</v>
      </c>
      <c r="AT39">
        <v>74</v>
      </c>
      <c r="AU39">
        <v>55</v>
      </c>
      <c r="AV39">
        <v>7.1</v>
      </c>
      <c r="AW39" s="37">
        <v>1</v>
      </c>
      <c r="AX39">
        <v>2157</v>
      </c>
      <c r="AY39">
        <v>49.9</v>
      </c>
      <c r="AZ39">
        <v>63.2</v>
      </c>
      <c r="BA39">
        <v>369.3</v>
      </c>
      <c r="BB39">
        <v>9.3000000000000007</v>
      </c>
      <c r="BC39">
        <v>308.3</v>
      </c>
      <c r="BD39">
        <v>44.9</v>
      </c>
      <c r="BE39">
        <v>29.6</v>
      </c>
      <c r="BF39">
        <v>96.4</v>
      </c>
      <c r="BG39">
        <v>26.4</v>
      </c>
      <c r="BH39">
        <v>9.3000000000000007</v>
      </c>
      <c r="BI39">
        <v>64.2</v>
      </c>
      <c r="BJ39">
        <v>20</v>
      </c>
      <c r="BK39">
        <v>5.0999999999999996</v>
      </c>
      <c r="BL39">
        <v>47.9</v>
      </c>
      <c r="BM39">
        <v>6.1</v>
      </c>
      <c r="BN39">
        <v>3.2</v>
      </c>
      <c r="BO39">
        <v>2.42</v>
      </c>
      <c r="BP39">
        <v>0.54</v>
      </c>
      <c r="BQ39">
        <v>0</v>
      </c>
      <c r="BR39">
        <v>330</v>
      </c>
      <c r="BS39">
        <v>211.2</v>
      </c>
      <c r="BT39">
        <v>3151</v>
      </c>
      <c r="BU39">
        <v>2030</v>
      </c>
      <c r="BV39">
        <v>11.57</v>
      </c>
      <c r="BW39">
        <v>7.85</v>
      </c>
      <c r="BX39">
        <v>1.96</v>
      </c>
      <c r="BY39">
        <v>34</v>
      </c>
      <c r="BZ39">
        <v>66.8</v>
      </c>
      <c r="CA39">
        <v>0.59</v>
      </c>
      <c r="CB39">
        <v>0.68</v>
      </c>
      <c r="CC39">
        <v>18.5</v>
      </c>
      <c r="CD39">
        <v>1.1399999999999999</v>
      </c>
      <c r="CE39">
        <v>2.95</v>
      </c>
      <c r="CF39">
        <v>198.3</v>
      </c>
      <c r="CG39">
        <v>109.9</v>
      </c>
      <c r="CH39">
        <v>417</v>
      </c>
      <c r="CI39">
        <v>9.09</v>
      </c>
      <c r="CJ39">
        <v>1.5</v>
      </c>
      <c r="CK39">
        <v>4</v>
      </c>
      <c r="CL39" s="42" t="str">
        <f t="shared" si="5"/>
        <v>1</v>
      </c>
      <c r="CM39" s="4">
        <v>97.166666666666671</v>
      </c>
      <c r="CN39" s="4">
        <v>1.9433333333333334</v>
      </c>
      <c r="CO39">
        <v>5</v>
      </c>
      <c r="CP39" s="42" t="str">
        <f t="shared" si="6"/>
        <v>1</v>
      </c>
      <c r="CQ39" s="4">
        <v>73.666666666666671</v>
      </c>
      <c r="CR39" s="4">
        <v>0.81851851851851842</v>
      </c>
      <c r="CS39" s="43" t="str">
        <f t="shared" si="7"/>
        <v>2</v>
      </c>
      <c r="CT39" s="4">
        <f t="shared" si="8"/>
        <v>170.83333333333334</v>
      </c>
      <c r="CU39" s="4">
        <f t="shared" si="9"/>
        <v>2.7618518518518518</v>
      </c>
      <c r="CV39" s="4">
        <v>2</v>
      </c>
    </row>
    <row r="40" spans="1:100" x14ac:dyDescent="0.3">
      <c r="A40" s="15" t="s">
        <v>117</v>
      </c>
      <c r="B40" s="17">
        <v>0</v>
      </c>
      <c r="C40" s="3">
        <v>45</v>
      </c>
      <c r="D40">
        <v>3</v>
      </c>
      <c r="E40">
        <v>1</v>
      </c>
      <c r="F40">
        <v>1</v>
      </c>
      <c r="G40">
        <v>0</v>
      </c>
      <c r="H40">
        <v>1</v>
      </c>
      <c r="I40">
        <v>0</v>
      </c>
      <c r="J40" s="4">
        <v>50.3</v>
      </c>
      <c r="K40" s="4">
        <f t="shared" si="0"/>
        <v>1.63</v>
      </c>
      <c r="L40">
        <v>163</v>
      </c>
      <c r="M40" s="4">
        <f t="shared" si="10"/>
        <v>8.9534000000000002</v>
      </c>
      <c r="N40" s="4">
        <v>39.1</v>
      </c>
      <c r="O40" s="4">
        <v>17.8</v>
      </c>
      <c r="P40" s="40">
        <v>0</v>
      </c>
      <c r="Q40">
        <v>74.5</v>
      </c>
      <c r="R40" s="37">
        <v>0</v>
      </c>
      <c r="S40">
        <v>84</v>
      </c>
      <c r="T40" s="5">
        <f t="shared" si="1"/>
        <v>0.88690476190476186</v>
      </c>
      <c r="U40" s="37">
        <v>0</v>
      </c>
      <c r="V40" s="4">
        <f t="shared" si="2"/>
        <v>18.931837856148142</v>
      </c>
      <c r="W40" s="39">
        <v>0</v>
      </c>
      <c r="X40">
        <v>5</v>
      </c>
      <c r="Y40" s="40">
        <v>0</v>
      </c>
      <c r="Z40">
        <v>5.49</v>
      </c>
      <c r="AA40" s="23">
        <f t="shared" si="3"/>
        <v>1.3639600000000001</v>
      </c>
      <c r="AB40" s="84">
        <v>0</v>
      </c>
      <c r="AC40" s="5">
        <v>5.59</v>
      </c>
      <c r="AD40" s="37">
        <v>1</v>
      </c>
      <c r="AE40">
        <v>16.25</v>
      </c>
      <c r="AF40" s="5">
        <v>5.73</v>
      </c>
      <c r="AG40" s="37">
        <v>1</v>
      </c>
      <c r="AH40" s="5">
        <v>1.57</v>
      </c>
      <c r="AI40" s="37">
        <v>0</v>
      </c>
      <c r="AJ40" s="5">
        <v>3.64</v>
      </c>
      <c r="AK40" s="37">
        <v>1</v>
      </c>
      <c r="AL40" s="5">
        <v>1.35</v>
      </c>
      <c r="AM40" s="37">
        <v>0</v>
      </c>
      <c r="AN40" s="4">
        <f t="shared" si="4"/>
        <v>4.2444444444444445</v>
      </c>
      <c r="AO40" s="37">
        <v>1</v>
      </c>
      <c r="AP40">
        <v>106</v>
      </c>
      <c r="AQ40" s="38">
        <v>0</v>
      </c>
      <c r="AR40">
        <v>75</v>
      </c>
      <c r="AS40" s="37">
        <v>0</v>
      </c>
      <c r="AT40">
        <v>69</v>
      </c>
      <c r="AU40">
        <v>31</v>
      </c>
      <c r="AV40">
        <v>6</v>
      </c>
      <c r="AW40" s="37">
        <v>1</v>
      </c>
      <c r="AX40">
        <v>2185</v>
      </c>
      <c r="AY40">
        <v>54.4</v>
      </c>
      <c r="AZ40">
        <v>59</v>
      </c>
      <c r="BA40">
        <v>381.2</v>
      </c>
      <c r="BB40">
        <v>11.3</v>
      </c>
      <c r="BC40">
        <v>305.10000000000002</v>
      </c>
      <c r="BD40">
        <v>56.3</v>
      </c>
      <c r="BE40">
        <v>39.299999999999997</v>
      </c>
      <c r="BF40">
        <v>111</v>
      </c>
      <c r="BG40">
        <v>24.3</v>
      </c>
      <c r="BH40">
        <v>10</v>
      </c>
      <c r="BI40">
        <v>65.400000000000006</v>
      </c>
      <c r="BJ40">
        <v>18</v>
      </c>
      <c r="BK40">
        <v>6.8</v>
      </c>
      <c r="BL40">
        <v>43.6</v>
      </c>
      <c r="BM40">
        <v>7.6</v>
      </c>
      <c r="BN40">
        <v>2.9</v>
      </c>
      <c r="BO40">
        <v>2.42</v>
      </c>
      <c r="BP40">
        <v>0.1</v>
      </c>
      <c r="BQ40">
        <v>0</v>
      </c>
      <c r="BR40">
        <v>438</v>
      </c>
      <c r="BS40">
        <v>226.8</v>
      </c>
      <c r="BT40">
        <v>3843</v>
      </c>
      <c r="BU40">
        <v>1835</v>
      </c>
      <c r="BV40">
        <v>12.78</v>
      </c>
      <c r="BW40">
        <v>8.07</v>
      </c>
      <c r="BX40">
        <v>1.81</v>
      </c>
      <c r="BY40">
        <v>57.6</v>
      </c>
      <c r="BZ40">
        <v>68.5</v>
      </c>
      <c r="CA40">
        <v>0.71</v>
      </c>
      <c r="CB40">
        <v>0.53</v>
      </c>
      <c r="CC40">
        <v>17.600000000000001</v>
      </c>
      <c r="CD40">
        <v>1.05</v>
      </c>
      <c r="CE40">
        <v>1.1399999999999999</v>
      </c>
      <c r="CF40">
        <v>217.6</v>
      </c>
      <c r="CG40">
        <v>18.399999999999999</v>
      </c>
      <c r="CH40">
        <v>284</v>
      </c>
      <c r="CI40">
        <v>0.71</v>
      </c>
      <c r="CJ40">
        <v>2</v>
      </c>
      <c r="CK40">
        <v>0</v>
      </c>
      <c r="CL40" s="42" t="str">
        <f t="shared" si="5"/>
        <v>1</v>
      </c>
      <c r="CM40">
        <v>0</v>
      </c>
      <c r="CN40" s="4">
        <v>0</v>
      </c>
      <c r="CO40">
        <v>6</v>
      </c>
      <c r="CP40" s="42" t="str">
        <f t="shared" si="6"/>
        <v>2</v>
      </c>
      <c r="CQ40" s="4">
        <v>149.66666666666666</v>
      </c>
      <c r="CR40" s="4">
        <v>2.2592592592592591</v>
      </c>
      <c r="CS40" s="43" t="str">
        <f t="shared" si="7"/>
        <v>2</v>
      </c>
      <c r="CT40" s="4">
        <f t="shared" si="8"/>
        <v>149.66666666666666</v>
      </c>
      <c r="CU40" s="4">
        <f t="shared" si="9"/>
        <v>2.2592592592592591</v>
      </c>
      <c r="CV40" s="4">
        <v>2</v>
      </c>
    </row>
    <row r="41" spans="1:100" x14ac:dyDescent="0.3">
      <c r="A41" s="15" t="s">
        <v>118</v>
      </c>
      <c r="B41" s="17">
        <v>0</v>
      </c>
      <c r="C41" s="3">
        <v>46</v>
      </c>
      <c r="D41">
        <v>4</v>
      </c>
      <c r="E41">
        <v>1</v>
      </c>
      <c r="F41">
        <v>2</v>
      </c>
      <c r="G41">
        <v>2</v>
      </c>
      <c r="H41">
        <v>1</v>
      </c>
      <c r="I41">
        <v>1</v>
      </c>
      <c r="J41" s="4">
        <v>80.7</v>
      </c>
      <c r="K41" s="4">
        <f t="shared" si="0"/>
        <v>1.62</v>
      </c>
      <c r="L41">
        <v>162</v>
      </c>
      <c r="M41" s="4">
        <f t="shared" si="10"/>
        <v>25.743299999999998</v>
      </c>
      <c r="N41" s="4">
        <v>52.1</v>
      </c>
      <c r="O41" s="4">
        <v>31.9</v>
      </c>
      <c r="P41" s="40">
        <v>1</v>
      </c>
      <c r="Q41">
        <v>108</v>
      </c>
      <c r="R41" s="37">
        <v>1</v>
      </c>
      <c r="S41">
        <v>100</v>
      </c>
      <c r="T41" s="5">
        <f t="shared" si="1"/>
        <v>1.08</v>
      </c>
      <c r="U41" s="37">
        <v>1</v>
      </c>
      <c r="V41" s="4">
        <f t="shared" si="2"/>
        <v>30.749885688157288</v>
      </c>
      <c r="W41" s="39">
        <v>1</v>
      </c>
      <c r="X41">
        <v>17</v>
      </c>
      <c r="Y41" s="37">
        <v>1</v>
      </c>
      <c r="AA41" s="23"/>
      <c r="AB41" s="84"/>
      <c r="AC41" s="5">
        <v>9</v>
      </c>
      <c r="AD41" s="37">
        <v>1</v>
      </c>
      <c r="AE41">
        <v>35.86</v>
      </c>
      <c r="AF41" s="5">
        <v>6.58</v>
      </c>
      <c r="AG41" s="37">
        <v>1</v>
      </c>
      <c r="AH41" s="5">
        <v>1.84</v>
      </c>
      <c r="AI41" s="37">
        <v>1</v>
      </c>
      <c r="AJ41" s="5">
        <v>4.12</v>
      </c>
      <c r="AK41" s="37">
        <v>1</v>
      </c>
      <c r="AL41" s="5">
        <v>1.65</v>
      </c>
      <c r="AM41" s="37">
        <v>0</v>
      </c>
      <c r="AN41">
        <f t="shared" si="4"/>
        <v>3.9878787878787882</v>
      </c>
      <c r="AO41" s="37">
        <v>1</v>
      </c>
      <c r="AP41">
        <v>116</v>
      </c>
      <c r="AQ41" s="38">
        <v>0</v>
      </c>
      <c r="AR41">
        <v>90</v>
      </c>
      <c r="AS41" s="37">
        <v>1</v>
      </c>
      <c r="AT41">
        <v>74</v>
      </c>
      <c r="AU41">
        <v>27</v>
      </c>
      <c r="AV41">
        <v>6.5</v>
      </c>
      <c r="AW41" s="37">
        <v>1</v>
      </c>
      <c r="AX41">
        <v>1838</v>
      </c>
      <c r="AY41">
        <v>57.1</v>
      </c>
      <c r="AZ41">
        <v>49</v>
      </c>
      <c r="BA41">
        <v>310.89999999999998</v>
      </c>
      <c r="BB41">
        <v>8.1</v>
      </c>
      <c r="BC41">
        <v>239</v>
      </c>
      <c r="BD41">
        <v>50.1</v>
      </c>
      <c r="BE41">
        <v>37</v>
      </c>
      <c r="BF41">
        <v>67.2</v>
      </c>
      <c r="BG41">
        <v>24</v>
      </c>
      <c r="BH41">
        <v>12.4</v>
      </c>
      <c r="BI41">
        <v>63.4</v>
      </c>
      <c r="BJ41">
        <v>15.9</v>
      </c>
      <c r="BK41">
        <v>7.5</v>
      </c>
      <c r="BL41">
        <v>32.5</v>
      </c>
      <c r="BM41">
        <v>4.3</v>
      </c>
      <c r="BN41">
        <v>2.6</v>
      </c>
      <c r="BO41">
        <v>1.97</v>
      </c>
      <c r="BP41">
        <v>0.42</v>
      </c>
      <c r="BQ41">
        <v>0.03</v>
      </c>
      <c r="BR41">
        <v>389</v>
      </c>
      <c r="BS41">
        <v>187</v>
      </c>
      <c r="BT41">
        <v>3452</v>
      </c>
      <c r="BU41">
        <v>1886</v>
      </c>
      <c r="BV41">
        <v>10.79</v>
      </c>
      <c r="BW41">
        <v>6.63</v>
      </c>
      <c r="BX41">
        <v>1.37</v>
      </c>
      <c r="BY41">
        <v>31.7</v>
      </c>
      <c r="BZ41">
        <v>22.3</v>
      </c>
      <c r="CA41">
        <v>0.57999999999999996</v>
      </c>
      <c r="CB41">
        <v>0.56000000000000005</v>
      </c>
      <c r="CC41">
        <v>16.600000000000001</v>
      </c>
      <c r="CD41">
        <v>0.81</v>
      </c>
      <c r="CE41">
        <v>2.58</v>
      </c>
      <c r="CF41">
        <v>222.8</v>
      </c>
      <c r="CG41">
        <v>22.1</v>
      </c>
      <c r="CH41">
        <v>451</v>
      </c>
      <c r="CI41">
        <v>2.95</v>
      </c>
      <c r="CJ41">
        <v>1.8</v>
      </c>
      <c r="CK41">
        <v>1</v>
      </c>
      <c r="CL41" s="42" t="str">
        <f t="shared" si="5"/>
        <v>1</v>
      </c>
      <c r="CM41">
        <v>12</v>
      </c>
      <c r="CN41" s="4">
        <v>0.24</v>
      </c>
      <c r="CO41">
        <v>6</v>
      </c>
      <c r="CP41" s="42" t="str">
        <f t="shared" si="6"/>
        <v>1</v>
      </c>
      <c r="CQ41" s="4">
        <v>78</v>
      </c>
      <c r="CR41" s="4">
        <v>1.1283950617283951</v>
      </c>
      <c r="CS41" s="43" t="str">
        <f t="shared" si="7"/>
        <v>1</v>
      </c>
      <c r="CT41" s="4">
        <f t="shared" si="8"/>
        <v>90</v>
      </c>
      <c r="CU41" s="4">
        <f t="shared" si="9"/>
        <v>1.3683950617283951</v>
      </c>
      <c r="CV41" s="4">
        <v>1</v>
      </c>
    </row>
    <row r="42" spans="1:100" x14ac:dyDescent="0.3">
      <c r="A42" s="15" t="s">
        <v>119</v>
      </c>
      <c r="B42" s="17">
        <v>0</v>
      </c>
      <c r="C42" s="3">
        <v>51</v>
      </c>
      <c r="D42">
        <v>4</v>
      </c>
      <c r="E42">
        <v>2</v>
      </c>
      <c r="F42">
        <v>2</v>
      </c>
      <c r="G42">
        <v>0</v>
      </c>
      <c r="H42">
        <v>1</v>
      </c>
      <c r="I42">
        <v>0</v>
      </c>
      <c r="J42" s="4">
        <v>77.099999999999994</v>
      </c>
      <c r="K42" s="4">
        <f t="shared" si="0"/>
        <v>1.7090000000000001</v>
      </c>
      <c r="L42">
        <v>170.9</v>
      </c>
      <c r="M42" s="4">
        <f t="shared" si="10"/>
        <v>17.655899999999995</v>
      </c>
      <c r="N42" s="4">
        <v>56.3</v>
      </c>
      <c r="O42" s="4">
        <v>22.9</v>
      </c>
      <c r="P42" s="40">
        <v>0</v>
      </c>
      <c r="Q42">
        <v>100</v>
      </c>
      <c r="R42" s="37">
        <v>1</v>
      </c>
      <c r="S42">
        <v>105</v>
      </c>
      <c r="T42" s="5">
        <f t="shared" si="1"/>
        <v>0.95238095238095233</v>
      </c>
      <c r="U42" s="37">
        <v>1</v>
      </c>
      <c r="V42" s="4">
        <f t="shared" si="2"/>
        <v>26.397953080120693</v>
      </c>
      <c r="W42" s="39">
        <v>1</v>
      </c>
      <c r="X42">
        <v>13</v>
      </c>
      <c r="Y42" s="37">
        <v>1</v>
      </c>
      <c r="Z42">
        <v>14.39</v>
      </c>
      <c r="AA42" s="23">
        <f t="shared" si="3"/>
        <v>3.6902355555555553</v>
      </c>
      <c r="AB42" s="84">
        <v>1</v>
      </c>
      <c r="AC42" s="5">
        <v>5.77</v>
      </c>
      <c r="AD42" s="37">
        <v>1</v>
      </c>
      <c r="AE42">
        <v>3</v>
      </c>
      <c r="AF42" s="5">
        <v>4.82</v>
      </c>
      <c r="AG42" s="37">
        <v>0</v>
      </c>
      <c r="AH42" s="5">
        <v>1.8</v>
      </c>
      <c r="AI42" s="37">
        <v>1</v>
      </c>
      <c r="AJ42" s="5">
        <v>3.21</v>
      </c>
      <c r="AK42" s="37">
        <v>0</v>
      </c>
      <c r="AL42" s="5">
        <v>0.79</v>
      </c>
      <c r="AM42" s="37">
        <v>1</v>
      </c>
      <c r="AN42" s="4">
        <f t="shared" si="4"/>
        <v>6.1012658227848098</v>
      </c>
      <c r="AO42" s="37">
        <v>1</v>
      </c>
      <c r="AP42">
        <v>173</v>
      </c>
      <c r="AQ42" s="37">
        <v>1</v>
      </c>
      <c r="AR42">
        <v>116</v>
      </c>
      <c r="AS42" s="37">
        <v>1</v>
      </c>
      <c r="AT42">
        <v>64</v>
      </c>
      <c r="AU42">
        <v>57</v>
      </c>
      <c r="AV42">
        <v>9</v>
      </c>
      <c r="AW42" s="37">
        <v>0</v>
      </c>
      <c r="AX42">
        <v>1873</v>
      </c>
      <c r="AY42">
        <v>45.9</v>
      </c>
      <c r="AZ42">
        <v>54.1</v>
      </c>
      <c r="BA42">
        <v>319.7</v>
      </c>
      <c r="BB42">
        <v>10.199999999999999</v>
      </c>
      <c r="BC42">
        <v>259.60000000000002</v>
      </c>
      <c r="BD42">
        <v>47.3</v>
      </c>
      <c r="BE42">
        <v>24.7</v>
      </c>
      <c r="BF42">
        <v>162.30000000000001</v>
      </c>
      <c r="BG42">
        <v>26</v>
      </c>
      <c r="BH42">
        <v>9.8000000000000007</v>
      </c>
      <c r="BI42">
        <v>64</v>
      </c>
      <c r="BJ42">
        <v>18.7</v>
      </c>
      <c r="BK42">
        <v>5</v>
      </c>
      <c r="BL42">
        <v>38.9</v>
      </c>
      <c r="BM42">
        <v>7.2</v>
      </c>
      <c r="BN42">
        <v>2.2999999999999998</v>
      </c>
      <c r="BO42">
        <v>1.81</v>
      </c>
      <c r="BP42">
        <v>0.37</v>
      </c>
      <c r="BQ42">
        <v>0</v>
      </c>
      <c r="BR42">
        <v>320</v>
      </c>
      <c r="BS42">
        <v>197.7</v>
      </c>
      <c r="BT42">
        <v>2607</v>
      </c>
      <c r="BU42">
        <v>1939</v>
      </c>
      <c r="BV42">
        <v>11.22</v>
      </c>
      <c r="BW42">
        <v>6.75</v>
      </c>
      <c r="BX42">
        <v>1.58</v>
      </c>
      <c r="BY42">
        <v>9.9</v>
      </c>
      <c r="BZ42">
        <v>45.7</v>
      </c>
      <c r="CA42">
        <v>0.51</v>
      </c>
      <c r="CB42">
        <v>0.6</v>
      </c>
      <c r="CC42">
        <v>16.2</v>
      </c>
      <c r="CD42">
        <v>0.83</v>
      </c>
      <c r="CE42">
        <v>1.19</v>
      </c>
      <c r="CF42">
        <v>200.8</v>
      </c>
      <c r="CG42">
        <v>20.399999999999999</v>
      </c>
      <c r="CH42">
        <v>193</v>
      </c>
      <c r="CI42">
        <v>7.33</v>
      </c>
      <c r="CJ42">
        <v>2.1</v>
      </c>
      <c r="CK42">
        <v>2</v>
      </c>
      <c r="CL42" s="42" t="str">
        <f t="shared" si="5"/>
        <v>1</v>
      </c>
      <c r="CM42" s="4">
        <v>85.666666666666671</v>
      </c>
      <c r="CN42" s="4">
        <v>1.7133333333333334</v>
      </c>
      <c r="CO42">
        <v>3</v>
      </c>
      <c r="CP42" s="42" t="str">
        <f t="shared" si="6"/>
        <v>1</v>
      </c>
      <c r="CQ42" s="4">
        <v>89</v>
      </c>
      <c r="CR42" s="4">
        <v>1.1851851851851851</v>
      </c>
      <c r="CS42" s="43" t="str">
        <f t="shared" si="7"/>
        <v>2</v>
      </c>
      <c r="CT42" s="4">
        <f t="shared" si="8"/>
        <v>174.66666666666669</v>
      </c>
      <c r="CU42" s="4">
        <f t="shared" si="9"/>
        <v>2.8985185185185185</v>
      </c>
      <c r="CV42" s="4">
        <v>2</v>
      </c>
    </row>
    <row r="43" spans="1:100" x14ac:dyDescent="0.3">
      <c r="A43" s="24" t="s">
        <v>78</v>
      </c>
      <c r="B43" s="17">
        <v>0</v>
      </c>
      <c r="C43" s="3">
        <v>34</v>
      </c>
      <c r="D43">
        <v>2</v>
      </c>
      <c r="E43">
        <v>1</v>
      </c>
      <c r="F43">
        <v>2</v>
      </c>
      <c r="G43">
        <v>0</v>
      </c>
      <c r="H43">
        <v>1</v>
      </c>
      <c r="I43">
        <v>1</v>
      </c>
      <c r="J43" s="4">
        <v>77.400000000000006</v>
      </c>
      <c r="K43" s="4">
        <f t="shared" si="0"/>
        <v>1.61</v>
      </c>
      <c r="L43">
        <v>161</v>
      </c>
      <c r="M43" s="4">
        <f t="shared" si="10"/>
        <v>19.969200000000004</v>
      </c>
      <c r="N43" s="4">
        <v>54.4</v>
      </c>
      <c r="O43" s="4">
        <v>25.8</v>
      </c>
      <c r="P43" s="40">
        <v>1</v>
      </c>
      <c r="Q43">
        <v>95.8</v>
      </c>
      <c r="R43" s="37">
        <v>1</v>
      </c>
      <c r="S43">
        <v>108.5</v>
      </c>
      <c r="T43" s="5">
        <f t="shared" si="1"/>
        <v>0.88294930875576039</v>
      </c>
      <c r="U43" s="37">
        <v>0</v>
      </c>
      <c r="V43" s="4">
        <f t="shared" si="2"/>
        <v>29.859959106515952</v>
      </c>
      <c r="W43" s="39">
        <v>1</v>
      </c>
      <c r="X43">
        <v>12</v>
      </c>
      <c r="Y43" s="37">
        <v>1</v>
      </c>
      <c r="Z43">
        <v>9.25</v>
      </c>
      <c r="AA43" s="23">
        <f t="shared" si="3"/>
        <v>2.0596666666666668</v>
      </c>
      <c r="AB43" s="84">
        <v>0</v>
      </c>
      <c r="AC43" s="5">
        <v>5.01</v>
      </c>
      <c r="AD43" s="37">
        <v>0</v>
      </c>
      <c r="AE43">
        <v>3</v>
      </c>
      <c r="AF43" s="5">
        <v>5.78</v>
      </c>
      <c r="AG43" s="37">
        <v>1</v>
      </c>
      <c r="AH43" s="5">
        <v>0.94</v>
      </c>
      <c r="AI43" s="37">
        <v>0</v>
      </c>
      <c r="AJ43" s="5">
        <v>4.3</v>
      </c>
      <c r="AK43" s="37">
        <v>1</v>
      </c>
      <c r="AL43" s="5">
        <v>1.05</v>
      </c>
      <c r="AM43" s="37">
        <v>0</v>
      </c>
      <c r="AN43" s="4">
        <f t="shared" si="4"/>
        <v>5.5047619047619047</v>
      </c>
      <c r="AO43" s="37">
        <v>1</v>
      </c>
      <c r="AP43">
        <v>132</v>
      </c>
      <c r="AQ43" s="37">
        <v>1</v>
      </c>
      <c r="AR43">
        <v>79</v>
      </c>
      <c r="AS43" s="37">
        <v>0</v>
      </c>
      <c r="AT43">
        <v>71</v>
      </c>
      <c r="AU43">
        <v>52</v>
      </c>
      <c r="AV43">
        <v>5.9</v>
      </c>
      <c r="AW43" s="37">
        <v>1</v>
      </c>
      <c r="AX43">
        <v>1531</v>
      </c>
      <c r="AY43">
        <v>36.200000000000003</v>
      </c>
      <c r="AZ43">
        <v>22.1</v>
      </c>
      <c r="BA43">
        <v>315.2</v>
      </c>
      <c r="BB43">
        <v>4.0999999999999996</v>
      </c>
      <c r="BC43">
        <v>257.60000000000002</v>
      </c>
      <c r="BD43">
        <v>41.5</v>
      </c>
      <c r="BE43">
        <v>27.3</v>
      </c>
      <c r="BF43">
        <v>86.3</v>
      </c>
      <c r="BG43">
        <v>13</v>
      </c>
      <c r="BH43">
        <v>9.5</v>
      </c>
      <c r="BI43">
        <v>77.2</v>
      </c>
      <c r="BJ43">
        <v>8</v>
      </c>
      <c r="BK43">
        <v>6.7</v>
      </c>
      <c r="BL43">
        <v>13.6</v>
      </c>
      <c r="BM43">
        <v>3.5</v>
      </c>
      <c r="BN43">
        <v>2.1</v>
      </c>
      <c r="BO43">
        <v>1.57</v>
      </c>
      <c r="BP43">
        <v>0.28999999999999998</v>
      </c>
      <c r="BQ43">
        <v>0</v>
      </c>
      <c r="BR43">
        <v>339</v>
      </c>
      <c r="BS43">
        <v>109.6</v>
      </c>
      <c r="BT43">
        <v>1938</v>
      </c>
      <c r="BU43">
        <v>990</v>
      </c>
      <c r="BV43">
        <v>5.82</v>
      </c>
      <c r="BW43">
        <v>5.29</v>
      </c>
      <c r="BX43">
        <v>0.94</v>
      </c>
      <c r="BY43">
        <v>50.2</v>
      </c>
      <c r="BZ43">
        <v>48.7</v>
      </c>
      <c r="CA43">
        <v>0.42</v>
      </c>
      <c r="CB43">
        <v>0.48</v>
      </c>
      <c r="CC43">
        <v>13.1</v>
      </c>
      <c r="CD43">
        <v>0.64</v>
      </c>
      <c r="CE43">
        <v>1.4</v>
      </c>
      <c r="CF43">
        <v>117.3</v>
      </c>
      <c r="CG43">
        <v>26.7</v>
      </c>
      <c r="CH43">
        <v>295</v>
      </c>
      <c r="CI43">
        <v>1.87</v>
      </c>
      <c r="CJ43">
        <v>0.7</v>
      </c>
      <c r="CK43">
        <v>2</v>
      </c>
      <c r="CL43" s="42" t="str">
        <f t="shared" si="5"/>
        <v>1</v>
      </c>
      <c r="CM43" s="4">
        <v>45.333333333333336</v>
      </c>
      <c r="CN43" s="4">
        <v>0.90666666666666673</v>
      </c>
      <c r="CO43">
        <v>3</v>
      </c>
      <c r="CP43" s="42" t="str">
        <f t="shared" si="6"/>
        <v>1</v>
      </c>
      <c r="CQ43" s="4">
        <v>27</v>
      </c>
      <c r="CR43" s="4">
        <v>0.40123456790123457</v>
      </c>
      <c r="CS43" s="43" t="str">
        <f t="shared" si="7"/>
        <v>1</v>
      </c>
      <c r="CT43" s="4">
        <f t="shared" si="8"/>
        <v>72.333333333333343</v>
      </c>
      <c r="CU43" s="4">
        <f t="shared" si="9"/>
        <v>1.3079012345679013</v>
      </c>
      <c r="CV43" s="4">
        <v>1</v>
      </c>
    </row>
    <row r="44" spans="1:100" x14ac:dyDescent="0.3">
      <c r="A44" s="15" t="s">
        <v>79</v>
      </c>
      <c r="B44" s="17">
        <v>0</v>
      </c>
      <c r="C44" s="3">
        <v>43</v>
      </c>
      <c r="D44">
        <v>2</v>
      </c>
      <c r="E44">
        <v>2</v>
      </c>
      <c r="F44">
        <v>2</v>
      </c>
      <c r="G44">
        <v>0</v>
      </c>
      <c r="H44">
        <v>1</v>
      </c>
      <c r="I44">
        <v>0</v>
      </c>
      <c r="J44" s="4">
        <v>63</v>
      </c>
      <c r="K44" s="4">
        <f t="shared" si="0"/>
        <v>1.68</v>
      </c>
      <c r="L44">
        <v>168</v>
      </c>
      <c r="M44" s="4">
        <f t="shared" si="10"/>
        <v>11.906999999999998</v>
      </c>
      <c r="N44" s="4">
        <v>48.4</v>
      </c>
      <c r="O44" s="4">
        <v>18.899999999999999</v>
      </c>
      <c r="P44" s="40">
        <v>0</v>
      </c>
      <c r="Q44">
        <v>86.7</v>
      </c>
      <c r="R44" s="37">
        <v>0</v>
      </c>
      <c r="S44">
        <v>94.5</v>
      </c>
      <c r="T44" s="5">
        <f t="shared" si="1"/>
        <v>0.91746031746031753</v>
      </c>
      <c r="U44" s="37">
        <v>1</v>
      </c>
      <c r="V44" s="4">
        <f t="shared" si="2"/>
        <v>22.321428571428577</v>
      </c>
      <c r="W44" s="39">
        <v>0</v>
      </c>
      <c r="X44">
        <v>8</v>
      </c>
      <c r="Y44" s="40">
        <v>0</v>
      </c>
      <c r="Z44">
        <v>10.5</v>
      </c>
      <c r="AA44" s="23">
        <f t="shared" si="3"/>
        <v>3.0006666666666666</v>
      </c>
      <c r="AB44" s="84">
        <v>1</v>
      </c>
      <c r="AC44" s="5">
        <v>6.43</v>
      </c>
      <c r="AD44" s="37">
        <v>1</v>
      </c>
      <c r="AE44">
        <v>34.270000000000003</v>
      </c>
      <c r="AF44" s="5">
        <v>5.82</v>
      </c>
      <c r="AG44" s="37">
        <v>1</v>
      </c>
      <c r="AH44" s="5">
        <v>1.82</v>
      </c>
      <c r="AI44" s="37">
        <v>1</v>
      </c>
      <c r="AJ44" s="5">
        <v>3.99</v>
      </c>
      <c r="AK44" s="37">
        <v>1</v>
      </c>
      <c r="AL44" s="5">
        <v>1.01</v>
      </c>
      <c r="AM44" s="37">
        <v>0</v>
      </c>
      <c r="AN44" s="4">
        <f t="shared" si="4"/>
        <v>5.7623762376237622</v>
      </c>
      <c r="AO44" s="37">
        <v>1</v>
      </c>
      <c r="AP44">
        <v>120</v>
      </c>
      <c r="AQ44" s="38">
        <v>0</v>
      </c>
      <c r="AR44">
        <v>79</v>
      </c>
      <c r="AS44" s="37">
        <v>0</v>
      </c>
      <c r="AT44">
        <v>72</v>
      </c>
      <c r="AU44">
        <v>41</v>
      </c>
      <c r="AV44">
        <v>6.3</v>
      </c>
      <c r="AW44" s="37">
        <v>1</v>
      </c>
      <c r="AX44">
        <v>1924</v>
      </c>
      <c r="AY44">
        <v>48.7</v>
      </c>
      <c r="AZ44">
        <v>60.7</v>
      </c>
      <c r="BA44">
        <v>314.89999999999998</v>
      </c>
      <c r="BB44">
        <v>9.4</v>
      </c>
      <c r="BC44">
        <v>228.4</v>
      </c>
      <c r="BD44">
        <v>72.8</v>
      </c>
      <c r="BE44">
        <v>61.6</v>
      </c>
      <c r="BF44">
        <v>181.8</v>
      </c>
      <c r="BG44">
        <v>28.4</v>
      </c>
      <c r="BH44">
        <v>10.1</v>
      </c>
      <c r="BI44">
        <v>61.4</v>
      </c>
      <c r="BJ44">
        <v>19</v>
      </c>
      <c r="BK44">
        <v>12</v>
      </c>
      <c r="BL44">
        <v>40.700000000000003</v>
      </c>
      <c r="BM44">
        <v>8.5</v>
      </c>
      <c r="BN44">
        <v>2.1</v>
      </c>
      <c r="BO44">
        <v>1.84</v>
      </c>
      <c r="BP44">
        <v>0.13</v>
      </c>
      <c r="BQ44">
        <v>0.18</v>
      </c>
      <c r="BR44">
        <v>454</v>
      </c>
      <c r="BS44">
        <v>172.9</v>
      </c>
      <c r="BT44">
        <v>3249</v>
      </c>
      <c r="BU44">
        <v>1689</v>
      </c>
      <c r="BV44">
        <v>11.61</v>
      </c>
      <c r="BW44">
        <v>6.29</v>
      </c>
      <c r="BX44">
        <v>1.46</v>
      </c>
      <c r="BY44">
        <v>26.7</v>
      </c>
      <c r="BZ44">
        <v>48.5</v>
      </c>
      <c r="CA44">
        <v>0.59</v>
      </c>
      <c r="CB44">
        <v>0.5</v>
      </c>
      <c r="CC44">
        <v>15.8</v>
      </c>
      <c r="CD44">
        <v>0.73</v>
      </c>
      <c r="CE44">
        <v>1.58</v>
      </c>
      <c r="CF44">
        <v>168.3</v>
      </c>
      <c r="CG44">
        <v>89.5</v>
      </c>
      <c r="CH44">
        <v>446</v>
      </c>
      <c r="CI44">
        <v>1.01</v>
      </c>
      <c r="CJ44">
        <v>2.2000000000000002</v>
      </c>
      <c r="CK44">
        <v>2</v>
      </c>
      <c r="CL44" s="42" t="str">
        <f t="shared" si="5"/>
        <v>1</v>
      </c>
      <c r="CM44" s="4">
        <v>45.333333333333336</v>
      </c>
      <c r="CN44" s="4">
        <v>0.90666666666666673</v>
      </c>
      <c r="CO44">
        <v>6</v>
      </c>
      <c r="CP44" s="42" t="str">
        <f t="shared" si="6"/>
        <v>1</v>
      </c>
      <c r="CQ44" s="4">
        <v>129</v>
      </c>
      <c r="CR44" s="4">
        <v>2.2691358024691359</v>
      </c>
      <c r="CS44" s="43" t="str">
        <f t="shared" si="7"/>
        <v>2</v>
      </c>
      <c r="CT44" s="4">
        <f t="shared" si="8"/>
        <v>174.33333333333334</v>
      </c>
      <c r="CU44" s="4">
        <f t="shared" si="9"/>
        <v>3.1758024691358027</v>
      </c>
      <c r="CV44" s="4">
        <v>3</v>
      </c>
    </row>
    <row r="45" spans="1:100" x14ac:dyDescent="0.3">
      <c r="A45" s="15" t="s">
        <v>120</v>
      </c>
      <c r="B45" s="17">
        <v>0</v>
      </c>
      <c r="C45" s="3">
        <v>46</v>
      </c>
      <c r="D45">
        <v>2</v>
      </c>
      <c r="E45">
        <v>1</v>
      </c>
      <c r="F45">
        <v>2</v>
      </c>
      <c r="G45">
        <v>0</v>
      </c>
      <c r="H45">
        <v>0</v>
      </c>
      <c r="I45">
        <v>1</v>
      </c>
      <c r="J45" s="4">
        <v>73.8</v>
      </c>
      <c r="K45" s="4">
        <f t="shared" si="0"/>
        <v>1.7</v>
      </c>
      <c r="L45">
        <v>170</v>
      </c>
      <c r="M45" s="4">
        <f t="shared" si="10"/>
        <v>17.416800000000002</v>
      </c>
      <c r="N45" s="4">
        <v>53.5</v>
      </c>
      <c r="O45" s="4">
        <v>23.6</v>
      </c>
      <c r="P45" s="40">
        <v>1</v>
      </c>
      <c r="Q45">
        <v>99.2</v>
      </c>
      <c r="R45" s="37">
        <v>1</v>
      </c>
      <c r="S45">
        <v>104.1</v>
      </c>
      <c r="T45" s="5">
        <f t="shared" si="1"/>
        <v>0.95292987512007687</v>
      </c>
      <c r="U45" s="37">
        <v>1</v>
      </c>
      <c r="V45" s="4">
        <f t="shared" si="2"/>
        <v>25.536332179930799</v>
      </c>
      <c r="W45" s="39">
        <v>1</v>
      </c>
      <c r="X45">
        <v>12</v>
      </c>
      <c r="Y45" s="37">
        <v>1</v>
      </c>
      <c r="Z45">
        <v>8.31</v>
      </c>
      <c r="AA45" s="23">
        <f t="shared" si="3"/>
        <v>1.9426933333333334</v>
      </c>
      <c r="AB45" s="84">
        <v>0</v>
      </c>
      <c r="AC45" s="5">
        <v>5.26</v>
      </c>
      <c r="AD45" s="37">
        <v>0</v>
      </c>
      <c r="AE45">
        <v>23.57</v>
      </c>
      <c r="AF45" s="5">
        <v>8.9</v>
      </c>
      <c r="AG45" s="37">
        <v>1</v>
      </c>
      <c r="AH45" s="5">
        <v>2.11</v>
      </c>
      <c r="AI45" s="37">
        <v>1</v>
      </c>
      <c r="AJ45" s="5">
        <v>6.89</v>
      </c>
      <c r="AK45" s="37">
        <v>1</v>
      </c>
      <c r="AL45" s="5">
        <v>1.05</v>
      </c>
      <c r="AM45" s="37">
        <v>0</v>
      </c>
      <c r="AN45" s="4">
        <f t="shared" si="4"/>
        <v>8.4761904761904763</v>
      </c>
      <c r="AO45" s="37">
        <v>1</v>
      </c>
      <c r="AP45">
        <v>115</v>
      </c>
      <c r="AQ45" s="38">
        <v>0</v>
      </c>
      <c r="AR45">
        <v>78</v>
      </c>
      <c r="AS45" s="37">
        <v>0</v>
      </c>
      <c r="AT45">
        <v>67</v>
      </c>
      <c r="AU45">
        <v>37</v>
      </c>
      <c r="AV45">
        <v>6.4</v>
      </c>
      <c r="AW45" s="37">
        <v>1</v>
      </c>
      <c r="AX45">
        <v>1193</v>
      </c>
      <c r="AY45">
        <v>32.200000000000003</v>
      </c>
      <c r="AZ45">
        <v>31.3</v>
      </c>
      <c r="BA45">
        <v>208.6</v>
      </c>
      <c r="BB45">
        <v>8.1999999999999993</v>
      </c>
      <c r="BC45">
        <v>177.4</v>
      </c>
      <c r="BD45">
        <v>21.3</v>
      </c>
      <c r="BE45">
        <v>12.7</v>
      </c>
      <c r="BF45">
        <v>11.2</v>
      </c>
      <c r="BG45">
        <v>23.6</v>
      </c>
      <c r="BH45">
        <v>10.8</v>
      </c>
      <c r="BI45">
        <v>65.5</v>
      </c>
      <c r="BJ45">
        <v>17.600000000000001</v>
      </c>
      <c r="BK45">
        <v>4</v>
      </c>
      <c r="BL45">
        <v>23.4</v>
      </c>
      <c r="BM45">
        <v>2.8</v>
      </c>
      <c r="BN45">
        <v>2.1</v>
      </c>
      <c r="BO45">
        <v>1.69</v>
      </c>
      <c r="BP45">
        <v>0.28999999999999998</v>
      </c>
      <c r="BQ45">
        <v>0</v>
      </c>
      <c r="BR45">
        <v>227</v>
      </c>
      <c r="BS45">
        <v>127.1</v>
      </c>
      <c r="BT45">
        <v>1969</v>
      </c>
      <c r="BU45">
        <v>1046</v>
      </c>
      <c r="BV45">
        <v>7.04</v>
      </c>
      <c r="BW45">
        <v>3.97</v>
      </c>
      <c r="BX45">
        <v>1</v>
      </c>
      <c r="BY45">
        <v>52.9</v>
      </c>
      <c r="BZ45">
        <v>30.7</v>
      </c>
      <c r="CA45">
        <v>0.47</v>
      </c>
      <c r="CB45">
        <v>0.22</v>
      </c>
      <c r="CC45">
        <v>12.8</v>
      </c>
      <c r="CD45">
        <v>0.57999999999999996</v>
      </c>
      <c r="CE45">
        <v>1.59</v>
      </c>
      <c r="CF45">
        <v>112.2</v>
      </c>
      <c r="CG45">
        <v>4.9000000000000004</v>
      </c>
      <c r="CH45">
        <v>60</v>
      </c>
      <c r="CI45">
        <v>1.86</v>
      </c>
      <c r="CJ45">
        <v>0.7</v>
      </c>
      <c r="CK45">
        <v>1</v>
      </c>
      <c r="CL45" s="42" t="str">
        <f t="shared" si="5"/>
        <v>1</v>
      </c>
      <c r="CM45">
        <v>16</v>
      </c>
      <c r="CN45" s="4">
        <v>0.32</v>
      </c>
      <c r="CO45">
        <v>0</v>
      </c>
      <c r="CP45" s="42" t="str">
        <f t="shared" si="6"/>
        <v>1</v>
      </c>
      <c r="CQ45" s="4">
        <v>0</v>
      </c>
      <c r="CR45" s="4">
        <v>0</v>
      </c>
      <c r="CS45" s="43" t="str">
        <f t="shared" si="7"/>
        <v>1</v>
      </c>
      <c r="CT45" s="4">
        <f t="shared" si="8"/>
        <v>16</v>
      </c>
      <c r="CU45" s="4">
        <f t="shared" si="9"/>
        <v>0.32</v>
      </c>
      <c r="CV45" s="4">
        <v>1</v>
      </c>
    </row>
    <row r="46" spans="1:100" x14ac:dyDescent="0.3">
      <c r="A46" s="15" t="s">
        <v>121</v>
      </c>
      <c r="B46" s="17">
        <v>0</v>
      </c>
      <c r="C46" s="3">
        <v>42</v>
      </c>
      <c r="D46">
        <v>1</v>
      </c>
      <c r="E46">
        <v>3</v>
      </c>
      <c r="F46">
        <v>2</v>
      </c>
      <c r="G46">
        <v>0</v>
      </c>
      <c r="H46">
        <v>1</v>
      </c>
      <c r="I46">
        <v>1</v>
      </c>
      <c r="J46" s="4">
        <v>89</v>
      </c>
      <c r="K46" s="4">
        <f t="shared" si="0"/>
        <v>1.77</v>
      </c>
      <c r="L46">
        <v>177</v>
      </c>
      <c r="M46" s="4">
        <f t="shared" si="10"/>
        <v>27.945999999999998</v>
      </c>
      <c r="N46" s="4">
        <v>57.9</v>
      </c>
      <c r="O46" s="4">
        <v>31.4</v>
      </c>
      <c r="P46" s="40">
        <v>1</v>
      </c>
      <c r="Q46">
        <v>100.2</v>
      </c>
      <c r="R46" s="37">
        <v>1</v>
      </c>
      <c r="S46">
        <v>107.4</v>
      </c>
      <c r="T46" s="5">
        <f t="shared" si="1"/>
        <v>0.93296089385474856</v>
      </c>
      <c r="U46" s="37">
        <v>1</v>
      </c>
      <c r="V46" s="4">
        <f t="shared" si="2"/>
        <v>28.408184110568481</v>
      </c>
      <c r="W46" s="39">
        <v>1</v>
      </c>
      <c r="X46">
        <v>16</v>
      </c>
      <c r="Y46" s="37">
        <v>1</v>
      </c>
      <c r="Z46">
        <v>28.19</v>
      </c>
      <c r="AA46" s="23">
        <f t="shared" si="3"/>
        <v>5.8259333333333343</v>
      </c>
      <c r="AB46" s="84">
        <v>1</v>
      </c>
      <c r="AC46" s="5">
        <v>4.6500000000000004</v>
      </c>
      <c r="AD46" s="37">
        <v>0</v>
      </c>
      <c r="AE46">
        <v>3</v>
      </c>
      <c r="AF46" s="5">
        <v>5.88</v>
      </c>
      <c r="AG46" s="37">
        <v>1</v>
      </c>
      <c r="AH46" s="5">
        <v>1.75</v>
      </c>
      <c r="AI46" s="37">
        <v>1</v>
      </c>
      <c r="AJ46" s="5">
        <v>4.25</v>
      </c>
      <c r="AK46" s="37">
        <v>1</v>
      </c>
      <c r="AL46" s="5">
        <v>0.84</v>
      </c>
      <c r="AM46" s="37">
        <v>1</v>
      </c>
      <c r="AN46" s="4">
        <f t="shared" si="4"/>
        <v>7</v>
      </c>
      <c r="AO46" s="37">
        <v>1</v>
      </c>
      <c r="AP46">
        <v>131</v>
      </c>
      <c r="AQ46" s="37">
        <v>1</v>
      </c>
      <c r="AR46">
        <v>100</v>
      </c>
      <c r="AS46" s="37">
        <v>1</v>
      </c>
      <c r="AT46">
        <v>68</v>
      </c>
      <c r="AU46">
        <v>31</v>
      </c>
      <c r="AV46">
        <v>6.5</v>
      </c>
      <c r="AW46" s="37">
        <v>1</v>
      </c>
      <c r="AX46">
        <v>1791</v>
      </c>
      <c r="AY46">
        <v>43.1</v>
      </c>
      <c r="AZ46">
        <v>37.4</v>
      </c>
      <c r="BA46">
        <v>340.2</v>
      </c>
      <c r="BB46">
        <v>5</v>
      </c>
      <c r="BC46">
        <v>228.3</v>
      </c>
      <c r="BD46">
        <v>83.5</v>
      </c>
      <c r="BE46">
        <v>75.599999999999994</v>
      </c>
      <c r="BF46">
        <v>36.1</v>
      </c>
      <c r="BG46">
        <v>18.8</v>
      </c>
      <c r="BH46">
        <v>9.6</v>
      </c>
      <c r="BI46">
        <v>71.2</v>
      </c>
      <c r="BJ46">
        <v>11.9</v>
      </c>
      <c r="BK46">
        <v>15.8</v>
      </c>
      <c r="BL46">
        <v>23.7</v>
      </c>
      <c r="BM46">
        <v>2.9</v>
      </c>
      <c r="BN46">
        <v>1.5</v>
      </c>
      <c r="BO46">
        <v>0.97</v>
      </c>
      <c r="BP46">
        <v>0.26</v>
      </c>
      <c r="BQ46">
        <v>0</v>
      </c>
      <c r="BR46">
        <v>474</v>
      </c>
      <c r="BS46">
        <v>160.19999999999999</v>
      </c>
      <c r="BT46">
        <v>2902</v>
      </c>
      <c r="BU46">
        <v>1584</v>
      </c>
      <c r="BV46">
        <v>15.79</v>
      </c>
      <c r="BW46">
        <v>5.72</v>
      </c>
      <c r="BX46">
        <v>1.06</v>
      </c>
      <c r="BY46">
        <v>18</v>
      </c>
      <c r="BZ46">
        <v>10.8</v>
      </c>
      <c r="CA46">
        <v>0.48</v>
      </c>
      <c r="CB46">
        <v>0.64</v>
      </c>
      <c r="CC46">
        <v>12.6</v>
      </c>
      <c r="CD46">
        <v>1.29</v>
      </c>
      <c r="CE46">
        <v>2.13</v>
      </c>
      <c r="CF46">
        <v>168.2</v>
      </c>
      <c r="CG46">
        <v>32.299999999999997</v>
      </c>
      <c r="CH46">
        <v>411</v>
      </c>
      <c r="CI46">
        <v>1.64</v>
      </c>
      <c r="CJ46">
        <v>1.1000000000000001</v>
      </c>
      <c r="CK46">
        <v>0</v>
      </c>
      <c r="CL46" s="42" t="str">
        <f t="shared" si="5"/>
        <v>1</v>
      </c>
      <c r="CM46">
        <v>0</v>
      </c>
      <c r="CN46" s="4">
        <v>0</v>
      </c>
      <c r="CO46">
        <v>3</v>
      </c>
      <c r="CP46" s="42" t="str">
        <f t="shared" si="6"/>
        <v>1</v>
      </c>
      <c r="CQ46" s="4">
        <v>129</v>
      </c>
      <c r="CR46" s="4">
        <v>1.4567901234567899</v>
      </c>
      <c r="CS46" s="43" t="str">
        <f t="shared" si="7"/>
        <v>1</v>
      </c>
      <c r="CT46" s="4">
        <f t="shared" si="8"/>
        <v>129</v>
      </c>
      <c r="CU46" s="4">
        <f t="shared" si="9"/>
        <v>1.4567901234567899</v>
      </c>
      <c r="CV46" s="4">
        <v>1</v>
      </c>
    </row>
    <row r="47" spans="1:100" ht="15" customHeight="1" x14ac:dyDescent="0.3">
      <c r="A47" s="15" t="s">
        <v>122</v>
      </c>
      <c r="B47" s="17">
        <v>0</v>
      </c>
      <c r="C47" s="3">
        <v>49</v>
      </c>
      <c r="D47" s="7">
        <v>1</v>
      </c>
      <c r="E47" s="7">
        <v>3</v>
      </c>
      <c r="F47">
        <v>2</v>
      </c>
      <c r="G47">
        <v>0</v>
      </c>
      <c r="H47">
        <v>1</v>
      </c>
      <c r="I47">
        <v>0</v>
      </c>
      <c r="J47" s="4">
        <v>66.900000000000006</v>
      </c>
      <c r="K47" s="4">
        <f t="shared" si="0"/>
        <v>1.7050000000000001</v>
      </c>
      <c r="L47">
        <v>170.5</v>
      </c>
      <c r="M47" s="4">
        <f t="shared" si="10"/>
        <v>14.049000000000001</v>
      </c>
      <c r="N47" s="4">
        <v>50.1</v>
      </c>
      <c r="O47" s="4">
        <v>21</v>
      </c>
      <c r="P47" s="40">
        <v>0</v>
      </c>
      <c r="Q47">
        <v>84</v>
      </c>
      <c r="R47" s="37">
        <v>0</v>
      </c>
      <c r="S47">
        <v>97</v>
      </c>
      <c r="T47" s="5">
        <f t="shared" si="1"/>
        <v>0.865979381443299</v>
      </c>
      <c r="U47" s="37">
        <v>0</v>
      </c>
      <c r="V47" s="4">
        <f t="shared" si="2"/>
        <v>23.013217980581523</v>
      </c>
      <c r="W47" s="39">
        <v>1</v>
      </c>
      <c r="X47">
        <v>10</v>
      </c>
      <c r="Y47" s="37">
        <v>1</v>
      </c>
      <c r="Z47">
        <v>7.37</v>
      </c>
      <c r="AA47" s="23">
        <f t="shared" si="3"/>
        <v>1.5490691822222222</v>
      </c>
      <c r="AB47" s="84">
        <v>0</v>
      </c>
      <c r="AC47" s="5">
        <v>4.7291800000000004</v>
      </c>
      <c r="AD47" s="37">
        <v>0</v>
      </c>
      <c r="AE47" s="5">
        <v>23.653600000000001</v>
      </c>
      <c r="AF47" s="5">
        <v>4.8938300000000003</v>
      </c>
      <c r="AG47" s="37">
        <v>0</v>
      </c>
      <c r="AH47" s="5">
        <v>1.2765</v>
      </c>
      <c r="AI47" s="37">
        <v>0</v>
      </c>
      <c r="AJ47" s="5">
        <v>3.2452299999999998</v>
      </c>
      <c r="AK47" s="37">
        <v>0</v>
      </c>
      <c r="AL47" s="5">
        <v>1.06837</v>
      </c>
      <c r="AM47" s="37">
        <v>0</v>
      </c>
      <c r="AN47" s="4">
        <f t="shared" si="4"/>
        <v>4.580650898097101</v>
      </c>
      <c r="AO47" s="37">
        <v>1</v>
      </c>
      <c r="AP47">
        <v>108</v>
      </c>
      <c r="AQ47" s="38">
        <v>0</v>
      </c>
      <c r="AR47">
        <v>73</v>
      </c>
      <c r="AS47" s="37">
        <v>0</v>
      </c>
      <c r="AT47">
        <v>69</v>
      </c>
      <c r="AU47">
        <v>35</v>
      </c>
      <c r="AV47">
        <v>6.6</v>
      </c>
      <c r="AW47" s="37">
        <v>1</v>
      </c>
      <c r="AX47">
        <v>2191</v>
      </c>
      <c r="AY47">
        <v>53.9</v>
      </c>
      <c r="AZ47">
        <v>52.3</v>
      </c>
      <c r="BA47">
        <v>399.8</v>
      </c>
      <c r="BB47">
        <v>8.5</v>
      </c>
      <c r="BC47">
        <v>301.3</v>
      </c>
      <c r="BD47">
        <v>77.099999999999994</v>
      </c>
      <c r="BE47">
        <v>51</v>
      </c>
      <c r="BF47">
        <v>123.9</v>
      </c>
      <c r="BG47">
        <v>21.5</v>
      </c>
      <c r="BH47">
        <v>9.8000000000000007</v>
      </c>
      <c r="BI47">
        <v>68.400000000000006</v>
      </c>
      <c r="BJ47">
        <v>14.8</v>
      </c>
      <c r="BK47">
        <v>8.6999999999999993</v>
      </c>
      <c r="BL47">
        <v>36.1</v>
      </c>
      <c r="BM47">
        <v>5.0999999999999996</v>
      </c>
      <c r="BN47">
        <v>2.2999999999999998</v>
      </c>
      <c r="BO47">
        <v>1.75</v>
      </c>
      <c r="BP47">
        <v>0.16</v>
      </c>
      <c r="BQ47">
        <v>0.21</v>
      </c>
      <c r="BR47">
        <v>442</v>
      </c>
      <c r="BS47">
        <v>235.2</v>
      </c>
      <c r="BT47">
        <v>3249</v>
      </c>
      <c r="BU47">
        <v>2211</v>
      </c>
      <c r="BV47">
        <v>12.69</v>
      </c>
      <c r="BW47">
        <v>8.43</v>
      </c>
      <c r="BX47">
        <v>1.92</v>
      </c>
      <c r="BY47">
        <v>51.8</v>
      </c>
      <c r="BZ47">
        <v>72.099999999999994</v>
      </c>
      <c r="CA47">
        <v>0.55000000000000004</v>
      </c>
      <c r="CB47">
        <v>0.82</v>
      </c>
      <c r="CC47">
        <v>14.8</v>
      </c>
      <c r="CD47">
        <v>1.17</v>
      </c>
      <c r="CE47">
        <v>1.87</v>
      </c>
      <c r="CF47">
        <v>239.8</v>
      </c>
      <c r="CG47">
        <v>24.4</v>
      </c>
      <c r="CH47">
        <v>420</v>
      </c>
      <c r="CI47">
        <v>0.97</v>
      </c>
      <c r="CJ47">
        <v>1.8</v>
      </c>
      <c r="CK47">
        <v>1</v>
      </c>
      <c r="CL47" s="42" t="str">
        <f t="shared" si="5"/>
        <v>2</v>
      </c>
      <c r="CM47">
        <v>104</v>
      </c>
      <c r="CN47" s="4">
        <v>2.08</v>
      </c>
      <c r="CO47">
        <v>4</v>
      </c>
      <c r="CP47" s="42" t="str">
        <f t="shared" si="6"/>
        <v>1</v>
      </c>
      <c r="CQ47" s="4">
        <v>61</v>
      </c>
      <c r="CR47" s="4">
        <v>1.2876543209876543</v>
      </c>
      <c r="CS47" s="43" t="str">
        <f t="shared" si="7"/>
        <v>2</v>
      </c>
      <c r="CT47" s="4">
        <f t="shared" si="8"/>
        <v>165</v>
      </c>
      <c r="CU47" s="4">
        <f t="shared" si="9"/>
        <v>3.3676543209876542</v>
      </c>
      <c r="CV47" s="4">
        <v>3</v>
      </c>
    </row>
    <row r="48" spans="1:100" ht="12.75" customHeight="1" x14ac:dyDescent="0.3">
      <c r="A48" s="15" t="s">
        <v>123</v>
      </c>
      <c r="B48" s="17">
        <v>0</v>
      </c>
      <c r="C48" s="3">
        <v>40</v>
      </c>
      <c r="D48" s="7">
        <v>1</v>
      </c>
      <c r="E48" s="7">
        <v>3</v>
      </c>
      <c r="F48">
        <v>2</v>
      </c>
      <c r="G48">
        <v>0</v>
      </c>
      <c r="H48">
        <v>0</v>
      </c>
      <c r="I48">
        <v>1</v>
      </c>
      <c r="J48" s="4">
        <v>85.6</v>
      </c>
      <c r="K48" s="4">
        <f t="shared" si="0"/>
        <v>1.7</v>
      </c>
      <c r="L48">
        <v>170</v>
      </c>
      <c r="M48" s="4">
        <f t="shared" si="10"/>
        <v>28.162399999999998</v>
      </c>
      <c r="N48" s="4">
        <v>34.4</v>
      </c>
      <c r="O48" s="4">
        <v>32.9</v>
      </c>
      <c r="P48" s="40">
        <v>1</v>
      </c>
      <c r="Q48">
        <v>104</v>
      </c>
      <c r="R48" s="37">
        <v>1</v>
      </c>
      <c r="S48">
        <v>108</v>
      </c>
      <c r="T48" s="5">
        <f t="shared" si="1"/>
        <v>0.96296296296296291</v>
      </c>
      <c r="U48" s="37">
        <v>1</v>
      </c>
      <c r="V48" s="4">
        <f t="shared" si="2"/>
        <v>29.61937716262976</v>
      </c>
      <c r="W48" s="39">
        <v>1</v>
      </c>
      <c r="X48">
        <v>16</v>
      </c>
      <c r="Y48" s="37">
        <v>1</v>
      </c>
      <c r="AA48" s="23"/>
      <c r="AB48" s="84"/>
      <c r="AC48" s="5">
        <v>6.3192899999999996</v>
      </c>
      <c r="AD48" s="37">
        <v>1</v>
      </c>
      <c r="AE48" s="5">
        <v>18.852419999999999</v>
      </c>
      <c r="AF48" s="5">
        <v>6.4813099999999997</v>
      </c>
      <c r="AG48" s="37">
        <v>1</v>
      </c>
      <c r="AH48" s="5">
        <v>3.5063599999999999</v>
      </c>
      <c r="AI48" s="37">
        <v>1</v>
      </c>
      <c r="AJ48" s="5">
        <v>3.6800999999999999</v>
      </c>
      <c r="AK48" s="37">
        <v>1</v>
      </c>
      <c r="AL48" s="5">
        <v>1.2074100000000001</v>
      </c>
      <c r="AM48" s="37">
        <v>0</v>
      </c>
      <c r="AN48" s="4">
        <f t="shared" si="4"/>
        <v>5.3679446087078944</v>
      </c>
      <c r="AO48" s="37">
        <v>1</v>
      </c>
      <c r="AP48">
        <v>135</v>
      </c>
      <c r="AQ48" s="37">
        <v>1</v>
      </c>
      <c r="AR48">
        <v>92</v>
      </c>
      <c r="AS48" s="37">
        <v>1</v>
      </c>
      <c r="AT48">
        <v>81</v>
      </c>
      <c r="AU48">
        <v>43</v>
      </c>
      <c r="AV48">
        <v>6.6</v>
      </c>
      <c r="AW48" s="37">
        <v>1</v>
      </c>
      <c r="AX48">
        <v>3434</v>
      </c>
      <c r="AY48">
        <v>118</v>
      </c>
      <c r="AZ48">
        <v>121.4</v>
      </c>
      <c r="BA48">
        <v>497.4</v>
      </c>
      <c r="BB48">
        <v>20.5</v>
      </c>
      <c r="BC48">
        <v>397.3</v>
      </c>
      <c r="BD48">
        <v>64.8</v>
      </c>
      <c r="BE48">
        <v>37.4</v>
      </c>
      <c r="BF48">
        <v>383.7</v>
      </c>
      <c r="BG48">
        <v>31.8</v>
      </c>
      <c r="BH48">
        <v>13.7</v>
      </c>
      <c r="BI48">
        <v>54.3</v>
      </c>
      <c r="BJ48">
        <v>23.4</v>
      </c>
      <c r="BK48">
        <v>4.0999999999999996</v>
      </c>
      <c r="BL48">
        <v>89.2</v>
      </c>
      <c r="BM48">
        <v>12.3</v>
      </c>
      <c r="BN48">
        <v>5.6</v>
      </c>
      <c r="BO48">
        <v>4.5999999999999996</v>
      </c>
      <c r="BP48">
        <v>0.83</v>
      </c>
      <c r="BQ48">
        <v>0</v>
      </c>
      <c r="BR48">
        <v>878</v>
      </c>
      <c r="BS48">
        <v>401.8</v>
      </c>
      <c r="BT48">
        <v>6917</v>
      </c>
      <c r="BU48">
        <v>3872</v>
      </c>
      <c r="BV48">
        <v>25.38</v>
      </c>
      <c r="BW48">
        <v>12.34</v>
      </c>
      <c r="BX48">
        <v>2.66</v>
      </c>
      <c r="BY48">
        <v>122.6</v>
      </c>
      <c r="BZ48">
        <v>98.3</v>
      </c>
      <c r="CA48">
        <v>1.26</v>
      </c>
      <c r="CB48">
        <v>1.24</v>
      </c>
      <c r="CC48">
        <v>41.2</v>
      </c>
      <c r="CD48">
        <v>1.81</v>
      </c>
      <c r="CE48">
        <v>5.41</v>
      </c>
      <c r="CF48">
        <v>367.6</v>
      </c>
      <c r="CG48">
        <v>51.1</v>
      </c>
      <c r="CH48">
        <v>1307</v>
      </c>
      <c r="CI48">
        <v>6.15</v>
      </c>
      <c r="CJ48">
        <v>3.7</v>
      </c>
      <c r="CK48">
        <v>0</v>
      </c>
      <c r="CL48" s="42" t="str">
        <f t="shared" si="5"/>
        <v>1</v>
      </c>
      <c r="CM48">
        <v>0</v>
      </c>
      <c r="CN48" s="4">
        <v>0</v>
      </c>
      <c r="CO48">
        <v>6</v>
      </c>
      <c r="CP48" s="42" t="str">
        <f t="shared" si="6"/>
        <v>2</v>
      </c>
      <c r="CQ48" s="4">
        <v>209</v>
      </c>
      <c r="CR48" s="4">
        <v>3.8395061728395063</v>
      </c>
      <c r="CS48" s="43" t="str">
        <f t="shared" si="7"/>
        <v>2</v>
      </c>
      <c r="CT48" s="4">
        <f t="shared" si="8"/>
        <v>209</v>
      </c>
      <c r="CU48" s="4">
        <f t="shared" si="9"/>
        <v>3.8395061728395063</v>
      </c>
      <c r="CV48" s="4">
        <v>3</v>
      </c>
    </row>
    <row r="49" spans="1:100" x14ac:dyDescent="0.3">
      <c r="A49" s="15" t="s">
        <v>124</v>
      </c>
      <c r="B49" s="17">
        <v>0</v>
      </c>
      <c r="C49" s="3">
        <v>40</v>
      </c>
      <c r="D49">
        <v>3</v>
      </c>
      <c r="E49">
        <v>2</v>
      </c>
      <c r="F49">
        <v>1</v>
      </c>
      <c r="G49">
        <v>0</v>
      </c>
      <c r="H49">
        <v>0</v>
      </c>
      <c r="I49">
        <v>1</v>
      </c>
      <c r="J49" s="4">
        <v>63.7</v>
      </c>
      <c r="K49" s="4">
        <f t="shared" si="0"/>
        <v>1.71</v>
      </c>
      <c r="L49">
        <v>171</v>
      </c>
      <c r="M49" s="4">
        <f t="shared" si="10"/>
        <v>12.9948</v>
      </c>
      <c r="N49" s="4">
        <v>48.1</v>
      </c>
      <c r="O49" s="4">
        <v>20.399999999999999</v>
      </c>
      <c r="P49" s="40">
        <v>0</v>
      </c>
      <c r="Q49">
        <v>85.5</v>
      </c>
      <c r="R49" s="37">
        <v>0</v>
      </c>
      <c r="S49">
        <v>95</v>
      </c>
      <c r="T49" s="5">
        <f t="shared" si="1"/>
        <v>0.9</v>
      </c>
      <c r="U49" s="37">
        <v>1</v>
      </c>
      <c r="V49" s="4">
        <f t="shared" si="2"/>
        <v>21.784480694914677</v>
      </c>
      <c r="W49" s="39">
        <v>0</v>
      </c>
      <c r="X49">
        <v>8</v>
      </c>
      <c r="Y49" s="40">
        <v>0</v>
      </c>
      <c r="Z49">
        <v>10.34</v>
      </c>
      <c r="AA49" s="23">
        <f t="shared" si="3"/>
        <v>2.1936287022222221</v>
      </c>
      <c r="AB49" s="84">
        <v>0</v>
      </c>
      <c r="AC49" s="5">
        <v>4.7733699999999999</v>
      </c>
      <c r="AD49" s="37">
        <v>0</v>
      </c>
      <c r="AE49" s="5">
        <v>3</v>
      </c>
      <c r="AF49" s="5">
        <v>6.2909699999999997</v>
      </c>
      <c r="AG49" s="37">
        <v>1</v>
      </c>
      <c r="AH49" s="5">
        <v>1.64699</v>
      </c>
      <c r="AI49" s="37">
        <v>0</v>
      </c>
      <c r="AJ49" s="5">
        <v>4.6668700000000003</v>
      </c>
      <c r="AK49" s="37">
        <v>1</v>
      </c>
      <c r="AL49" s="5">
        <v>0.87546999999999997</v>
      </c>
      <c r="AM49" s="37">
        <v>1</v>
      </c>
      <c r="AN49" s="4">
        <f t="shared" si="4"/>
        <v>7.1858201880132953</v>
      </c>
      <c r="AO49" s="37">
        <v>1</v>
      </c>
      <c r="AP49">
        <v>110</v>
      </c>
      <c r="AQ49" s="38">
        <v>0</v>
      </c>
      <c r="AR49">
        <v>79</v>
      </c>
      <c r="AS49" s="37">
        <v>0</v>
      </c>
      <c r="AT49">
        <v>65</v>
      </c>
      <c r="AU49">
        <v>31</v>
      </c>
      <c r="AV49">
        <v>5.7</v>
      </c>
      <c r="AW49" s="37">
        <v>1</v>
      </c>
      <c r="AX49">
        <v>2087</v>
      </c>
      <c r="AY49">
        <v>50.4</v>
      </c>
      <c r="AZ49">
        <v>72</v>
      </c>
      <c r="BA49">
        <v>328.8</v>
      </c>
      <c r="BB49">
        <v>6.9</v>
      </c>
      <c r="BC49">
        <v>233.9</v>
      </c>
      <c r="BD49">
        <v>62.8</v>
      </c>
      <c r="BE49">
        <v>52.9</v>
      </c>
      <c r="BF49">
        <v>41.8</v>
      </c>
      <c r="BG49">
        <v>31</v>
      </c>
      <c r="BH49">
        <v>9.6999999999999993</v>
      </c>
      <c r="BI49">
        <v>59.1</v>
      </c>
      <c r="BJ49">
        <v>24.3</v>
      </c>
      <c r="BK49">
        <v>9.5</v>
      </c>
      <c r="BL49">
        <v>56.3</v>
      </c>
      <c r="BM49">
        <v>3.5</v>
      </c>
      <c r="BN49">
        <v>1.7</v>
      </c>
      <c r="BO49">
        <v>1.34</v>
      </c>
      <c r="BP49">
        <v>0.11</v>
      </c>
      <c r="BQ49">
        <v>0</v>
      </c>
      <c r="BR49">
        <v>423</v>
      </c>
      <c r="BS49">
        <v>213.8</v>
      </c>
      <c r="BT49">
        <v>4358</v>
      </c>
      <c r="BU49">
        <v>2138</v>
      </c>
      <c r="BV49">
        <v>12.5</v>
      </c>
      <c r="BW49">
        <v>6.12</v>
      </c>
      <c r="BX49">
        <v>1.43</v>
      </c>
      <c r="BY49">
        <v>28.2</v>
      </c>
      <c r="BZ49">
        <v>15.1</v>
      </c>
      <c r="CA49">
        <v>0.56999999999999995</v>
      </c>
      <c r="CB49">
        <v>0.51</v>
      </c>
      <c r="CC49">
        <v>17.5</v>
      </c>
      <c r="CD49">
        <v>0.49</v>
      </c>
      <c r="CE49">
        <v>0.57999999999999996</v>
      </c>
      <c r="CF49">
        <v>162.69999999999999</v>
      </c>
      <c r="CG49">
        <v>25.1</v>
      </c>
      <c r="CH49">
        <v>242</v>
      </c>
      <c r="CI49">
        <v>0</v>
      </c>
      <c r="CJ49">
        <v>1</v>
      </c>
      <c r="CK49">
        <v>1</v>
      </c>
      <c r="CL49" s="42" t="str">
        <f t="shared" si="5"/>
        <v>1</v>
      </c>
      <c r="CM49">
        <v>56</v>
      </c>
      <c r="CN49" s="4">
        <v>1.1200000000000001</v>
      </c>
      <c r="CO49">
        <v>5</v>
      </c>
      <c r="CP49" s="42" t="str">
        <f t="shared" si="6"/>
        <v>2</v>
      </c>
      <c r="CQ49" s="4">
        <v>178.66666666666666</v>
      </c>
      <c r="CR49" s="4">
        <v>2.7654320987654324</v>
      </c>
      <c r="CS49" s="43" t="str">
        <f t="shared" si="7"/>
        <v>2</v>
      </c>
      <c r="CT49" s="4">
        <f t="shared" si="8"/>
        <v>234.66666666666666</v>
      </c>
      <c r="CU49" s="4">
        <f t="shared" si="9"/>
        <v>3.8854320987654325</v>
      </c>
      <c r="CV49" s="4">
        <v>3</v>
      </c>
    </row>
    <row r="50" spans="1:100" x14ac:dyDescent="0.3">
      <c r="A50" s="15" t="s">
        <v>125</v>
      </c>
      <c r="B50" s="17">
        <v>0</v>
      </c>
      <c r="C50" s="3">
        <v>34</v>
      </c>
      <c r="D50">
        <v>3</v>
      </c>
      <c r="E50">
        <v>1</v>
      </c>
      <c r="F50">
        <v>2</v>
      </c>
      <c r="G50">
        <v>0</v>
      </c>
      <c r="H50">
        <v>1</v>
      </c>
      <c r="I50">
        <v>1</v>
      </c>
      <c r="J50" s="4">
        <v>57</v>
      </c>
      <c r="K50" s="4">
        <f t="shared" si="0"/>
        <v>1.6</v>
      </c>
      <c r="L50">
        <v>160</v>
      </c>
      <c r="M50" s="4">
        <f t="shared" si="10"/>
        <v>11.513999999999999</v>
      </c>
      <c r="N50" s="4">
        <v>43.1</v>
      </c>
      <c r="O50" s="4">
        <v>20.2</v>
      </c>
      <c r="P50" s="40">
        <v>0</v>
      </c>
      <c r="Q50">
        <v>81</v>
      </c>
      <c r="R50" s="37">
        <v>0</v>
      </c>
      <c r="S50">
        <v>84</v>
      </c>
      <c r="T50" s="5">
        <f t="shared" si="1"/>
        <v>0.9642857142857143</v>
      </c>
      <c r="U50" s="37">
        <v>1</v>
      </c>
      <c r="V50" s="4">
        <f t="shared" si="2"/>
        <v>22.265624999999996</v>
      </c>
      <c r="W50" s="39">
        <v>0</v>
      </c>
      <c r="X50">
        <v>7</v>
      </c>
      <c r="Y50" s="40">
        <v>0</v>
      </c>
      <c r="Z50">
        <v>9.15</v>
      </c>
      <c r="AA50" s="23">
        <f t="shared" si="3"/>
        <v>2.1634666666666669</v>
      </c>
      <c r="AB50" s="84">
        <v>0</v>
      </c>
      <c r="AC50" s="5">
        <v>5.32</v>
      </c>
      <c r="AD50" s="37">
        <v>0</v>
      </c>
      <c r="AE50">
        <v>11.61</v>
      </c>
      <c r="AF50" s="5">
        <v>8.0500000000000007</v>
      </c>
      <c r="AG50" s="37">
        <v>1</v>
      </c>
      <c r="AH50" s="5">
        <v>2</v>
      </c>
      <c r="AI50" s="37">
        <v>1</v>
      </c>
      <c r="AJ50" s="5">
        <v>5.95</v>
      </c>
      <c r="AK50" s="37">
        <v>1</v>
      </c>
      <c r="AL50" s="5">
        <v>1.19</v>
      </c>
      <c r="AM50" s="37">
        <v>0</v>
      </c>
      <c r="AN50" s="4">
        <f t="shared" si="4"/>
        <v>6.764705882352942</v>
      </c>
      <c r="AO50" s="37">
        <v>1</v>
      </c>
      <c r="AP50">
        <v>141</v>
      </c>
      <c r="AQ50" s="37">
        <v>1</v>
      </c>
      <c r="AR50">
        <v>97</v>
      </c>
      <c r="AS50" s="37">
        <v>1</v>
      </c>
      <c r="AT50">
        <v>66</v>
      </c>
      <c r="AU50">
        <v>44</v>
      </c>
      <c r="AV50">
        <v>6.2</v>
      </c>
      <c r="AW50" s="37">
        <v>0</v>
      </c>
      <c r="AX50">
        <v>1908</v>
      </c>
      <c r="AY50">
        <v>53.4</v>
      </c>
      <c r="AZ50">
        <v>56.2</v>
      </c>
      <c r="BA50">
        <v>316.10000000000002</v>
      </c>
      <c r="BB50">
        <v>7.3</v>
      </c>
      <c r="BC50">
        <v>254.3</v>
      </c>
      <c r="BD50">
        <v>38.6</v>
      </c>
      <c r="BE50">
        <v>31.9</v>
      </c>
      <c r="BF50">
        <v>111.5</v>
      </c>
      <c r="BG50">
        <v>26.5</v>
      </c>
      <c r="BH50">
        <v>11.2</v>
      </c>
      <c r="BI50">
        <v>62.1</v>
      </c>
      <c r="BJ50">
        <v>17</v>
      </c>
      <c r="BK50">
        <v>6.3</v>
      </c>
      <c r="BL50">
        <v>36</v>
      </c>
      <c r="BM50">
        <v>5.9</v>
      </c>
      <c r="BN50">
        <v>2.7</v>
      </c>
      <c r="BO50">
        <v>2.36</v>
      </c>
      <c r="BP50">
        <v>0.25</v>
      </c>
      <c r="BQ50">
        <v>0.02</v>
      </c>
      <c r="BR50">
        <v>473</v>
      </c>
      <c r="BS50">
        <v>169.3</v>
      </c>
      <c r="BT50">
        <v>3152</v>
      </c>
      <c r="BU50">
        <v>1633</v>
      </c>
      <c r="BV50">
        <v>9.92</v>
      </c>
      <c r="BW50">
        <v>6.32</v>
      </c>
      <c r="BX50">
        <v>1.34</v>
      </c>
      <c r="BY50">
        <v>52</v>
      </c>
      <c r="BZ50">
        <v>54.2</v>
      </c>
      <c r="CA50">
        <v>0.64</v>
      </c>
      <c r="CB50">
        <v>0.71</v>
      </c>
      <c r="CC50">
        <v>17.2</v>
      </c>
      <c r="CD50">
        <v>0.94</v>
      </c>
      <c r="CE50">
        <v>1.02</v>
      </c>
      <c r="CF50">
        <v>170.4</v>
      </c>
      <c r="CG50">
        <v>16</v>
      </c>
      <c r="CH50">
        <v>269</v>
      </c>
      <c r="CI50">
        <v>1.43</v>
      </c>
      <c r="CJ50">
        <v>1.8</v>
      </c>
      <c r="CK50">
        <v>0</v>
      </c>
      <c r="CL50" s="42" t="str">
        <f t="shared" si="5"/>
        <v>1</v>
      </c>
      <c r="CM50">
        <v>0</v>
      </c>
      <c r="CN50" s="4">
        <v>0</v>
      </c>
      <c r="CO50">
        <v>4</v>
      </c>
      <c r="CP50" s="42" t="str">
        <f t="shared" si="6"/>
        <v>1</v>
      </c>
      <c r="CQ50" s="4">
        <v>142.33333333333334</v>
      </c>
      <c r="CR50" s="4">
        <v>1.4938271604938274</v>
      </c>
      <c r="CS50" s="43" t="str">
        <f t="shared" si="7"/>
        <v>1</v>
      </c>
      <c r="CT50" s="4">
        <f t="shared" si="8"/>
        <v>142.33333333333334</v>
      </c>
      <c r="CU50" s="4">
        <f t="shared" si="9"/>
        <v>1.4938271604938274</v>
      </c>
      <c r="CV50" s="4">
        <v>1</v>
      </c>
    </row>
    <row r="51" spans="1:100" x14ac:dyDescent="0.3">
      <c r="A51" s="15" t="s">
        <v>126</v>
      </c>
      <c r="B51" s="17">
        <v>0</v>
      </c>
      <c r="C51" s="3">
        <v>39</v>
      </c>
      <c r="D51">
        <v>3</v>
      </c>
      <c r="E51">
        <v>1</v>
      </c>
      <c r="F51">
        <v>2</v>
      </c>
      <c r="G51">
        <v>0</v>
      </c>
      <c r="H51" s="6">
        <v>2</v>
      </c>
      <c r="I51">
        <v>1</v>
      </c>
      <c r="J51" s="4">
        <v>76.400000000000006</v>
      </c>
      <c r="K51" s="4">
        <f t="shared" si="0"/>
        <v>1.73</v>
      </c>
      <c r="L51">
        <v>173</v>
      </c>
      <c r="M51" s="4">
        <f t="shared" si="10"/>
        <v>18.0304</v>
      </c>
      <c r="N51" s="4">
        <v>55.4</v>
      </c>
      <c r="O51" s="4">
        <v>23.6</v>
      </c>
      <c r="P51" s="40">
        <v>1</v>
      </c>
      <c r="Q51">
        <v>89.6</v>
      </c>
      <c r="R51" s="37">
        <v>1</v>
      </c>
      <c r="S51">
        <v>96.7</v>
      </c>
      <c r="T51" s="5">
        <f t="shared" si="1"/>
        <v>0.9265770423991726</v>
      </c>
      <c r="U51" s="37">
        <v>1</v>
      </c>
      <c r="V51" s="4">
        <f t="shared" si="2"/>
        <v>25.527080757793446</v>
      </c>
      <c r="W51" s="39">
        <v>1</v>
      </c>
      <c r="X51">
        <v>11</v>
      </c>
      <c r="Y51" s="37">
        <v>1</v>
      </c>
      <c r="Z51">
        <v>18.13</v>
      </c>
      <c r="AA51" s="23">
        <f t="shared" si="3"/>
        <v>4.6815688888888882</v>
      </c>
      <c r="AB51" s="84">
        <v>1</v>
      </c>
      <c r="AC51" s="5">
        <v>5.81</v>
      </c>
      <c r="AD51" s="37">
        <v>1</v>
      </c>
      <c r="AE51">
        <v>3</v>
      </c>
      <c r="AF51" s="5">
        <v>4.79</v>
      </c>
      <c r="AG51" s="37">
        <v>0</v>
      </c>
      <c r="AH51" s="5">
        <v>1.9</v>
      </c>
      <c r="AI51" s="37">
        <v>1</v>
      </c>
      <c r="AJ51" s="5">
        <v>2.99</v>
      </c>
      <c r="AK51" s="37">
        <v>0</v>
      </c>
      <c r="AL51" s="5">
        <v>0.93</v>
      </c>
      <c r="AM51" s="37">
        <v>1</v>
      </c>
      <c r="AN51" s="4">
        <f t="shared" si="4"/>
        <v>5.150537634408602</v>
      </c>
      <c r="AO51" s="37">
        <v>1</v>
      </c>
      <c r="AP51">
        <v>166</v>
      </c>
      <c r="AQ51" s="37">
        <v>1</v>
      </c>
      <c r="AR51">
        <v>112</v>
      </c>
      <c r="AS51" s="37">
        <v>1</v>
      </c>
      <c r="AT51">
        <v>90</v>
      </c>
      <c r="AU51">
        <v>54</v>
      </c>
      <c r="AV51">
        <v>7.5</v>
      </c>
      <c r="AW51" s="37">
        <v>0</v>
      </c>
      <c r="AX51">
        <v>1112</v>
      </c>
      <c r="AY51">
        <v>30.6</v>
      </c>
      <c r="AZ51">
        <v>36.200000000000003</v>
      </c>
      <c r="BA51">
        <v>176.7</v>
      </c>
      <c r="BB51">
        <v>6.8</v>
      </c>
      <c r="BC51">
        <v>151.5</v>
      </c>
      <c r="BD51">
        <v>18.3</v>
      </c>
      <c r="BE51">
        <v>11.4</v>
      </c>
      <c r="BF51">
        <v>26.8</v>
      </c>
      <c r="BG51">
        <v>29.3</v>
      </c>
      <c r="BH51">
        <v>11</v>
      </c>
      <c r="BI51">
        <v>59.6</v>
      </c>
      <c r="BJ51">
        <v>23</v>
      </c>
      <c r="BK51">
        <v>3.8</v>
      </c>
      <c r="BL51">
        <v>28.4</v>
      </c>
      <c r="BM51">
        <v>3</v>
      </c>
      <c r="BN51">
        <v>1.7</v>
      </c>
      <c r="BO51">
        <v>1.5</v>
      </c>
      <c r="BP51">
        <v>0.15</v>
      </c>
      <c r="BQ51">
        <v>0</v>
      </c>
      <c r="BR51">
        <v>169</v>
      </c>
      <c r="BS51">
        <v>113.8</v>
      </c>
      <c r="BT51">
        <v>2146</v>
      </c>
      <c r="BU51">
        <v>1007</v>
      </c>
      <c r="BV51">
        <v>6.51</v>
      </c>
      <c r="BW51">
        <v>4.03</v>
      </c>
      <c r="BX51">
        <v>1.05</v>
      </c>
      <c r="BY51">
        <v>38.200000000000003</v>
      </c>
      <c r="BZ51">
        <v>28</v>
      </c>
      <c r="CA51">
        <v>0.39</v>
      </c>
      <c r="CB51">
        <v>0.18</v>
      </c>
      <c r="CC51">
        <v>10.1</v>
      </c>
      <c r="CD51">
        <v>0.56999999999999995</v>
      </c>
      <c r="CE51">
        <v>0.71</v>
      </c>
      <c r="CF51">
        <v>120.6</v>
      </c>
      <c r="CG51">
        <v>7.7</v>
      </c>
      <c r="CH51">
        <v>181</v>
      </c>
      <c r="CI51">
        <v>0.55000000000000004</v>
      </c>
      <c r="CJ51">
        <v>0.9</v>
      </c>
      <c r="CK51">
        <v>0</v>
      </c>
      <c r="CL51" s="42" t="str">
        <f t="shared" si="5"/>
        <v>1</v>
      </c>
      <c r="CM51">
        <v>0</v>
      </c>
      <c r="CN51" s="4">
        <v>0</v>
      </c>
      <c r="CO51">
        <v>2</v>
      </c>
      <c r="CP51" s="42" t="str">
        <f t="shared" si="6"/>
        <v>1</v>
      </c>
      <c r="CQ51" s="4">
        <v>20</v>
      </c>
      <c r="CR51" s="4">
        <v>0.37037037037037035</v>
      </c>
      <c r="CS51" s="43" t="str">
        <f t="shared" si="7"/>
        <v>1</v>
      </c>
      <c r="CT51" s="4">
        <f t="shared" si="8"/>
        <v>20</v>
      </c>
      <c r="CU51" s="4">
        <f t="shared" si="9"/>
        <v>0.37037037037037035</v>
      </c>
      <c r="CV51" s="4">
        <v>1</v>
      </c>
    </row>
    <row r="52" spans="1:100" x14ac:dyDescent="0.3">
      <c r="A52" s="15" t="s">
        <v>127</v>
      </c>
      <c r="B52" s="17">
        <v>0</v>
      </c>
      <c r="C52" s="3">
        <v>33</v>
      </c>
      <c r="D52">
        <v>3</v>
      </c>
      <c r="E52">
        <v>1</v>
      </c>
      <c r="F52">
        <v>0</v>
      </c>
      <c r="G52">
        <v>0</v>
      </c>
      <c r="H52">
        <v>1</v>
      </c>
      <c r="I52">
        <v>0</v>
      </c>
      <c r="J52" s="4">
        <v>62.2</v>
      </c>
      <c r="K52" s="4">
        <v>1.61</v>
      </c>
      <c r="L52">
        <v>161</v>
      </c>
      <c r="M52" s="4">
        <f t="shared" si="10"/>
        <v>14.617000000000001</v>
      </c>
      <c r="N52" s="4">
        <v>45.1</v>
      </c>
      <c r="O52" s="4">
        <v>23.5</v>
      </c>
      <c r="P52" s="40">
        <v>1</v>
      </c>
      <c r="Q52">
        <v>83.1</v>
      </c>
      <c r="R52" s="37">
        <v>0</v>
      </c>
      <c r="S52">
        <v>93.2</v>
      </c>
      <c r="T52" s="5">
        <f t="shared" si="1"/>
        <v>0.89163090128755351</v>
      </c>
      <c r="U52" s="37">
        <v>0</v>
      </c>
      <c r="V52" s="4">
        <f t="shared" si="2"/>
        <v>23.9959878091123</v>
      </c>
      <c r="W52" s="39">
        <v>1</v>
      </c>
      <c r="X52">
        <v>9</v>
      </c>
      <c r="Y52" s="40">
        <v>0</v>
      </c>
      <c r="Z52">
        <v>6.79</v>
      </c>
      <c r="AA52" s="23">
        <f t="shared" si="3"/>
        <v>1.5239777777777777</v>
      </c>
      <c r="AB52" s="84">
        <v>0</v>
      </c>
      <c r="AC52" s="5">
        <v>5.05</v>
      </c>
      <c r="AD52" s="37">
        <v>0</v>
      </c>
      <c r="AE52">
        <v>3</v>
      </c>
      <c r="AF52" s="5">
        <v>5.22</v>
      </c>
      <c r="AG52" s="37">
        <v>1</v>
      </c>
      <c r="AH52" s="5">
        <v>1.1000000000000001</v>
      </c>
      <c r="AI52" s="37">
        <v>0</v>
      </c>
      <c r="AJ52" s="5">
        <v>3.87</v>
      </c>
      <c r="AK52" s="37">
        <v>1</v>
      </c>
      <c r="AL52" s="5">
        <v>0.84</v>
      </c>
      <c r="AM52" s="37">
        <v>1</v>
      </c>
      <c r="AN52" s="4">
        <f t="shared" si="4"/>
        <v>6.2142857142857144</v>
      </c>
      <c r="AO52" s="37">
        <v>1</v>
      </c>
      <c r="AP52">
        <v>115</v>
      </c>
      <c r="AQ52" s="38">
        <v>0</v>
      </c>
      <c r="AR52">
        <v>77</v>
      </c>
      <c r="AS52" s="37">
        <v>0</v>
      </c>
      <c r="AT52">
        <v>60</v>
      </c>
      <c r="AU52">
        <v>38</v>
      </c>
      <c r="AV52">
        <v>5.4</v>
      </c>
      <c r="AW52" s="37">
        <v>1</v>
      </c>
      <c r="AX52">
        <v>2256</v>
      </c>
      <c r="AY52">
        <v>58.8</v>
      </c>
      <c r="AZ52">
        <v>54</v>
      </c>
      <c r="BA52">
        <v>408.6</v>
      </c>
      <c r="BB52">
        <v>12.4</v>
      </c>
      <c r="BC52">
        <v>321.89999999999998</v>
      </c>
      <c r="BD52">
        <v>73.400000000000006</v>
      </c>
      <c r="BE52">
        <v>56</v>
      </c>
      <c r="BF52">
        <v>43.9</v>
      </c>
      <c r="BG52">
        <v>21.5</v>
      </c>
      <c r="BH52">
        <v>10.4</v>
      </c>
      <c r="BI52">
        <v>67.900000000000006</v>
      </c>
      <c r="BJ52">
        <v>14.5</v>
      </c>
      <c r="BK52">
        <v>9.3000000000000007</v>
      </c>
      <c r="BL52">
        <v>36.299999999999997</v>
      </c>
      <c r="BM52">
        <v>5.9</v>
      </c>
      <c r="BN52">
        <v>3.2</v>
      </c>
      <c r="BO52">
        <v>2.77</v>
      </c>
      <c r="BP52">
        <v>0.36</v>
      </c>
      <c r="BQ52">
        <v>0</v>
      </c>
      <c r="BR52">
        <v>490</v>
      </c>
      <c r="BS52">
        <v>213.9</v>
      </c>
      <c r="BT52">
        <v>2918</v>
      </c>
      <c r="BU52">
        <v>1818</v>
      </c>
      <c r="BV52">
        <v>10.16</v>
      </c>
      <c r="BW52">
        <v>7.05</v>
      </c>
      <c r="BX52">
        <v>1.59</v>
      </c>
      <c r="BY52">
        <v>80.2</v>
      </c>
      <c r="BZ52">
        <v>53.9</v>
      </c>
      <c r="CA52">
        <v>0.67</v>
      </c>
      <c r="CB52">
        <v>0.57999999999999996</v>
      </c>
      <c r="CC52">
        <v>21.3</v>
      </c>
      <c r="CD52">
        <v>0.98</v>
      </c>
      <c r="CE52">
        <v>1.84</v>
      </c>
      <c r="CF52">
        <v>155.30000000000001</v>
      </c>
      <c r="CG52">
        <v>20.399999999999999</v>
      </c>
      <c r="CH52">
        <v>500</v>
      </c>
      <c r="CI52">
        <v>1.86</v>
      </c>
      <c r="CJ52">
        <v>1.7</v>
      </c>
      <c r="CK52">
        <v>2</v>
      </c>
      <c r="CL52" s="42" t="str">
        <f t="shared" si="5"/>
        <v>1</v>
      </c>
      <c r="CM52" s="4">
        <v>37.333333333333336</v>
      </c>
      <c r="CN52" s="4">
        <v>0.7466666666666667</v>
      </c>
      <c r="CO52">
        <v>4</v>
      </c>
      <c r="CP52" s="42" t="str">
        <f t="shared" si="6"/>
        <v>1</v>
      </c>
      <c r="CQ52" s="4">
        <v>76.666666666666671</v>
      </c>
      <c r="CR52" s="4">
        <v>1.074074074074074</v>
      </c>
      <c r="CS52" s="43" t="str">
        <f t="shared" si="7"/>
        <v>1</v>
      </c>
      <c r="CT52" s="4">
        <f t="shared" si="8"/>
        <v>114</v>
      </c>
      <c r="CU52" s="4">
        <f t="shared" si="9"/>
        <v>1.8207407407407405</v>
      </c>
      <c r="CV52" s="4">
        <v>1</v>
      </c>
    </row>
    <row r="53" spans="1:100" x14ac:dyDescent="0.3">
      <c r="A53" s="15" t="s">
        <v>128</v>
      </c>
      <c r="B53" s="17">
        <v>0</v>
      </c>
      <c r="C53" s="3">
        <v>41</v>
      </c>
      <c r="D53">
        <v>3</v>
      </c>
      <c r="E53">
        <v>1</v>
      </c>
      <c r="F53">
        <v>2</v>
      </c>
      <c r="G53">
        <v>0</v>
      </c>
      <c r="H53">
        <v>1</v>
      </c>
      <c r="I53">
        <v>1</v>
      </c>
      <c r="J53" s="4">
        <v>68.2</v>
      </c>
      <c r="K53" s="4">
        <f t="shared" ref="K53:K77" si="11">L53/100</f>
        <v>1.75</v>
      </c>
      <c r="L53">
        <v>175</v>
      </c>
      <c r="M53" s="4">
        <f t="shared" si="10"/>
        <v>16.163399999999999</v>
      </c>
      <c r="N53" s="4">
        <v>49.3</v>
      </c>
      <c r="O53" s="4">
        <v>23.7</v>
      </c>
      <c r="P53" s="40">
        <v>1</v>
      </c>
      <c r="Q53">
        <v>85</v>
      </c>
      <c r="R53" s="37">
        <v>0</v>
      </c>
      <c r="S53">
        <v>97.1</v>
      </c>
      <c r="T53" s="5">
        <f t="shared" si="1"/>
        <v>0.87538619979402688</v>
      </c>
      <c r="U53" s="37">
        <v>0</v>
      </c>
      <c r="V53" s="4">
        <f t="shared" si="2"/>
        <v>22.269387755102041</v>
      </c>
      <c r="W53" s="39">
        <v>0</v>
      </c>
      <c r="X53">
        <v>9</v>
      </c>
      <c r="Y53" s="40">
        <v>0</v>
      </c>
      <c r="Z53">
        <v>7.63</v>
      </c>
      <c r="AA53" s="23">
        <f t="shared" si="3"/>
        <v>1.7735511111111113</v>
      </c>
      <c r="AB53" s="84">
        <v>0</v>
      </c>
      <c r="AC53" s="5">
        <v>5.23</v>
      </c>
      <c r="AD53" s="37">
        <v>0</v>
      </c>
      <c r="AE53">
        <v>16.66</v>
      </c>
      <c r="AF53" s="5">
        <v>6.73</v>
      </c>
      <c r="AG53" s="37">
        <v>1</v>
      </c>
      <c r="AH53" s="5">
        <v>2.86</v>
      </c>
      <c r="AI53" s="37">
        <v>1</v>
      </c>
      <c r="AJ53" s="5">
        <v>4.1500000000000004</v>
      </c>
      <c r="AK53" s="37">
        <v>1</v>
      </c>
      <c r="AL53" s="5">
        <v>1.25</v>
      </c>
      <c r="AM53" s="37">
        <v>0</v>
      </c>
      <c r="AN53" s="4">
        <f t="shared" si="4"/>
        <v>5.3840000000000003</v>
      </c>
      <c r="AO53" s="37">
        <v>1</v>
      </c>
      <c r="AP53">
        <v>123</v>
      </c>
      <c r="AQ53" s="38">
        <v>0</v>
      </c>
      <c r="AR53">
        <v>75</v>
      </c>
      <c r="AS53" s="37">
        <v>0</v>
      </c>
      <c r="AT53">
        <v>55</v>
      </c>
      <c r="AU53">
        <v>48</v>
      </c>
      <c r="AV53">
        <v>6.3</v>
      </c>
      <c r="AW53" s="37">
        <v>1</v>
      </c>
      <c r="AX53">
        <v>1951</v>
      </c>
      <c r="AY53">
        <v>60.3</v>
      </c>
      <c r="AZ53">
        <v>57.9</v>
      </c>
      <c r="BA53">
        <v>316.5</v>
      </c>
      <c r="BB53">
        <v>9.8000000000000007</v>
      </c>
      <c r="BC53">
        <v>255.1</v>
      </c>
      <c r="BD53">
        <v>45.6</v>
      </c>
      <c r="BE53">
        <v>34.200000000000003</v>
      </c>
      <c r="BF53">
        <v>73.599999999999994</v>
      </c>
      <c r="BG53">
        <v>26.7</v>
      </c>
      <c r="BH53">
        <v>12.4</v>
      </c>
      <c r="BI53">
        <v>60.8</v>
      </c>
      <c r="BJ53">
        <v>18.600000000000001</v>
      </c>
      <c r="BK53">
        <v>6.6</v>
      </c>
      <c r="BL53">
        <v>40.299999999999997</v>
      </c>
      <c r="BM53">
        <v>7.4</v>
      </c>
      <c r="BN53">
        <v>3.2</v>
      </c>
      <c r="BO53">
        <v>2.73</v>
      </c>
      <c r="BP53">
        <v>0.28000000000000003</v>
      </c>
      <c r="BQ53">
        <v>0</v>
      </c>
      <c r="BR53">
        <v>460</v>
      </c>
      <c r="BS53">
        <v>204.9</v>
      </c>
      <c r="BT53">
        <v>4958</v>
      </c>
      <c r="BU53">
        <v>1886</v>
      </c>
      <c r="BV53">
        <v>13.86</v>
      </c>
      <c r="BW53">
        <v>6.85</v>
      </c>
      <c r="BX53">
        <v>1.64</v>
      </c>
      <c r="BY53">
        <v>63.9</v>
      </c>
      <c r="BZ53">
        <v>42</v>
      </c>
      <c r="CA53">
        <v>0.78</v>
      </c>
      <c r="CB53">
        <v>0.56000000000000005</v>
      </c>
      <c r="CC53">
        <v>23.5</v>
      </c>
      <c r="CD53">
        <v>1.1000000000000001</v>
      </c>
      <c r="CE53">
        <v>0.81</v>
      </c>
      <c r="CF53">
        <v>214.4</v>
      </c>
      <c r="CG53">
        <v>11.3</v>
      </c>
      <c r="CH53">
        <v>254</v>
      </c>
      <c r="CI53">
        <v>0.56000000000000005</v>
      </c>
      <c r="CJ53">
        <v>1</v>
      </c>
      <c r="CK53">
        <v>0</v>
      </c>
      <c r="CL53" s="42" t="str">
        <f t="shared" si="5"/>
        <v>1</v>
      </c>
      <c r="CM53">
        <v>0</v>
      </c>
      <c r="CN53" s="4">
        <v>0</v>
      </c>
      <c r="CO53">
        <v>3</v>
      </c>
      <c r="CP53" s="42" t="str">
        <f t="shared" si="6"/>
        <v>1</v>
      </c>
      <c r="CQ53" s="4">
        <v>68</v>
      </c>
      <c r="CR53" s="4">
        <v>1.3037037037037036</v>
      </c>
      <c r="CS53" s="43" t="str">
        <f t="shared" si="7"/>
        <v>1</v>
      </c>
      <c r="CT53" s="4">
        <f t="shared" si="8"/>
        <v>68</v>
      </c>
      <c r="CU53" s="4">
        <f t="shared" si="9"/>
        <v>1.3037037037037036</v>
      </c>
      <c r="CV53" s="4">
        <v>1</v>
      </c>
    </row>
    <row r="54" spans="1:100" x14ac:dyDescent="0.3">
      <c r="A54" s="15" t="s">
        <v>129</v>
      </c>
      <c r="B54" s="17">
        <v>0</v>
      </c>
      <c r="C54" s="3">
        <v>44</v>
      </c>
      <c r="D54">
        <v>3</v>
      </c>
      <c r="E54">
        <v>1</v>
      </c>
      <c r="F54">
        <v>2</v>
      </c>
      <c r="G54">
        <v>1</v>
      </c>
      <c r="H54">
        <v>1</v>
      </c>
      <c r="I54">
        <v>1</v>
      </c>
      <c r="J54" s="4">
        <v>60.9</v>
      </c>
      <c r="K54" s="4">
        <f t="shared" si="11"/>
        <v>1.74</v>
      </c>
      <c r="L54">
        <v>174</v>
      </c>
      <c r="M54" s="4">
        <f t="shared" si="10"/>
        <v>10.413900000000002</v>
      </c>
      <c r="N54" s="4">
        <v>47.9</v>
      </c>
      <c r="O54" s="4">
        <v>17.100000000000001</v>
      </c>
      <c r="P54" s="40">
        <v>0</v>
      </c>
      <c r="Q54">
        <v>75</v>
      </c>
      <c r="R54" s="37">
        <v>0</v>
      </c>
      <c r="S54">
        <v>91.5</v>
      </c>
      <c r="T54" s="5">
        <f t="shared" si="1"/>
        <v>0.81967213114754101</v>
      </c>
      <c r="U54" s="37">
        <v>0</v>
      </c>
      <c r="V54" s="4">
        <f t="shared" si="2"/>
        <v>20.114942528735632</v>
      </c>
      <c r="W54" s="39">
        <v>0</v>
      </c>
      <c r="X54">
        <v>6</v>
      </c>
      <c r="Y54" s="40">
        <v>0</v>
      </c>
      <c r="Z54">
        <v>4.2300000000000004</v>
      </c>
      <c r="AA54" s="23">
        <f t="shared" si="3"/>
        <v>0.60724</v>
      </c>
      <c r="AB54" s="84">
        <v>0</v>
      </c>
      <c r="AC54" s="5">
        <v>3.23</v>
      </c>
      <c r="AD54" s="37">
        <v>0</v>
      </c>
      <c r="AE54">
        <v>3</v>
      </c>
      <c r="AF54" s="5">
        <v>2.15</v>
      </c>
      <c r="AG54" s="37">
        <v>0</v>
      </c>
      <c r="AH54" s="5">
        <v>1.24</v>
      </c>
      <c r="AI54" s="37">
        <v>0</v>
      </c>
      <c r="AJ54" s="5">
        <v>1.22</v>
      </c>
      <c r="AK54" s="37">
        <v>0</v>
      </c>
      <c r="AL54" s="5">
        <v>0.32</v>
      </c>
      <c r="AM54" s="37">
        <v>1</v>
      </c>
      <c r="AN54" s="4">
        <f t="shared" si="4"/>
        <v>6.71875</v>
      </c>
      <c r="AO54" s="37">
        <v>1</v>
      </c>
      <c r="AP54">
        <v>108</v>
      </c>
      <c r="AQ54" s="38">
        <v>0</v>
      </c>
      <c r="AR54">
        <v>73</v>
      </c>
      <c r="AS54" s="37">
        <v>0</v>
      </c>
      <c r="AT54">
        <v>56</v>
      </c>
      <c r="AU54">
        <v>36</v>
      </c>
      <c r="AV54">
        <v>6</v>
      </c>
      <c r="AW54" s="37">
        <v>1</v>
      </c>
      <c r="AX54">
        <v>1608</v>
      </c>
      <c r="AY54">
        <v>46.2</v>
      </c>
      <c r="AZ54">
        <v>40</v>
      </c>
      <c r="BA54">
        <v>282.8</v>
      </c>
      <c r="BB54">
        <v>5.6</v>
      </c>
      <c r="BC54">
        <v>215.7</v>
      </c>
      <c r="BD54">
        <v>51.6</v>
      </c>
      <c r="BE54">
        <v>42.1</v>
      </c>
      <c r="BF54">
        <v>43.2</v>
      </c>
      <c r="BG54">
        <v>22.4</v>
      </c>
      <c r="BH54">
        <v>11.5</v>
      </c>
      <c r="BI54">
        <v>65.900000000000006</v>
      </c>
      <c r="BJ54">
        <v>14.5</v>
      </c>
      <c r="BK54">
        <v>9.8000000000000007</v>
      </c>
      <c r="BL54">
        <v>25.9</v>
      </c>
      <c r="BM54">
        <v>4.4000000000000004</v>
      </c>
      <c r="BN54">
        <v>2.2999999999999998</v>
      </c>
      <c r="BO54">
        <v>1.94</v>
      </c>
      <c r="BP54">
        <v>0.25</v>
      </c>
      <c r="BQ54">
        <v>0.1</v>
      </c>
      <c r="BR54">
        <v>443</v>
      </c>
      <c r="BS54">
        <v>141.69999999999999</v>
      </c>
      <c r="BT54">
        <v>2919</v>
      </c>
      <c r="BU54">
        <v>1243</v>
      </c>
      <c r="BV54">
        <v>9.16</v>
      </c>
      <c r="BW54">
        <v>6.19</v>
      </c>
      <c r="BX54">
        <v>1.56</v>
      </c>
      <c r="BY54">
        <v>46.5</v>
      </c>
      <c r="BZ54">
        <v>73.8</v>
      </c>
      <c r="CA54">
        <v>0.47</v>
      </c>
      <c r="CB54">
        <v>0.57999999999999996</v>
      </c>
      <c r="CC54">
        <v>13.9</v>
      </c>
      <c r="CD54">
        <v>0.66</v>
      </c>
      <c r="CE54">
        <v>1.43</v>
      </c>
      <c r="CF54">
        <v>130.9</v>
      </c>
      <c r="CG54">
        <v>6.8</v>
      </c>
      <c r="CH54">
        <v>281</v>
      </c>
      <c r="CI54">
        <v>1.45</v>
      </c>
      <c r="CJ54">
        <v>0.7</v>
      </c>
      <c r="CK54">
        <v>0</v>
      </c>
      <c r="CL54" s="42" t="str">
        <f t="shared" si="5"/>
        <v>1</v>
      </c>
      <c r="CM54">
        <v>0</v>
      </c>
      <c r="CN54" s="4">
        <v>0</v>
      </c>
      <c r="CO54">
        <v>2</v>
      </c>
      <c r="CP54" s="42" t="str">
        <f t="shared" si="6"/>
        <v>1</v>
      </c>
      <c r="CQ54" s="4">
        <v>36</v>
      </c>
      <c r="CR54" s="4">
        <v>1.0518518518518518</v>
      </c>
      <c r="CS54" s="43" t="str">
        <f t="shared" si="7"/>
        <v>1</v>
      </c>
      <c r="CT54" s="4">
        <f t="shared" si="8"/>
        <v>36</v>
      </c>
      <c r="CU54" s="4">
        <f t="shared" si="9"/>
        <v>1.0518518518518518</v>
      </c>
      <c r="CV54" s="4">
        <v>1</v>
      </c>
    </row>
    <row r="55" spans="1:100" x14ac:dyDescent="0.3">
      <c r="A55" s="15" t="s">
        <v>130</v>
      </c>
      <c r="B55" s="17">
        <v>0</v>
      </c>
      <c r="C55" s="3">
        <v>43</v>
      </c>
      <c r="D55">
        <v>2</v>
      </c>
      <c r="E55">
        <v>1</v>
      </c>
      <c r="F55">
        <v>2</v>
      </c>
      <c r="G55">
        <v>0</v>
      </c>
      <c r="H55">
        <v>1</v>
      </c>
      <c r="I55">
        <v>0</v>
      </c>
      <c r="J55" s="4">
        <v>72.5</v>
      </c>
      <c r="K55" s="4">
        <f t="shared" si="11"/>
        <v>1.55</v>
      </c>
      <c r="L55">
        <v>155</v>
      </c>
      <c r="M55" s="4">
        <f t="shared" si="10"/>
        <v>19.357500000000002</v>
      </c>
      <c r="N55" s="4">
        <v>43.4</v>
      </c>
      <c r="O55" s="4">
        <v>26.7</v>
      </c>
      <c r="P55" s="40">
        <v>1</v>
      </c>
      <c r="Q55">
        <v>91</v>
      </c>
      <c r="R55" s="37">
        <v>1</v>
      </c>
      <c r="S55">
        <v>91.5</v>
      </c>
      <c r="T55" s="5">
        <f t="shared" si="1"/>
        <v>0.99453551912568305</v>
      </c>
      <c r="U55" s="37">
        <v>1</v>
      </c>
      <c r="V55" s="4">
        <f t="shared" si="2"/>
        <v>30.176899063475542</v>
      </c>
      <c r="W55" s="39">
        <v>1</v>
      </c>
      <c r="X55">
        <v>12</v>
      </c>
      <c r="Y55" s="37">
        <v>1</v>
      </c>
      <c r="Z55">
        <v>6.94</v>
      </c>
      <c r="AA55" s="23">
        <f t="shared" si="3"/>
        <v>1.5422222222222224</v>
      </c>
      <c r="AB55" s="84">
        <v>0</v>
      </c>
      <c r="AC55" s="5">
        <v>5</v>
      </c>
      <c r="AD55" s="37">
        <v>0</v>
      </c>
      <c r="AE55">
        <v>3</v>
      </c>
      <c r="AF55" s="5">
        <v>4.76</v>
      </c>
      <c r="AG55" s="37">
        <v>0</v>
      </c>
      <c r="AH55" s="5">
        <v>1.38</v>
      </c>
      <c r="AI55" s="37">
        <v>0</v>
      </c>
      <c r="AJ55" s="5">
        <v>3.1</v>
      </c>
      <c r="AK55" s="37">
        <v>0</v>
      </c>
      <c r="AL55" s="5">
        <v>1.05</v>
      </c>
      <c r="AM55" s="37">
        <v>0</v>
      </c>
      <c r="AN55" s="4">
        <f t="shared" si="4"/>
        <v>4.5333333333333332</v>
      </c>
      <c r="AO55" s="37">
        <v>1</v>
      </c>
      <c r="AP55">
        <v>117</v>
      </c>
      <c r="AQ55" s="38">
        <v>0</v>
      </c>
      <c r="AR55">
        <v>71</v>
      </c>
      <c r="AS55" s="37">
        <v>0</v>
      </c>
      <c r="AT55">
        <v>73</v>
      </c>
      <c r="AU55">
        <v>46</v>
      </c>
      <c r="AV55">
        <v>6.2</v>
      </c>
      <c r="AW55" s="37">
        <v>1</v>
      </c>
      <c r="AX55">
        <v>1450</v>
      </c>
      <c r="AY55">
        <v>26.1</v>
      </c>
      <c r="AZ55">
        <v>43.2</v>
      </c>
      <c r="BA55">
        <v>253.8</v>
      </c>
      <c r="BB55">
        <v>8</v>
      </c>
      <c r="BC55">
        <v>227.7</v>
      </c>
      <c r="BD55">
        <v>16.3</v>
      </c>
      <c r="BE55">
        <v>7.9</v>
      </c>
      <c r="BF55">
        <v>2.7</v>
      </c>
      <c r="BG55">
        <v>26.8</v>
      </c>
      <c r="BH55">
        <v>7.2</v>
      </c>
      <c r="BI55">
        <v>65.599999999999994</v>
      </c>
      <c r="BJ55">
        <v>21</v>
      </c>
      <c r="BK55">
        <v>2</v>
      </c>
      <c r="BL55">
        <v>33.9</v>
      </c>
      <c r="BM55">
        <v>4.5999999999999996</v>
      </c>
      <c r="BN55">
        <v>1.8</v>
      </c>
      <c r="BO55">
        <v>1.64</v>
      </c>
      <c r="BP55">
        <v>7.0000000000000007E-2</v>
      </c>
      <c r="BQ55">
        <v>0</v>
      </c>
      <c r="BR55">
        <v>146</v>
      </c>
      <c r="BS55">
        <v>121.4</v>
      </c>
      <c r="BT55">
        <v>2017</v>
      </c>
      <c r="BU55">
        <v>1248</v>
      </c>
      <c r="BV55">
        <v>8.9600000000000009</v>
      </c>
      <c r="BW55">
        <v>6.01</v>
      </c>
      <c r="BX55">
        <v>1.28</v>
      </c>
      <c r="BY55">
        <v>30.2</v>
      </c>
      <c r="BZ55">
        <v>72.3</v>
      </c>
      <c r="CA55">
        <v>0.27</v>
      </c>
      <c r="CB55">
        <v>0.22</v>
      </c>
      <c r="CC55">
        <v>8.1999999999999993</v>
      </c>
      <c r="CD55">
        <v>0.62</v>
      </c>
      <c r="CE55">
        <v>0</v>
      </c>
      <c r="CF55">
        <v>134.69999999999999</v>
      </c>
      <c r="CG55">
        <v>15.1</v>
      </c>
      <c r="CH55">
        <v>85</v>
      </c>
      <c r="CI55">
        <v>0.24</v>
      </c>
      <c r="CJ55">
        <v>0.8</v>
      </c>
      <c r="CK55">
        <v>0</v>
      </c>
      <c r="CL55" s="42" t="str">
        <f t="shared" si="5"/>
        <v>1</v>
      </c>
      <c r="CM55">
        <v>0</v>
      </c>
      <c r="CN55" s="4">
        <v>0</v>
      </c>
      <c r="CO55">
        <v>7</v>
      </c>
      <c r="CP55" s="42" t="str">
        <f t="shared" si="6"/>
        <v>1</v>
      </c>
      <c r="CQ55" s="4">
        <v>129</v>
      </c>
      <c r="CR55" s="4">
        <v>2.191358024691358</v>
      </c>
      <c r="CS55" s="43" t="str">
        <f t="shared" si="7"/>
        <v>1</v>
      </c>
      <c r="CT55" s="4">
        <f t="shared" si="8"/>
        <v>129</v>
      </c>
      <c r="CU55" s="4">
        <f t="shared" si="9"/>
        <v>2.191358024691358</v>
      </c>
      <c r="CV55" s="4">
        <v>2</v>
      </c>
    </row>
    <row r="56" spans="1:100" x14ac:dyDescent="0.3">
      <c r="A56" s="15" t="s">
        <v>131</v>
      </c>
      <c r="B56" s="17">
        <v>0</v>
      </c>
      <c r="C56" s="3">
        <v>41</v>
      </c>
      <c r="D56">
        <v>2</v>
      </c>
      <c r="E56">
        <v>2</v>
      </c>
      <c r="F56">
        <v>2</v>
      </c>
      <c r="G56">
        <v>0</v>
      </c>
      <c r="H56">
        <v>1</v>
      </c>
      <c r="I56">
        <v>1</v>
      </c>
      <c r="J56" s="4">
        <v>63</v>
      </c>
      <c r="K56" s="4">
        <f t="shared" si="11"/>
        <v>1.72</v>
      </c>
      <c r="L56">
        <v>172</v>
      </c>
      <c r="M56" s="4">
        <f t="shared" si="10"/>
        <v>12.914999999999999</v>
      </c>
      <c r="N56" s="4">
        <v>47.5</v>
      </c>
      <c r="O56" s="4">
        <v>20.5</v>
      </c>
      <c r="P56" s="40">
        <v>0</v>
      </c>
      <c r="Q56">
        <v>88.4</v>
      </c>
      <c r="R56" s="37">
        <v>0</v>
      </c>
      <c r="S56">
        <v>92.1</v>
      </c>
      <c r="T56" s="5">
        <f t="shared" si="1"/>
        <v>0.95982627578718793</v>
      </c>
      <c r="U56" s="37">
        <v>1</v>
      </c>
      <c r="V56" s="4">
        <f t="shared" si="2"/>
        <v>21.295294753921041</v>
      </c>
      <c r="W56" s="39">
        <v>0</v>
      </c>
      <c r="X56">
        <v>8</v>
      </c>
      <c r="Y56" s="40">
        <v>0</v>
      </c>
      <c r="Z56">
        <v>6.98</v>
      </c>
      <c r="AA56" s="23">
        <f t="shared" si="3"/>
        <v>1.5542133333333332</v>
      </c>
      <c r="AB56" s="84">
        <v>0</v>
      </c>
      <c r="AC56" s="5">
        <v>5.01</v>
      </c>
      <c r="AD56" s="37">
        <v>0</v>
      </c>
      <c r="AE56">
        <v>3</v>
      </c>
      <c r="AF56" s="5">
        <v>4.9000000000000004</v>
      </c>
      <c r="AG56" s="37">
        <v>0</v>
      </c>
      <c r="AH56" s="5">
        <v>1.56</v>
      </c>
      <c r="AI56" s="37">
        <v>0</v>
      </c>
      <c r="AJ56" s="5">
        <v>2.9</v>
      </c>
      <c r="AK56" s="37">
        <v>0</v>
      </c>
      <c r="AL56" s="5">
        <v>1.29</v>
      </c>
      <c r="AM56" s="37">
        <v>0</v>
      </c>
      <c r="AN56" s="4">
        <f t="shared" si="4"/>
        <v>3.7984496124031009</v>
      </c>
      <c r="AO56" s="37">
        <v>0</v>
      </c>
      <c r="AP56">
        <v>127</v>
      </c>
      <c r="AQ56" s="38">
        <v>0</v>
      </c>
      <c r="AR56">
        <v>81</v>
      </c>
      <c r="AS56" s="37">
        <v>0</v>
      </c>
      <c r="AT56">
        <v>61</v>
      </c>
      <c r="AU56">
        <v>46</v>
      </c>
      <c r="AV56">
        <v>6.2</v>
      </c>
      <c r="AW56" s="37">
        <v>1</v>
      </c>
      <c r="AX56">
        <v>3004</v>
      </c>
      <c r="AY56">
        <v>77.5</v>
      </c>
      <c r="AZ56">
        <v>97.7</v>
      </c>
      <c r="BA56">
        <v>481.5</v>
      </c>
      <c r="BB56">
        <v>13.1</v>
      </c>
      <c r="BC56">
        <v>361.7</v>
      </c>
      <c r="BD56">
        <v>76.7</v>
      </c>
      <c r="BE56">
        <v>61</v>
      </c>
      <c r="BF56">
        <v>101.4</v>
      </c>
      <c r="BG56">
        <v>29.3</v>
      </c>
      <c r="BH56">
        <v>10.3</v>
      </c>
      <c r="BI56">
        <v>60.1</v>
      </c>
      <c r="BJ56">
        <v>22.9</v>
      </c>
      <c r="BK56">
        <v>7.6</v>
      </c>
      <c r="BL56">
        <v>76.5</v>
      </c>
      <c r="BM56">
        <v>8.6</v>
      </c>
      <c r="BN56">
        <v>3.4</v>
      </c>
      <c r="BO56">
        <v>2.73</v>
      </c>
      <c r="BP56">
        <v>0.2</v>
      </c>
      <c r="BQ56">
        <v>0.11</v>
      </c>
      <c r="BR56">
        <v>494</v>
      </c>
      <c r="BS56">
        <v>305.8</v>
      </c>
      <c r="BT56">
        <v>5835</v>
      </c>
      <c r="BU56">
        <v>2955</v>
      </c>
      <c r="BV56">
        <v>19.57</v>
      </c>
      <c r="BW56">
        <v>12.04</v>
      </c>
      <c r="BX56">
        <v>2.7</v>
      </c>
      <c r="BY56">
        <v>69.7</v>
      </c>
      <c r="BZ56">
        <v>85.9</v>
      </c>
      <c r="CA56">
        <v>1.05</v>
      </c>
      <c r="CB56">
        <v>1.6</v>
      </c>
      <c r="CC56">
        <v>25.7</v>
      </c>
      <c r="CD56">
        <v>1.54</v>
      </c>
      <c r="CE56">
        <v>0.97</v>
      </c>
      <c r="CF56">
        <v>301.2</v>
      </c>
      <c r="CG56">
        <v>29.7</v>
      </c>
      <c r="CH56">
        <v>449</v>
      </c>
      <c r="CI56">
        <v>0.48</v>
      </c>
      <c r="CJ56">
        <v>2.6</v>
      </c>
      <c r="CK56">
        <v>1</v>
      </c>
      <c r="CL56" s="42" t="str">
        <f t="shared" si="5"/>
        <v>1</v>
      </c>
      <c r="CM56">
        <v>25</v>
      </c>
      <c r="CN56" s="4">
        <v>0.5</v>
      </c>
      <c r="CO56">
        <v>11</v>
      </c>
      <c r="CP56" s="42" t="str">
        <f t="shared" si="6"/>
        <v>2</v>
      </c>
      <c r="CQ56" s="4">
        <v>272.16666666666669</v>
      </c>
      <c r="CR56" s="4">
        <v>5.3290123456790122</v>
      </c>
      <c r="CS56" s="43" t="str">
        <f t="shared" si="7"/>
        <v>2</v>
      </c>
      <c r="CT56" s="4">
        <f t="shared" si="8"/>
        <v>297.16666666666669</v>
      </c>
      <c r="CU56" s="4">
        <f t="shared" si="9"/>
        <v>5.8290123456790122</v>
      </c>
      <c r="CV56" s="4">
        <v>4</v>
      </c>
    </row>
    <row r="57" spans="1:100" x14ac:dyDescent="0.3">
      <c r="A57" s="15" t="s">
        <v>132</v>
      </c>
      <c r="B57" s="17">
        <v>0</v>
      </c>
      <c r="C57" s="3">
        <v>45</v>
      </c>
      <c r="D57">
        <v>3</v>
      </c>
      <c r="E57">
        <v>2</v>
      </c>
      <c r="F57">
        <v>2</v>
      </c>
      <c r="G57">
        <v>0</v>
      </c>
      <c r="H57">
        <v>1</v>
      </c>
      <c r="I57">
        <v>1</v>
      </c>
      <c r="J57" s="4">
        <v>66.900000000000006</v>
      </c>
      <c r="K57" s="4">
        <f t="shared" si="11"/>
        <v>1.7</v>
      </c>
      <c r="L57">
        <v>170</v>
      </c>
      <c r="M57" s="4">
        <f t="shared" si="10"/>
        <v>15.520800000000001</v>
      </c>
      <c r="N57" s="4">
        <v>48.7</v>
      </c>
      <c r="O57" s="4">
        <v>23.2</v>
      </c>
      <c r="P57" s="40">
        <v>1</v>
      </c>
      <c r="Q57">
        <v>86.5</v>
      </c>
      <c r="R57" s="37">
        <v>0</v>
      </c>
      <c r="S57">
        <v>94.1</v>
      </c>
      <c r="T57" s="5">
        <f t="shared" si="1"/>
        <v>0.91923485653560044</v>
      </c>
      <c r="U57" s="37">
        <v>1</v>
      </c>
      <c r="V57" s="4">
        <f t="shared" si="2"/>
        <v>23.148788927335644</v>
      </c>
      <c r="W57" s="39">
        <v>1</v>
      </c>
      <c r="X57">
        <v>10</v>
      </c>
      <c r="Y57" s="37">
        <v>1</v>
      </c>
      <c r="Z57">
        <v>6.5</v>
      </c>
      <c r="AA57" s="23">
        <f t="shared" si="3"/>
        <v>1.4704444444444444</v>
      </c>
      <c r="AB57" s="84">
        <v>0</v>
      </c>
      <c r="AC57" s="5">
        <v>5.09</v>
      </c>
      <c r="AD57" s="37">
        <v>0</v>
      </c>
      <c r="AE57">
        <v>13.04</v>
      </c>
      <c r="AF57" s="5">
        <v>4.46</v>
      </c>
      <c r="AG57" s="37">
        <v>0</v>
      </c>
      <c r="AH57" s="5">
        <v>0.88</v>
      </c>
      <c r="AI57" s="37">
        <v>0</v>
      </c>
      <c r="AJ57" s="5">
        <v>2.9</v>
      </c>
      <c r="AK57" s="37">
        <v>0</v>
      </c>
      <c r="AL57" s="5">
        <v>1.17</v>
      </c>
      <c r="AM57" s="37">
        <v>0</v>
      </c>
      <c r="AN57" s="4">
        <f t="shared" si="4"/>
        <v>3.8119658119658122</v>
      </c>
      <c r="AO57" s="37">
        <v>0</v>
      </c>
      <c r="AP57">
        <v>166</v>
      </c>
      <c r="AQ57" s="37">
        <v>1</v>
      </c>
      <c r="AR57">
        <v>114</v>
      </c>
      <c r="AS57" s="37">
        <v>1</v>
      </c>
      <c r="AT57">
        <v>78</v>
      </c>
      <c r="AU57">
        <v>52</v>
      </c>
      <c r="AV57">
        <v>8.1</v>
      </c>
      <c r="AW57" s="37">
        <v>0</v>
      </c>
      <c r="AX57">
        <v>1107</v>
      </c>
      <c r="AY57">
        <v>31.2</v>
      </c>
      <c r="AZ57">
        <v>26.6</v>
      </c>
      <c r="BA57">
        <v>197.5</v>
      </c>
      <c r="BB57">
        <v>7.8</v>
      </c>
      <c r="BC57">
        <v>159</v>
      </c>
      <c r="BD57">
        <v>26.7</v>
      </c>
      <c r="BE57">
        <v>22.5</v>
      </c>
      <c r="BF57">
        <v>65</v>
      </c>
      <c r="BG57">
        <v>21.6</v>
      </c>
      <c r="BH57">
        <v>11.3</v>
      </c>
      <c r="BI57">
        <v>66.900000000000006</v>
      </c>
      <c r="BJ57">
        <v>13.8</v>
      </c>
      <c r="BK57">
        <v>7.6</v>
      </c>
      <c r="BL57">
        <v>17</v>
      </c>
      <c r="BM57">
        <v>2.8</v>
      </c>
      <c r="BN57">
        <v>1.2</v>
      </c>
      <c r="BO57">
        <v>1.05</v>
      </c>
      <c r="BP57">
        <v>0.04</v>
      </c>
      <c r="BQ57">
        <v>0</v>
      </c>
      <c r="BR57">
        <v>254</v>
      </c>
      <c r="BS57">
        <v>126.3</v>
      </c>
      <c r="BT57">
        <v>3281</v>
      </c>
      <c r="BU57">
        <v>1146</v>
      </c>
      <c r="BV57">
        <v>6.46</v>
      </c>
      <c r="BW57">
        <v>4.58</v>
      </c>
      <c r="BX57">
        <v>1.1200000000000001</v>
      </c>
      <c r="BY57">
        <v>17.899999999999999</v>
      </c>
      <c r="BZ57">
        <v>35.299999999999997</v>
      </c>
      <c r="CA57">
        <v>0.32</v>
      </c>
      <c r="CB57">
        <v>0.47</v>
      </c>
      <c r="CC57">
        <v>8.3000000000000007</v>
      </c>
      <c r="CD57">
        <v>0.56000000000000005</v>
      </c>
      <c r="CE57">
        <v>0.44</v>
      </c>
      <c r="CF57">
        <v>154.30000000000001</v>
      </c>
      <c r="CG57">
        <v>5.4</v>
      </c>
      <c r="CH57">
        <v>123</v>
      </c>
      <c r="CI57">
        <v>0.38</v>
      </c>
      <c r="CJ57">
        <v>1.6</v>
      </c>
      <c r="CK57">
        <v>0</v>
      </c>
      <c r="CL57" s="42" t="str">
        <f t="shared" si="5"/>
        <v>1</v>
      </c>
      <c r="CM57">
        <v>0</v>
      </c>
      <c r="CN57" s="4">
        <v>0</v>
      </c>
      <c r="CO57">
        <v>6</v>
      </c>
      <c r="CP57" s="42" t="str">
        <f t="shared" si="6"/>
        <v>3</v>
      </c>
      <c r="CQ57" s="4">
        <v>320</v>
      </c>
      <c r="CR57" s="4">
        <v>2.7</v>
      </c>
      <c r="CS57" s="43" t="str">
        <f t="shared" si="7"/>
        <v>3</v>
      </c>
      <c r="CT57" s="4">
        <f t="shared" si="8"/>
        <v>320</v>
      </c>
      <c r="CU57" s="4">
        <f t="shared" si="9"/>
        <v>2.7</v>
      </c>
      <c r="CV57" s="4">
        <v>2</v>
      </c>
    </row>
    <row r="58" spans="1:100" x14ac:dyDescent="0.3">
      <c r="A58" s="15" t="s">
        <v>133</v>
      </c>
      <c r="B58" s="17">
        <v>0</v>
      </c>
      <c r="C58" s="3">
        <v>30</v>
      </c>
      <c r="D58">
        <v>3</v>
      </c>
      <c r="E58">
        <v>2</v>
      </c>
      <c r="F58">
        <v>2</v>
      </c>
      <c r="G58">
        <v>2</v>
      </c>
      <c r="H58">
        <v>1</v>
      </c>
      <c r="I58">
        <v>0</v>
      </c>
      <c r="J58" s="4">
        <v>75.7</v>
      </c>
      <c r="K58" s="4">
        <f t="shared" si="11"/>
        <v>1.6</v>
      </c>
      <c r="L58">
        <v>160</v>
      </c>
      <c r="M58" s="4">
        <f t="shared" si="10"/>
        <v>21.953000000000003</v>
      </c>
      <c r="N58" s="4">
        <v>50.9</v>
      </c>
      <c r="O58" s="4">
        <v>29</v>
      </c>
      <c r="P58" s="40">
        <v>1</v>
      </c>
      <c r="Q58">
        <v>103</v>
      </c>
      <c r="R58" s="37">
        <v>1</v>
      </c>
      <c r="S58">
        <v>104</v>
      </c>
      <c r="T58" s="5">
        <f t="shared" si="1"/>
        <v>0.99038461538461542</v>
      </c>
      <c r="U58" s="37">
        <v>1</v>
      </c>
      <c r="V58" s="4">
        <f t="shared" si="2"/>
        <v>29.570312499999996</v>
      </c>
      <c r="W58" s="39">
        <v>1</v>
      </c>
      <c r="X58">
        <v>13</v>
      </c>
      <c r="Y58" s="37">
        <v>1</v>
      </c>
      <c r="AA58" s="23"/>
      <c r="AB58" s="84"/>
      <c r="AC58" s="5">
        <v>4.9400000000000004</v>
      </c>
      <c r="AD58" s="37">
        <v>0</v>
      </c>
      <c r="AE58">
        <v>21.65</v>
      </c>
      <c r="AF58" s="5">
        <v>6.19</v>
      </c>
      <c r="AG58" s="37">
        <v>1</v>
      </c>
      <c r="AH58" s="5">
        <v>1.97</v>
      </c>
      <c r="AI58" s="37">
        <v>1</v>
      </c>
      <c r="AJ58" s="5">
        <v>4.2</v>
      </c>
      <c r="AK58" s="37">
        <v>1</v>
      </c>
      <c r="AL58" s="5">
        <v>1.0900000000000001</v>
      </c>
      <c r="AM58" s="37">
        <v>0</v>
      </c>
      <c r="AN58" s="4">
        <f t="shared" si="4"/>
        <v>5.6788990825688073</v>
      </c>
      <c r="AO58" s="37">
        <v>1</v>
      </c>
      <c r="AP58">
        <v>128</v>
      </c>
      <c r="AQ58" s="38">
        <v>0</v>
      </c>
      <c r="AR58">
        <v>75</v>
      </c>
      <c r="AS58" s="37">
        <v>0</v>
      </c>
      <c r="AT58">
        <v>70</v>
      </c>
      <c r="AU58">
        <v>53</v>
      </c>
      <c r="AV58">
        <v>5.7</v>
      </c>
      <c r="AW58" s="37">
        <v>1</v>
      </c>
      <c r="AX58">
        <v>2474</v>
      </c>
      <c r="AY58">
        <v>80.099999999999994</v>
      </c>
      <c r="AZ58">
        <v>78.7</v>
      </c>
      <c r="BA58">
        <v>384.1</v>
      </c>
      <c r="BB58">
        <v>10.4</v>
      </c>
      <c r="BC58">
        <v>328.2</v>
      </c>
      <c r="BD58">
        <v>38</v>
      </c>
      <c r="BE58">
        <v>11.3</v>
      </c>
      <c r="BF58">
        <v>136.6</v>
      </c>
      <c r="BG58">
        <v>28.6</v>
      </c>
      <c r="BH58">
        <v>13</v>
      </c>
      <c r="BI58">
        <v>58.2</v>
      </c>
      <c r="BJ58">
        <v>20.9</v>
      </c>
      <c r="BK58">
        <v>1.7</v>
      </c>
      <c r="BL58">
        <v>57.5</v>
      </c>
      <c r="BM58">
        <v>10.5</v>
      </c>
      <c r="BN58">
        <v>3.8</v>
      </c>
      <c r="BO58">
        <v>3.03</v>
      </c>
      <c r="BP58">
        <v>0.5</v>
      </c>
      <c r="BQ58">
        <v>0.03</v>
      </c>
      <c r="BR58">
        <v>379</v>
      </c>
      <c r="BS58">
        <v>249.2</v>
      </c>
      <c r="BT58">
        <v>4237</v>
      </c>
      <c r="BU58">
        <v>2435</v>
      </c>
      <c r="BV58">
        <v>18.809999999999999</v>
      </c>
      <c r="BW58">
        <v>10.9</v>
      </c>
      <c r="BX58">
        <v>2.1</v>
      </c>
      <c r="BY58">
        <v>54.5</v>
      </c>
      <c r="BZ58">
        <v>59.9</v>
      </c>
      <c r="CA58">
        <v>1.02</v>
      </c>
      <c r="CB58">
        <v>1.07</v>
      </c>
      <c r="CC58">
        <v>29.3</v>
      </c>
      <c r="CD58">
        <v>1.41</v>
      </c>
      <c r="CE58">
        <v>2.76</v>
      </c>
      <c r="CF58">
        <v>245.8</v>
      </c>
      <c r="CG58">
        <v>50.6</v>
      </c>
      <c r="CH58">
        <v>739</v>
      </c>
      <c r="CI58">
        <v>3.97</v>
      </c>
      <c r="CJ58">
        <v>2</v>
      </c>
      <c r="CK58">
        <v>3</v>
      </c>
      <c r="CL58" s="42" t="str">
        <f t="shared" si="5"/>
        <v>1</v>
      </c>
      <c r="CM58" s="4">
        <v>72.666666666666671</v>
      </c>
      <c r="CN58" s="4">
        <v>1.4533333333333334</v>
      </c>
      <c r="CO58">
        <v>7</v>
      </c>
      <c r="CP58" s="42" t="str">
        <f t="shared" si="6"/>
        <v>1</v>
      </c>
      <c r="CQ58" s="4">
        <v>145</v>
      </c>
      <c r="CR58" s="4">
        <v>2.5716049382716051</v>
      </c>
      <c r="CS58" s="43" t="str">
        <f t="shared" si="7"/>
        <v>2</v>
      </c>
      <c r="CT58" s="4">
        <f t="shared" si="8"/>
        <v>217.66666666666669</v>
      </c>
      <c r="CU58" s="4">
        <f t="shared" si="9"/>
        <v>4.0249382716049382</v>
      </c>
      <c r="CV58" s="4">
        <v>4</v>
      </c>
    </row>
    <row r="59" spans="1:100" x14ac:dyDescent="0.3">
      <c r="A59" s="15" t="s">
        <v>134</v>
      </c>
      <c r="B59" s="17">
        <v>0</v>
      </c>
      <c r="C59" s="3">
        <v>48</v>
      </c>
      <c r="D59">
        <v>1</v>
      </c>
      <c r="E59">
        <v>2</v>
      </c>
      <c r="F59">
        <v>2</v>
      </c>
      <c r="G59">
        <v>2</v>
      </c>
      <c r="H59">
        <v>1</v>
      </c>
      <c r="I59">
        <v>0</v>
      </c>
      <c r="J59" s="4">
        <v>63.9</v>
      </c>
      <c r="K59" s="4">
        <f t="shared" si="11"/>
        <v>1.63</v>
      </c>
      <c r="L59">
        <v>163</v>
      </c>
      <c r="M59" s="4">
        <f t="shared" si="10"/>
        <v>16.4862</v>
      </c>
      <c r="N59" s="4">
        <v>44.9</v>
      </c>
      <c r="O59" s="4">
        <v>25.8</v>
      </c>
      <c r="P59" s="40">
        <v>1</v>
      </c>
      <c r="Q59">
        <v>86.2</v>
      </c>
      <c r="R59" s="37">
        <v>0</v>
      </c>
      <c r="S59">
        <v>93.1</v>
      </c>
      <c r="T59" s="5">
        <f t="shared" si="1"/>
        <v>0.92588614393125679</v>
      </c>
      <c r="U59" s="37">
        <v>1</v>
      </c>
      <c r="V59" s="4">
        <f t="shared" si="2"/>
        <v>24.050585268546051</v>
      </c>
      <c r="W59" s="39">
        <v>1</v>
      </c>
      <c r="X59">
        <v>12</v>
      </c>
      <c r="Y59" s="37">
        <v>1</v>
      </c>
      <c r="Z59">
        <v>28.46</v>
      </c>
      <c r="AA59" s="23">
        <f t="shared" si="3"/>
        <v>5.4516711111111107</v>
      </c>
      <c r="AB59" s="84">
        <v>1</v>
      </c>
      <c r="AC59" s="5">
        <v>4.3099999999999996</v>
      </c>
      <c r="AD59" s="37">
        <v>0</v>
      </c>
      <c r="AE59">
        <v>3</v>
      </c>
      <c r="AF59" s="5">
        <v>4.88</v>
      </c>
      <c r="AG59" s="37">
        <v>0</v>
      </c>
      <c r="AH59" s="5">
        <v>1.07</v>
      </c>
      <c r="AI59" s="37">
        <v>0</v>
      </c>
      <c r="AJ59" s="5">
        <v>3.2</v>
      </c>
      <c r="AK59" s="37">
        <v>0</v>
      </c>
      <c r="AL59" s="5">
        <v>1.1499999999999999</v>
      </c>
      <c r="AM59" s="37">
        <v>0</v>
      </c>
      <c r="AN59" s="4">
        <f t="shared" si="4"/>
        <v>4.2434782608695656</v>
      </c>
      <c r="AO59" s="37">
        <v>1</v>
      </c>
      <c r="AP59">
        <v>118</v>
      </c>
      <c r="AQ59" s="38">
        <v>0</v>
      </c>
      <c r="AR59">
        <v>81</v>
      </c>
      <c r="AS59" s="37">
        <v>0</v>
      </c>
      <c r="AT59">
        <v>58</v>
      </c>
      <c r="AU59">
        <v>37</v>
      </c>
      <c r="AV59">
        <v>6.7</v>
      </c>
      <c r="AW59" s="37">
        <v>1</v>
      </c>
      <c r="AX59">
        <v>2419</v>
      </c>
      <c r="AY59">
        <v>69.8</v>
      </c>
      <c r="AZ59">
        <v>73</v>
      </c>
      <c r="BA59">
        <v>394.3</v>
      </c>
      <c r="BB59">
        <v>12.1</v>
      </c>
      <c r="BC59">
        <v>284.8</v>
      </c>
      <c r="BD59">
        <v>86.2</v>
      </c>
      <c r="BE59">
        <v>42.5</v>
      </c>
      <c r="BF59">
        <v>132.69999999999999</v>
      </c>
      <c r="BG59">
        <v>27.2</v>
      </c>
      <c r="BH59">
        <v>11.5</v>
      </c>
      <c r="BI59">
        <v>61.1</v>
      </c>
      <c r="BJ59">
        <v>17.899999999999999</v>
      </c>
      <c r="BK59">
        <v>6.6</v>
      </c>
      <c r="BL59">
        <v>48.1</v>
      </c>
      <c r="BM59">
        <v>9.5</v>
      </c>
      <c r="BN59">
        <v>4.2</v>
      </c>
      <c r="BO59">
        <v>3.81</v>
      </c>
      <c r="BP59">
        <v>0.32</v>
      </c>
      <c r="BQ59">
        <v>0.28999999999999998</v>
      </c>
      <c r="BR59">
        <v>584</v>
      </c>
      <c r="BS59">
        <v>251.9</v>
      </c>
      <c r="BT59">
        <v>3595</v>
      </c>
      <c r="BU59">
        <v>2752</v>
      </c>
      <c r="BV59">
        <v>15.62</v>
      </c>
      <c r="BW59">
        <v>9.1300000000000008</v>
      </c>
      <c r="BX59">
        <v>2.12</v>
      </c>
      <c r="BY59">
        <v>80.8</v>
      </c>
      <c r="BZ59">
        <v>84.4</v>
      </c>
      <c r="CA59">
        <v>0.78</v>
      </c>
      <c r="CB59">
        <v>0.94</v>
      </c>
      <c r="CC59">
        <v>24.4</v>
      </c>
      <c r="CD59">
        <v>1.44</v>
      </c>
      <c r="CE59">
        <v>0.45</v>
      </c>
      <c r="CF59">
        <v>291.10000000000002</v>
      </c>
      <c r="CG59">
        <v>165.6</v>
      </c>
      <c r="CH59">
        <v>372</v>
      </c>
      <c r="CI59">
        <v>16.239999999999998</v>
      </c>
      <c r="CJ59">
        <v>2.7</v>
      </c>
      <c r="CK59">
        <v>4</v>
      </c>
      <c r="CL59" s="42" t="str">
        <f t="shared" si="5"/>
        <v>3</v>
      </c>
      <c r="CM59" s="4">
        <v>283.33333333333331</v>
      </c>
      <c r="CN59" s="4">
        <v>5.6666666666666661</v>
      </c>
      <c r="CO59">
        <v>4</v>
      </c>
      <c r="CP59" s="42" t="str">
        <f t="shared" si="6"/>
        <v>1</v>
      </c>
      <c r="CQ59" s="4">
        <v>137</v>
      </c>
      <c r="CR59" s="4">
        <v>2.55679012345679</v>
      </c>
      <c r="CS59" s="43" t="str">
        <f t="shared" si="7"/>
        <v>4</v>
      </c>
      <c r="CT59" s="4">
        <f t="shared" si="8"/>
        <v>420.33333333333331</v>
      </c>
      <c r="CU59" s="4">
        <f t="shared" si="9"/>
        <v>8.223456790123457</v>
      </c>
      <c r="CV59" s="4">
        <v>4</v>
      </c>
    </row>
    <row r="60" spans="1:100" x14ac:dyDescent="0.3">
      <c r="A60" s="15" t="s">
        <v>135</v>
      </c>
      <c r="B60" s="17">
        <v>0</v>
      </c>
      <c r="C60" s="3">
        <v>43</v>
      </c>
      <c r="D60">
        <v>2</v>
      </c>
      <c r="E60">
        <v>2</v>
      </c>
      <c r="F60">
        <v>1</v>
      </c>
      <c r="G60">
        <v>2</v>
      </c>
      <c r="H60">
        <v>1</v>
      </c>
      <c r="I60">
        <v>1</v>
      </c>
      <c r="J60" s="4">
        <v>66.3</v>
      </c>
      <c r="K60" s="4">
        <f t="shared" si="11"/>
        <v>1.65</v>
      </c>
      <c r="L60">
        <v>165</v>
      </c>
      <c r="M60" s="4">
        <f t="shared" si="10"/>
        <v>14.6523</v>
      </c>
      <c r="N60" s="4">
        <v>48.9</v>
      </c>
      <c r="O60" s="4">
        <v>22.1</v>
      </c>
      <c r="P60" s="40">
        <v>0</v>
      </c>
      <c r="Q60">
        <v>87.2</v>
      </c>
      <c r="R60" s="37">
        <v>0</v>
      </c>
      <c r="S60">
        <v>95.5</v>
      </c>
      <c r="T60" s="5">
        <f t="shared" si="1"/>
        <v>0.9130890052356021</v>
      </c>
      <c r="U60" s="37">
        <v>1</v>
      </c>
      <c r="V60" s="4">
        <f t="shared" si="2"/>
        <v>24.352617079889807</v>
      </c>
      <c r="W60" s="39">
        <v>1</v>
      </c>
      <c r="X60">
        <v>10</v>
      </c>
      <c r="Y60" s="37">
        <v>1</v>
      </c>
      <c r="Z60">
        <v>7.31</v>
      </c>
      <c r="AA60" s="23">
        <f t="shared" si="3"/>
        <v>1.7316577777777777</v>
      </c>
      <c r="AB60" s="84">
        <v>0</v>
      </c>
      <c r="AC60" s="5">
        <v>5.33</v>
      </c>
      <c r="AD60" s="37">
        <v>0</v>
      </c>
      <c r="AE60">
        <v>26.45</v>
      </c>
      <c r="AF60" s="5">
        <v>6.63</v>
      </c>
      <c r="AG60" s="37">
        <v>1</v>
      </c>
      <c r="AH60" s="5">
        <v>1.58</v>
      </c>
      <c r="AI60" s="37">
        <v>0</v>
      </c>
      <c r="AJ60" s="5">
        <v>4.45</v>
      </c>
      <c r="AK60" s="37">
        <v>1</v>
      </c>
      <c r="AL60" s="5">
        <v>1.46</v>
      </c>
      <c r="AM60" s="37">
        <v>0</v>
      </c>
      <c r="AN60" s="4">
        <f t="shared" si="4"/>
        <v>4.5410958904109586</v>
      </c>
      <c r="AO60" s="37">
        <v>1</v>
      </c>
      <c r="AP60">
        <v>137</v>
      </c>
      <c r="AQ60" s="37">
        <v>1</v>
      </c>
      <c r="AR60">
        <v>93</v>
      </c>
      <c r="AS60" s="37">
        <v>1</v>
      </c>
      <c r="AT60">
        <v>72</v>
      </c>
      <c r="AU60">
        <v>44</v>
      </c>
      <c r="AV60">
        <v>6.8</v>
      </c>
      <c r="AW60" s="37">
        <v>1</v>
      </c>
      <c r="AX60">
        <v>1744</v>
      </c>
      <c r="AY60">
        <v>47</v>
      </c>
      <c r="AZ60">
        <v>58.6</v>
      </c>
      <c r="BA60">
        <v>273.89999999999998</v>
      </c>
      <c r="BB60">
        <v>6.9</v>
      </c>
      <c r="BC60">
        <v>202.9</v>
      </c>
      <c r="BD60">
        <v>47.7</v>
      </c>
      <c r="BE60">
        <v>37.9</v>
      </c>
      <c r="BF60">
        <v>60</v>
      </c>
      <c r="BG60">
        <v>30.3</v>
      </c>
      <c r="BH60">
        <v>10.8</v>
      </c>
      <c r="BI60">
        <v>58.9</v>
      </c>
      <c r="BJ60">
        <v>21.8</v>
      </c>
      <c r="BK60">
        <v>8.1</v>
      </c>
      <c r="BL60">
        <v>42.3</v>
      </c>
      <c r="BM60">
        <v>5.3</v>
      </c>
      <c r="BN60">
        <v>2.5</v>
      </c>
      <c r="BO60">
        <v>2.11</v>
      </c>
      <c r="BP60">
        <v>0.18</v>
      </c>
      <c r="BQ60">
        <v>0.03</v>
      </c>
      <c r="BR60">
        <v>318</v>
      </c>
      <c r="BS60">
        <v>191.7</v>
      </c>
      <c r="BT60">
        <v>2549</v>
      </c>
      <c r="BU60">
        <v>1721</v>
      </c>
      <c r="BV60">
        <v>10.41</v>
      </c>
      <c r="BW60">
        <v>6.46</v>
      </c>
      <c r="BX60">
        <v>1.4</v>
      </c>
      <c r="BY60">
        <v>28.8</v>
      </c>
      <c r="BZ60">
        <v>35</v>
      </c>
      <c r="CA60">
        <v>0.67</v>
      </c>
      <c r="CB60">
        <v>0.45</v>
      </c>
      <c r="CC60">
        <v>14.3</v>
      </c>
      <c r="CD60">
        <v>0.97</v>
      </c>
      <c r="CE60">
        <v>1.1399999999999999</v>
      </c>
      <c r="CF60">
        <v>233.5</v>
      </c>
      <c r="CG60">
        <v>33.1</v>
      </c>
      <c r="CH60">
        <v>480</v>
      </c>
      <c r="CI60">
        <v>0.08</v>
      </c>
      <c r="CJ60">
        <v>1.5</v>
      </c>
      <c r="CK60">
        <v>0</v>
      </c>
      <c r="CL60" s="42" t="str">
        <f t="shared" si="5"/>
        <v>1</v>
      </c>
      <c r="CM60">
        <v>0</v>
      </c>
      <c r="CN60" s="4">
        <v>0</v>
      </c>
      <c r="CO60">
        <v>7</v>
      </c>
      <c r="CP60" s="42" t="str">
        <f t="shared" si="6"/>
        <v>1</v>
      </c>
      <c r="CQ60" s="4">
        <v>108</v>
      </c>
      <c r="CR60" s="4">
        <v>1.7703703703703704</v>
      </c>
      <c r="CS60" s="43" t="str">
        <f t="shared" si="7"/>
        <v>1</v>
      </c>
      <c r="CT60" s="4">
        <f t="shared" si="8"/>
        <v>108</v>
      </c>
      <c r="CU60" s="4">
        <f t="shared" si="9"/>
        <v>1.7703703703703704</v>
      </c>
      <c r="CV60" s="4">
        <v>1</v>
      </c>
    </row>
    <row r="61" spans="1:100" x14ac:dyDescent="0.3">
      <c r="A61" s="15" t="s">
        <v>136</v>
      </c>
      <c r="B61" s="17">
        <v>0</v>
      </c>
      <c r="C61" s="3">
        <v>48</v>
      </c>
      <c r="D61">
        <v>2</v>
      </c>
      <c r="E61">
        <v>1</v>
      </c>
      <c r="F61">
        <v>1</v>
      </c>
      <c r="G61">
        <v>1</v>
      </c>
      <c r="H61">
        <v>1</v>
      </c>
      <c r="I61">
        <v>0</v>
      </c>
      <c r="J61" s="4">
        <v>80.2</v>
      </c>
      <c r="K61" s="4">
        <f t="shared" si="11"/>
        <v>1.72</v>
      </c>
      <c r="L61">
        <v>172</v>
      </c>
      <c r="M61" s="4">
        <f t="shared" si="10"/>
        <v>22.055</v>
      </c>
      <c r="N61" s="4">
        <v>55.1</v>
      </c>
      <c r="O61" s="4">
        <v>27.5</v>
      </c>
      <c r="P61" s="40">
        <v>1</v>
      </c>
      <c r="Q61">
        <v>100</v>
      </c>
      <c r="R61" s="37">
        <v>1</v>
      </c>
      <c r="S61">
        <v>106</v>
      </c>
      <c r="T61" s="5">
        <f t="shared" si="1"/>
        <v>0.94339622641509435</v>
      </c>
      <c r="U61" s="37">
        <v>1</v>
      </c>
      <c r="V61" s="4">
        <f t="shared" si="2"/>
        <v>27.109248242293134</v>
      </c>
      <c r="W61" s="39">
        <v>1</v>
      </c>
      <c r="X61">
        <v>14</v>
      </c>
      <c r="Y61" s="37">
        <v>1</v>
      </c>
      <c r="Z61">
        <v>48.5</v>
      </c>
      <c r="AA61" s="23">
        <f t="shared" si="3"/>
        <v>13.58</v>
      </c>
      <c r="AB61" s="84">
        <v>1</v>
      </c>
      <c r="AC61" s="5">
        <v>6.3</v>
      </c>
      <c r="AD61" s="37">
        <v>1</v>
      </c>
      <c r="AE61">
        <v>3</v>
      </c>
      <c r="AF61" s="5">
        <v>6.44</v>
      </c>
      <c r="AG61" s="37">
        <v>1</v>
      </c>
      <c r="AH61" s="5">
        <v>0.91</v>
      </c>
      <c r="AI61" s="37">
        <v>0</v>
      </c>
      <c r="AJ61" s="5">
        <v>4.5</v>
      </c>
      <c r="AK61" s="37">
        <v>1</v>
      </c>
      <c r="AL61" s="5">
        <v>1.49</v>
      </c>
      <c r="AM61" s="37">
        <v>0</v>
      </c>
      <c r="AN61" s="4">
        <f t="shared" si="4"/>
        <v>4.3221476510067118</v>
      </c>
      <c r="AO61" s="37">
        <v>1</v>
      </c>
      <c r="AP61">
        <v>133</v>
      </c>
      <c r="AQ61" s="37">
        <v>1</v>
      </c>
      <c r="AR61">
        <v>88</v>
      </c>
      <c r="AS61" s="37">
        <v>1</v>
      </c>
      <c r="AT61">
        <v>68</v>
      </c>
      <c r="AU61">
        <v>44</v>
      </c>
      <c r="AV61">
        <v>7.2</v>
      </c>
      <c r="AW61" s="37">
        <v>1</v>
      </c>
      <c r="AX61">
        <v>2524</v>
      </c>
      <c r="AY61">
        <v>63.5</v>
      </c>
      <c r="AZ61">
        <v>92</v>
      </c>
      <c r="BA61">
        <v>383</v>
      </c>
      <c r="BB61">
        <v>8.6</v>
      </c>
      <c r="BC61">
        <v>319.39999999999998</v>
      </c>
      <c r="BD61">
        <v>28.3</v>
      </c>
      <c r="BE61">
        <v>18.399999999999999</v>
      </c>
      <c r="BF61">
        <v>86.3</v>
      </c>
      <c r="BG61">
        <v>32.799999999999997</v>
      </c>
      <c r="BH61">
        <v>10.1</v>
      </c>
      <c r="BI61">
        <v>56.9</v>
      </c>
      <c r="BJ61">
        <v>20.3</v>
      </c>
      <c r="BK61">
        <v>2.7</v>
      </c>
      <c r="BL61">
        <v>57</v>
      </c>
      <c r="BM61">
        <v>7</v>
      </c>
      <c r="BN61">
        <v>3.8</v>
      </c>
      <c r="BO61">
        <v>2.61</v>
      </c>
      <c r="BP61">
        <v>0.18</v>
      </c>
      <c r="BQ61">
        <v>0.03</v>
      </c>
      <c r="BR61">
        <v>465</v>
      </c>
      <c r="BS61">
        <v>247.4</v>
      </c>
      <c r="BT61">
        <v>5039</v>
      </c>
      <c r="BU61">
        <v>2484</v>
      </c>
      <c r="BV61">
        <v>13.84</v>
      </c>
      <c r="BW61">
        <v>8.02</v>
      </c>
      <c r="BX61">
        <v>1.98</v>
      </c>
      <c r="BY61">
        <v>64.099999999999994</v>
      </c>
      <c r="BZ61">
        <v>60.8</v>
      </c>
      <c r="CA61">
        <v>0.64</v>
      </c>
      <c r="CB61">
        <v>0.68</v>
      </c>
      <c r="CC61">
        <v>19</v>
      </c>
      <c r="CD61">
        <v>1.24</v>
      </c>
      <c r="CE61">
        <v>2.4900000000000002</v>
      </c>
      <c r="CF61">
        <v>204.7</v>
      </c>
      <c r="CG61">
        <v>52</v>
      </c>
      <c r="CH61">
        <v>720</v>
      </c>
      <c r="CI61">
        <v>3.94</v>
      </c>
      <c r="CJ61">
        <v>3.1</v>
      </c>
      <c r="CK61">
        <v>2</v>
      </c>
      <c r="CL61" s="42" t="str">
        <f t="shared" si="5"/>
        <v>2</v>
      </c>
      <c r="CM61">
        <v>103</v>
      </c>
      <c r="CN61" s="4">
        <v>2.06</v>
      </c>
      <c r="CO61">
        <v>7</v>
      </c>
      <c r="CP61" s="42" t="str">
        <f t="shared" si="6"/>
        <v>2</v>
      </c>
      <c r="CQ61" s="4">
        <v>292.33333333333331</v>
      </c>
      <c r="CR61" s="4">
        <v>4.2629629629629626</v>
      </c>
      <c r="CS61" s="43" t="str">
        <f t="shared" si="7"/>
        <v>3</v>
      </c>
      <c r="CT61" s="4">
        <f t="shared" si="8"/>
        <v>395.33333333333331</v>
      </c>
      <c r="CU61" s="4">
        <f t="shared" si="9"/>
        <v>6.3229629629629631</v>
      </c>
      <c r="CV61" s="4">
        <v>4</v>
      </c>
    </row>
    <row r="62" spans="1:100" x14ac:dyDescent="0.3">
      <c r="A62" s="15" t="s">
        <v>137</v>
      </c>
      <c r="B62" s="17">
        <v>0</v>
      </c>
      <c r="C62" s="3">
        <v>42</v>
      </c>
      <c r="D62">
        <v>3</v>
      </c>
      <c r="E62">
        <v>1</v>
      </c>
      <c r="F62">
        <v>2</v>
      </c>
      <c r="G62">
        <v>0</v>
      </c>
      <c r="H62">
        <v>1</v>
      </c>
      <c r="I62">
        <v>1</v>
      </c>
      <c r="J62" s="4">
        <v>58.5</v>
      </c>
      <c r="K62" s="4">
        <f t="shared" si="11"/>
        <v>1.61</v>
      </c>
      <c r="L62">
        <v>161</v>
      </c>
      <c r="M62" s="4">
        <f t="shared" si="10"/>
        <v>11.817</v>
      </c>
      <c r="N62" s="4">
        <v>44.3</v>
      </c>
      <c r="O62" s="4">
        <v>20.2</v>
      </c>
      <c r="P62" s="40">
        <v>0</v>
      </c>
      <c r="Q62">
        <v>79</v>
      </c>
      <c r="R62" s="37">
        <v>0</v>
      </c>
      <c r="S62">
        <v>93</v>
      </c>
      <c r="T62" s="5">
        <f t="shared" si="1"/>
        <v>0.84946236559139787</v>
      </c>
      <c r="U62" s="37">
        <v>0</v>
      </c>
      <c r="V62" s="4">
        <f t="shared" si="2"/>
        <v>22.568573743296938</v>
      </c>
      <c r="W62" s="39">
        <v>0</v>
      </c>
      <c r="X62">
        <v>8</v>
      </c>
      <c r="Y62" s="40">
        <v>0</v>
      </c>
      <c r="Z62">
        <v>11.2</v>
      </c>
      <c r="AA62" s="23">
        <f t="shared" si="3"/>
        <v>2.5386666666666664</v>
      </c>
      <c r="AB62" s="84">
        <v>0</v>
      </c>
      <c r="AC62" s="5">
        <v>5.0999999999999996</v>
      </c>
      <c r="AD62" s="37">
        <v>0</v>
      </c>
      <c r="AE62">
        <v>3</v>
      </c>
      <c r="AF62" s="5">
        <v>5.66</v>
      </c>
      <c r="AG62" s="37">
        <v>1</v>
      </c>
      <c r="AH62" s="5">
        <v>1.19</v>
      </c>
      <c r="AI62" s="37">
        <v>0</v>
      </c>
      <c r="AJ62" s="5">
        <v>4.0999999999999996</v>
      </c>
      <c r="AK62" s="37">
        <v>1</v>
      </c>
      <c r="AL62" s="5">
        <v>1.04</v>
      </c>
      <c r="AM62" s="37">
        <v>0</v>
      </c>
      <c r="AN62" s="4">
        <f t="shared" si="4"/>
        <v>5.4423076923076925</v>
      </c>
      <c r="AO62" s="37">
        <v>1</v>
      </c>
      <c r="AP62">
        <v>110</v>
      </c>
      <c r="AQ62" s="38">
        <v>0</v>
      </c>
      <c r="AR62">
        <v>77</v>
      </c>
      <c r="AS62" s="37">
        <v>0</v>
      </c>
      <c r="AT62">
        <v>72</v>
      </c>
      <c r="AU62">
        <v>33</v>
      </c>
      <c r="AV62">
        <v>5.9</v>
      </c>
      <c r="AW62" s="37">
        <v>1</v>
      </c>
      <c r="AX62">
        <v>2264</v>
      </c>
      <c r="AY62">
        <v>55.1</v>
      </c>
      <c r="AZ62">
        <v>68.5</v>
      </c>
      <c r="BA62">
        <v>378.9</v>
      </c>
      <c r="BB62">
        <v>13.3</v>
      </c>
      <c r="BC62">
        <v>319.7</v>
      </c>
      <c r="BD62">
        <v>38</v>
      </c>
      <c r="BE62">
        <v>25.5</v>
      </c>
      <c r="BF62">
        <v>47.7</v>
      </c>
      <c r="BG62">
        <v>27.2</v>
      </c>
      <c r="BH62">
        <v>9.6999999999999993</v>
      </c>
      <c r="BI62">
        <v>62.8</v>
      </c>
      <c r="BJ62">
        <v>20.9</v>
      </c>
      <c r="BK62">
        <v>4.2</v>
      </c>
      <c r="BL62">
        <v>52.6</v>
      </c>
      <c r="BM62">
        <v>6.3</v>
      </c>
      <c r="BN62">
        <v>3.5</v>
      </c>
      <c r="BO62">
        <v>2.8</v>
      </c>
      <c r="BP62">
        <v>0.55000000000000004</v>
      </c>
      <c r="BQ62">
        <v>0.02</v>
      </c>
      <c r="BR62">
        <v>424</v>
      </c>
      <c r="BS62">
        <v>259.60000000000002</v>
      </c>
      <c r="BT62">
        <v>3893</v>
      </c>
      <c r="BU62">
        <v>2394</v>
      </c>
      <c r="BV62">
        <v>14.38</v>
      </c>
      <c r="BW62">
        <v>8.17</v>
      </c>
      <c r="BX62">
        <v>1.77</v>
      </c>
      <c r="BY62">
        <v>69.099999999999994</v>
      </c>
      <c r="BZ62">
        <v>51.6</v>
      </c>
      <c r="CA62">
        <v>0.79</v>
      </c>
      <c r="CB62">
        <v>0.42</v>
      </c>
      <c r="CC62">
        <v>21.4</v>
      </c>
      <c r="CD62">
        <v>1.04</v>
      </c>
      <c r="CE62">
        <v>1.63</v>
      </c>
      <c r="CF62">
        <v>153</v>
      </c>
      <c r="CG62">
        <v>54.7</v>
      </c>
      <c r="CH62">
        <v>177</v>
      </c>
      <c r="CI62">
        <v>1.86</v>
      </c>
      <c r="CJ62">
        <v>2.4</v>
      </c>
      <c r="CK62">
        <v>1</v>
      </c>
      <c r="CL62" s="42" t="str">
        <f t="shared" si="5"/>
        <v>1</v>
      </c>
      <c r="CM62">
        <v>48</v>
      </c>
      <c r="CN62" s="4">
        <v>0.96</v>
      </c>
      <c r="CO62">
        <v>6</v>
      </c>
      <c r="CP62" s="42" t="str">
        <f t="shared" si="6"/>
        <v>3</v>
      </c>
      <c r="CQ62" s="4">
        <v>330.66666666666669</v>
      </c>
      <c r="CR62" s="4">
        <v>3.2185185185185188</v>
      </c>
      <c r="CS62" s="43" t="str">
        <f t="shared" si="7"/>
        <v>3</v>
      </c>
      <c r="CT62" s="4">
        <f t="shared" si="8"/>
        <v>378.66666666666669</v>
      </c>
      <c r="CU62" s="4">
        <f t="shared" si="9"/>
        <v>4.1785185185185192</v>
      </c>
      <c r="CV62" s="4">
        <v>4</v>
      </c>
    </row>
    <row r="63" spans="1:100" x14ac:dyDescent="0.3">
      <c r="A63" s="15" t="s">
        <v>138</v>
      </c>
      <c r="B63" s="17">
        <v>0</v>
      </c>
      <c r="C63" s="3">
        <v>57</v>
      </c>
      <c r="D63">
        <v>2</v>
      </c>
      <c r="E63">
        <v>1</v>
      </c>
      <c r="F63">
        <v>1</v>
      </c>
      <c r="G63">
        <v>2</v>
      </c>
      <c r="H63">
        <v>1</v>
      </c>
      <c r="I63">
        <v>0</v>
      </c>
      <c r="J63" s="4">
        <v>59.7</v>
      </c>
      <c r="K63" s="4">
        <f t="shared" si="11"/>
        <v>1.58</v>
      </c>
      <c r="L63">
        <v>158</v>
      </c>
      <c r="M63" s="4">
        <f t="shared" si="10"/>
        <v>13.074300000000001</v>
      </c>
      <c r="N63" s="4">
        <v>44.2</v>
      </c>
      <c r="O63" s="4">
        <v>21.9</v>
      </c>
      <c r="P63" s="40">
        <v>0</v>
      </c>
      <c r="Q63">
        <v>90</v>
      </c>
      <c r="R63" s="37">
        <v>1</v>
      </c>
      <c r="S63">
        <v>91</v>
      </c>
      <c r="T63" s="5">
        <f t="shared" si="1"/>
        <v>0.98901098901098905</v>
      </c>
      <c r="U63" s="37">
        <v>1</v>
      </c>
      <c r="V63" s="4">
        <f t="shared" si="2"/>
        <v>23.914436788976122</v>
      </c>
      <c r="W63" s="39">
        <v>1</v>
      </c>
      <c r="X63">
        <v>11</v>
      </c>
      <c r="Y63" s="37">
        <v>1</v>
      </c>
      <c r="Z63">
        <v>22.19</v>
      </c>
      <c r="AA63" s="23">
        <f t="shared" si="3"/>
        <v>5.4439466666666663</v>
      </c>
      <c r="AB63" s="84">
        <v>1</v>
      </c>
      <c r="AC63" s="5">
        <v>5.52</v>
      </c>
      <c r="AD63" s="37">
        <v>0</v>
      </c>
      <c r="AE63">
        <v>20.84</v>
      </c>
      <c r="AF63" s="5">
        <v>6.73</v>
      </c>
      <c r="AG63" s="37">
        <v>1</v>
      </c>
      <c r="AH63" s="5">
        <v>2.39</v>
      </c>
      <c r="AI63" s="37">
        <v>1</v>
      </c>
      <c r="AJ63" s="5">
        <v>4.5999999999999996</v>
      </c>
      <c r="AK63" s="37">
        <v>1</v>
      </c>
      <c r="AL63" s="5">
        <v>1.05</v>
      </c>
      <c r="AM63" s="37">
        <v>0</v>
      </c>
      <c r="AN63" s="4">
        <f t="shared" si="4"/>
        <v>6.4095238095238098</v>
      </c>
      <c r="AO63" s="37">
        <v>1</v>
      </c>
      <c r="AP63">
        <v>140</v>
      </c>
      <c r="AQ63" s="37">
        <v>1</v>
      </c>
      <c r="AR63">
        <v>81</v>
      </c>
      <c r="AS63" s="37">
        <v>0</v>
      </c>
      <c r="AT63">
        <v>54</v>
      </c>
      <c r="AU63">
        <v>59</v>
      </c>
      <c r="AV63">
        <v>8.6</v>
      </c>
      <c r="AW63" s="37">
        <v>1</v>
      </c>
      <c r="AX63">
        <v>1785</v>
      </c>
      <c r="AY63">
        <v>59.1</v>
      </c>
      <c r="AZ63">
        <v>41.4</v>
      </c>
      <c r="BA63">
        <v>313.10000000000002</v>
      </c>
      <c r="BB63">
        <v>8</v>
      </c>
      <c r="BC63">
        <v>257.7</v>
      </c>
      <c r="BD63">
        <v>42.9</v>
      </c>
      <c r="BE63">
        <v>34.6</v>
      </c>
      <c r="BF63">
        <v>75.8</v>
      </c>
      <c r="BG63">
        <v>20.9</v>
      </c>
      <c r="BH63">
        <v>13.2</v>
      </c>
      <c r="BI63">
        <v>65.8</v>
      </c>
      <c r="BJ63">
        <v>15.8</v>
      </c>
      <c r="BK63">
        <v>7.3</v>
      </c>
      <c r="BL63">
        <v>31.2</v>
      </c>
      <c r="BM63">
        <v>3.9</v>
      </c>
      <c r="BN63">
        <v>2.1</v>
      </c>
      <c r="BO63">
        <v>1.61</v>
      </c>
      <c r="BP63">
        <v>0.28999999999999998</v>
      </c>
      <c r="BQ63">
        <v>0</v>
      </c>
      <c r="BR63">
        <v>337</v>
      </c>
      <c r="BS63">
        <v>180.8</v>
      </c>
      <c r="BT63">
        <v>2689</v>
      </c>
      <c r="BU63">
        <v>1781</v>
      </c>
      <c r="BV63">
        <v>11.05</v>
      </c>
      <c r="BW63">
        <v>6.44</v>
      </c>
      <c r="BX63">
        <v>1.38</v>
      </c>
      <c r="BY63">
        <v>37.799999999999997</v>
      </c>
      <c r="BZ63">
        <v>37</v>
      </c>
      <c r="CA63">
        <v>0.66</v>
      </c>
      <c r="CB63">
        <v>0.53</v>
      </c>
      <c r="CC63">
        <v>20.6</v>
      </c>
      <c r="CD63">
        <v>1.1499999999999999</v>
      </c>
      <c r="CE63">
        <v>2.0499999999999998</v>
      </c>
      <c r="CF63">
        <v>187.9</v>
      </c>
      <c r="CG63">
        <v>14.8</v>
      </c>
      <c r="CH63">
        <v>160</v>
      </c>
      <c r="CI63">
        <v>0.47</v>
      </c>
      <c r="CJ63">
        <v>0.9</v>
      </c>
      <c r="CK63">
        <v>0</v>
      </c>
      <c r="CL63" s="42" t="str">
        <f t="shared" si="5"/>
        <v>1</v>
      </c>
      <c r="CM63">
        <v>0</v>
      </c>
      <c r="CN63" s="4">
        <v>0</v>
      </c>
      <c r="CO63">
        <v>4</v>
      </c>
      <c r="CP63" s="42" t="str">
        <f t="shared" si="6"/>
        <v>1</v>
      </c>
      <c r="CQ63" s="4">
        <v>93.333333333333329</v>
      </c>
      <c r="CR63" s="4">
        <v>1.9012345679012344</v>
      </c>
      <c r="CS63" s="43" t="str">
        <f t="shared" si="7"/>
        <v>1</v>
      </c>
      <c r="CT63" s="4">
        <f t="shared" si="8"/>
        <v>93.333333333333329</v>
      </c>
      <c r="CU63" s="4">
        <f t="shared" si="9"/>
        <v>1.9012345679012344</v>
      </c>
      <c r="CV63" s="4">
        <v>1</v>
      </c>
    </row>
    <row r="64" spans="1:100" x14ac:dyDescent="0.3">
      <c r="A64" s="15" t="s">
        <v>139</v>
      </c>
      <c r="B64" s="17">
        <v>0</v>
      </c>
      <c r="C64" s="3">
        <v>49</v>
      </c>
      <c r="D64">
        <v>2</v>
      </c>
      <c r="E64">
        <v>1</v>
      </c>
      <c r="F64">
        <v>2</v>
      </c>
      <c r="G64">
        <v>0</v>
      </c>
      <c r="H64">
        <v>0</v>
      </c>
      <c r="I64">
        <v>0</v>
      </c>
      <c r="J64" s="4">
        <v>58.7</v>
      </c>
      <c r="K64" s="4">
        <f t="shared" si="11"/>
        <v>1.6</v>
      </c>
      <c r="L64">
        <v>160</v>
      </c>
      <c r="M64" s="4">
        <f t="shared" si="10"/>
        <v>13.794500000000001</v>
      </c>
      <c r="N64" s="4">
        <v>42.5</v>
      </c>
      <c r="O64" s="4">
        <v>23.5</v>
      </c>
      <c r="P64" s="40">
        <v>1</v>
      </c>
      <c r="Q64">
        <v>77.599999999999994</v>
      </c>
      <c r="R64" s="37">
        <v>0</v>
      </c>
      <c r="S64">
        <v>89</v>
      </c>
      <c r="T64" s="5">
        <f t="shared" si="1"/>
        <v>0.87191011235955052</v>
      </c>
      <c r="U64" s="37">
        <v>0</v>
      </c>
      <c r="V64" s="4">
        <f t="shared" si="2"/>
        <v>22.929687499999996</v>
      </c>
      <c r="W64" s="39">
        <v>0</v>
      </c>
      <c r="X64">
        <v>10</v>
      </c>
      <c r="Y64" s="37">
        <v>1</v>
      </c>
      <c r="Z64">
        <v>6.76</v>
      </c>
      <c r="AA64" s="23">
        <f t="shared" si="3"/>
        <v>1.51424</v>
      </c>
      <c r="AB64" s="84">
        <v>0</v>
      </c>
      <c r="AC64" s="5">
        <v>5.04</v>
      </c>
      <c r="AD64" s="37">
        <v>0</v>
      </c>
      <c r="AE64">
        <v>20.46</v>
      </c>
      <c r="AF64" s="5">
        <v>5.22</v>
      </c>
      <c r="AG64" s="37">
        <v>1</v>
      </c>
      <c r="AH64" s="5">
        <v>1.26</v>
      </c>
      <c r="AI64" s="37">
        <v>0</v>
      </c>
      <c r="AJ64" s="5">
        <v>3.7</v>
      </c>
      <c r="AK64" s="37">
        <v>1</v>
      </c>
      <c r="AL64" s="5">
        <v>0.98</v>
      </c>
      <c r="AM64" s="37">
        <v>1</v>
      </c>
      <c r="AN64" s="4">
        <f t="shared" si="4"/>
        <v>5.3265306122448974</v>
      </c>
      <c r="AO64" s="37">
        <v>1</v>
      </c>
      <c r="AP64">
        <v>117</v>
      </c>
      <c r="AQ64" s="38">
        <v>0</v>
      </c>
      <c r="AR64">
        <v>76</v>
      </c>
      <c r="AS64" s="37">
        <v>0</v>
      </c>
      <c r="AT64">
        <v>67</v>
      </c>
      <c r="AU64">
        <v>41</v>
      </c>
      <c r="AV64">
        <v>6.9</v>
      </c>
      <c r="AW64" s="37">
        <v>1</v>
      </c>
      <c r="AX64">
        <v>1558</v>
      </c>
      <c r="AY64">
        <v>47.4</v>
      </c>
      <c r="AZ64">
        <v>46.8</v>
      </c>
      <c r="BA64">
        <v>251.9</v>
      </c>
      <c r="BB64">
        <v>9</v>
      </c>
      <c r="BC64">
        <v>204.7</v>
      </c>
      <c r="BD64">
        <v>33</v>
      </c>
      <c r="BE64">
        <v>25.3</v>
      </c>
      <c r="BF64">
        <v>37.1</v>
      </c>
      <c r="BG64">
        <v>27</v>
      </c>
      <c r="BH64">
        <v>12.2</v>
      </c>
      <c r="BI64">
        <v>60.7</v>
      </c>
      <c r="BJ64">
        <v>19.2</v>
      </c>
      <c r="BK64">
        <v>6.1</v>
      </c>
      <c r="BL64">
        <v>33.200000000000003</v>
      </c>
      <c r="BM64">
        <v>3.7</v>
      </c>
      <c r="BN64">
        <v>2.2000000000000002</v>
      </c>
      <c r="BO64">
        <v>1.55</v>
      </c>
      <c r="BP64">
        <v>0.54</v>
      </c>
      <c r="BQ64">
        <v>0</v>
      </c>
      <c r="BR64">
        <v>389</v>
      </c>
      <c r="BS64">
        <v>153.9</v>
      </c>
      <c r="BT64">
        <v>2337</v>
      </c>
      <c r="BU64">
        <v>1262</v>
      </c>
      <c r="BV64">
        <v>8.67</v>
      </c>
      <c r="BW64">
        <v>4.75</v>
      </c>
      <c r="BX64">
        <v>1.07</v>
      </c>
      <c r="BY64">
        <v>59.7</v>
      </c>
      <c r="BZ64">
        <v>14.9</v>
      </c>
      <c r="CA64">
        <v>0.59</v>
      </c>
      <c r="CB64">
        <v>0.41</v>
      </c>
      <c r="CC64">
        <v>14.7</v>
      </c>
      <c r="CD64">
        <v>0.56999999999999995</v>
      </c>
      <c r="CE64">
        <v>2.87</v>
      </c>
      <c r="CF64">
        <v>156.6</v>
      </c>
      <c r="CG64">
        <v>8</v>
      </c>
      <c r="CH64">
        <v>125</v>
      </c>
      <c r="CI64">
        <v>3.63</v>
      </c>
      <c r="CJ64">
        <v>1.1000000000000001</v>
      </c>
      <c r="CK64">
        <v>0</v>
      </c>
      <c r="CL64" s="42" t="str">
        <f t="shared" si="5"/>
        <v>1</v>
      </c>
      <c r="CM64">
        <v>0</v>
      </c>
      <c r="CN64" s="4">
        <v>0</v>
      </c>
      <c r="CO64">
        <v>4</v>
      </c>
      <c r="CP64" s="42" t="str">
        <f t="shared" si="6"/>
        <v>1</v>
      </c>
      <c r="CQ64" s="4">
        <v>43.333333333333336</v>
      </c>
      <c r="CR64" s="4">
        <v>0.53086419753086422</v>
      </c>
      <c r="CS64" s="43" t="str">
        <f t="shared" si="7"/>
        <v>1</v>
      </c>
      <c r="CT64" s="4">
        <f t="shared" si="8"/>
        <v>43.333333333333336</v>
      </c>
      <c r="CU64" s="4">
        <f t="shared" si="9"/>
        <v>0.53086419753086422</v>
      </c>
      <c r="CV64" s="4">
        <v>1</v>
      </c>
    </row>
    <row r="65" spans="1:100" x14ac:dyDescent="0.3">
      <c r="A65" s="15" t="s">
        <v>140</v>
      </c>
      <c r="B65" s="17">
        <v>0</v>
      </c>
      <c r="C65" s="3">
        <v>45</v>
      </c>
      <c r="D65">
        <v>2</v>
      </c>
      <c r="E65">
        <v>1</v>
      </c>
      <c r="F65">
        <v>2</v>
      </c>
      <c r="G65">
        <v>0</v>
      </c>
      <c r="H65">
        <v>0</v>
      </c>
      <c r="I65">
        <v>0</v>
      </c>
      <c r="J65" s="4">
        <v>68.5</v>
      </c>
      <c r="K65" s="4">
        <f t="shared" si="11"/>
        <v>1.72</v>
      </c>
      <c r="L65">
        <v>172</v>
      </c>
      <c r="M65" s="4">
        <f t="shared" si="10"/>
        <v>11.8505</v>
      </c>
      <c r="N65" s="4">
        <v>53.7</v>
      </c>
      <c r="O65" s="4">
        <v>17.3</v>
      </c>
      <c r="P65" s="40">
        <v>0</v>
      </c>
      <c r="Q65">
        <v>82</v>
      </c>
      <c r="R65" s="37">
        <v>0</v>
      </c>
      <c r="S65">
        <v>92.2</v>
      </c>
      <c r="T65" s="5">
        <f t="shared" si="1"/>
        <v>0.88937093275488066</v>
      </c>
      <c r="U65" s="37">
        <v>0</v>
      </c>
      <c r="V65" s="4">
        <f t="shared" si="2"/>
        <v>23.154407787993513</v>
      </c>
      <c r="W65" s="39">
        <v>1</v>
      </c>
      <c r="X65">
        <v>9</v>
      </c>
      <c r="Y65" s="40">
        <v>0</v>
      </c>
      <c r="Z65">
        <v>5.88</v>
      </c>
      <c r="AA65" s="23">
        <f t="shared" si="3"/>
        <v>1.2936000000000001</v>
      </c>
      <c r="AB65" s="84">
        <v>0</v>
      </c>
      <c r="AC65" s="5">
        <v>4.95</v>
      </c>
      <c r="AD65" s="37">
        <v>0</v>
      </c>
      <c r="AE65">
        <v>14.78</v>
      </c>
      <c r="AF65" s="5">
        <v>6.07</v>
      </c>
      <c r="AG65" s="37">
        <v>1</v>
      </c>
      <c r="AH65" s="5">
        <v>1.03</v>
      </c>
      <c r="AI65" s="37">
        <v>0</v>
      </c>
      <c r="AJ65" s="5">
        <v>4.2</v>
      </c>
      <c r="AK65" s="37">
        <v>1</v>
      </c>
      <c r="AL65" s="5">
        <v>1.41</v>
      </c>
      <c r="AM65" s="37">
        <v>0</v>
      </c>
      <c r="AN65" s="4">
        <f t="shared" si="4"/>
        <v>4.3049645390070923</v>
      </c>
      <c r="AO65" s="37">
        <v>1</v>
      </c>
      <c r="AP65">
        <v>124</v>
      </c>
      <c r="AQ65" s="38">
        <v>0</v>
      </c>
      <c r="AR65">
        <v>77</v>
      </c>
      <c r="AS65" s="37">
        <v>0</v>
      </c>
      <c r="AT65">
        <v>93</v>
      </c>
      <c r="AU65">
        <v>47</v>
      </c>
      <c r="AV65">
        <v>6.7</v>
      </c>
      <c r="AW65" s="37">
        <v>1</v>
      </c>
      <c r="AX65">
        <v>2021</v>
      </c>
      <c r="AY65">
        <v>41.4</v>
      </c>
      <c r="AZ65">
        <v>51.2</v>
      </c>
      <c r="BA65">
        <v>369.1</v>
      </c>
      <c r="BB65">
        <v>10.3</v>
      </c>
      <c r="BC65">
        <v>233.6</v>
      </c>
      <c r="BD65">
        <v>83</v>
      </c>
      <c r="BE65">
        <v>73.599999999999994</v>
      </c>
      <c r="BF65">
        <v>54</v>
      </c>
      <c r="BG65">
        <v>22.8</v>
      </c>
      <c r="BH65">
        <v>8.1999999999999993</v>
      </c>
      <c r="BI65">
        <v>68.5</v>
      </c>
      <c r="BJ65">
        <v>17.3</v>
      </c>
      <c r="BK65">
        <v>13.6</v>
      </c>
      <c r="BL65">
        <v>38.799999999999997</v>
      </c>
      <c r="BM65">
        <v>3.9</v>
      </c>
      <c r="BN65">
        <v>1.8</v>
      </c>
      <c r="BO65">
        <v>1.56</v>
      </c>
      <c r="BP65">
        <v>7.0000000000000007E-2</v>
      </c>
      <c r="BQ65">
        <v>0</v>
      </c>
      <c r="BR65">
        <v>211</v>
      </c>
      <c r="BS65">
        <v>174.8</v>
      </c>
      <c r="BT65">
        <v>2076</v>
      </c>
      <c r="BU65">
        <v>1567</v>
      </c>
      <c r="BV65">
        <v>16.010000000000002</v>
      </c>
      <c r="BW65">
        <v>6.03</v>
      </c>
      <c r="BX65">
        <v>1.67</v>
      </c>
      <c r="BY65">
        <v>29.7</v>
      </c>
      <c r="BZ65">
        <v>45</v>
      </c>
      <c r="CA65">
        <v>0.46</v>
      </c>
      <c r="CB65">
        <v>0.49</v>
      </c>
      <c r="CC65">
        <v>12.8</v>
      </c>
      <c r="CD65">
        <v>2.37</v>
      </c>
      <c r="CE65">
        <v>0.99</v>
      </c>
      <c r="CF65">
        <v>129.19999999999999</v>
      </c>
      <c r="CG65">
        <v>38.200000000000003</v>
      </c>
      <c r="CH65">
        <v>107</v>
      </c>
      <c r="CI65">
        <v>0.36</v>
      </c>
      <c r="CJ65">
        <v>1.2</v>
      </c>
      <c r="CK65">
        <v>1</v>
      </c>
      <c r="CL65" s="42" t="str">
        <f t="shared" si="5"/>
        <v>1</v>
      </c>
      <c r="CM65">
        <v>64</v>
      </c>
      <c r="CN65" s="4">
        <v>1.28</v>
      </c>
      <c r="CO65">
        <v>2</v>
      </c>
      <c r="CP65" s="42" t="str">
        <f t="shared" si="6"/>
        <v>1</v>
      </c>
      <c r="CQ65" s="4">
        <v>124</v>
      </c>
      <c r="CR65" s="4">
        <v>0.35555555555555557</v>
      </c>
      <c r="CS65" s="43" t="str">
        <f t="shared" si="7"/>
        <v>2</v>
      </c>
      <c r="CT65" s="4">
        <f t="shared" si="8"/>
        <v>188</v>
      </c>
      <c r="CU65" s="4">
        <f t="shared" si="9"/>
        <v>1.6355555555555557</v>
      </c>
      <c r="CV65" s="4">
        <v>1</v>
      </c>
    </row>
    <row r="66" spans="1:100" x14ac:dyDescent="0.3">
      <c r="A66" s="15" t="s">
        <v>141</v>
      </c>
      <c r="B66" s="17">
        <v>0</v>
      </c>
      <c r="C66" s="3">
        <v>38</v>
      </c>
      <c r="D66">
        <v>2</v>
      </c>
      <c r="E66">
        <v>3</v>
      </c>
      <c r="F66">
        <v>1</v>
      </c>
      <c r="G66">
        <v>1</v>
      </c>
      <c r="H66">
        <v>1</v>
      </c>
      <c r="I66">
        <v>1</v>
      </c>
      <c r="J66" s="4">
        <v>52.7</v>
      </c>
      <c r="K66" s="4">
        <f t="shared" si="11"/>
        <v>1.62</v>
      </c>
      <c r="L66">
        <v>162</v>
      </c>
      <c r="M66" s="4">
        <f t="shared" si="10"/>
        <v>12.4899</v>
      </c>
      <c r="N66" s="4">
        <v>38.1</v>
      </c>
      <c r="O66" s="4">
        <v>23.7</v>
      </c>
      <c r="P66" s="40">
        <v>1</v>
      </c>
      <c r="Q66">
        <v>84</v>
      </c>
      <c r="R66" s="37">
        <v>0</v>
      </c>
      <c r="S66">
        <v>91.2</v>
      </c>
      <c r="T66" s="5">
        <f t="shared" si="1"/>
        <v>0.92105263157894735</v>
      </c>
      <c r="U66" s="37">
        <v>1</v>
      </c>
      <c r="V66" s="4">
        <f t="shared" si="2"/>
        <v>20.080780368846209</v>
      </c>
      <c r="W66" s="39">
        <v>0</v>
      </c>
      <c r="X66">
        <v>6</v>
      </c>
      <c r="Y66" s="40">
        <v>0</v>
      </c>
      <c r="Z66">
        <v>6.56</v>
      </c>
      <c r="AA66" s="23">
        <f t="shared" si="3"/>
        <v>1.4781866666666668</v>
      </c>
      <c r="AB66" s="84">
        <v>0</v>
      </c>
      <c r="AC66" s="5">
        <v>5.07</v>
      </c>
      <c r="AD66" s="37">
        <v>0</v>
      </c>
      <c r="AE66">
        <v>12.06</v>
      </c>
      <c r="AF66" s="5">
        <v>6.42</v>
      </c>
      <c r="AG66" s="37">
        <v>1</v>
      </c>
      <c r="AH66" s="5">
        <v>1.58</v>
      </c>
      <c r="AI66" s="37">
        <v>0</v>
      </c>
      <c r="AJ66" s="5">
        <v>4.4000000000000004</v>
      </c>
      <c r="AK66" s="37">
        <v>1</v>
      </c>
      <c r="AL66" s="5">
        <v>1.29</v>
      </c>
      <c r="AM66" s="37">
        <v>0</v>
      </c>
      <c r="AN66" s="4">
        <f t="shared" si="4"/>
        <v>4.9767441860465116</v>
      </c>
      <c r="AO66" s="37">
        <v>1</v>
      </c>
      <c r="AP66">
        <v>111</v>
      </c>
      <c r="AQ66" s="38">
        <v>0</v>
      </c>
      <c r="AR66">
        <v>80</v>
      </c>
      <c r="AS66" s="37">
        <v>0</v>
      </c>
      <c r="AT66">
        <v>75</v>
      </c>
      <c r="AU66">
        <v>31</v>
      </c>
      <c r="AV66">
        <v>5.5</v>
      </c>
      <c r="AW66" s="37">
        <v>1</v>
      </c>
      <c r="AX66">
        <v>2340</v>
      </c>
      <c r="AY66">
        <v>62</v>
      </c>
      <c r="AZ66">
        <v>86.4</v>
      </c>
      <c r="BA66">
        <v>349.6</v>
      </c>
      <c r="BB66">
        <v>10.4</v>
      </c>
      <c r="BC66">
        <v>255.4</v>
      </c>
      <c r="BD66">
        <v>69.900000000000006</v>
      </c>
      <c r="BE66">
        <v>60.5</v>
      </c>
      <c r="BF66">
        <v>77.8</v>
      </c>
      <c r="BG66">
        <v>33.200000000000003</v>
      </c>
      <c r="BH66">
        <v>10.6</v>
      </c>
      <c r="BI66">
        <v>56</v>
      </c>
      <c r="BJ66">
        <v>17.8</v>
      </c>
      <c r="BK66">
        <v>9.6999999999999993</v>
      </c>
      <c r="BL66">
        <v>46.2</v>
      </c>
      <c r="BM66">
        <v>19.899999999999999</v>
      </c>
      <c r="BN66">
        <v>9.9</v>
      </c>
      <c r="BO66">
        <v>9.39</v>
      </c>
      <c r="BP66">
        <v>0.35</v>
      </c>
      <c r="BQ66">
        <v>0</v>
      </c>
      <c r="BR66">
        <v>486</v>
      </c>
      <c r="BS66">
        <v>256.10000000000002</v>
      </c>
      <c r="BT66">
        <v>3380</v>
      </c>
      <c r="BU66">
        <v>2004</v>
      </c>
      <c r="BV66">
        <v>11.87</v>
      </c>
      <c r="BW66">
        <v>7.92</v>
      </c>
      <c r="BX66">
        <v>1.93</v>
      </c>
      <c r="BY66">
        <v>51.5</v>
      </c>
      <c r="BZ66">
        <v>59.1</v>
      </c>
      <c r="CA66">
        <v>0.78</v>
      </c>
      <c r="CB66">
        <v>0.67</v>
      </c>
      <c r="CC66">
        <v>23.2</v>
      </c>
      <c r="CD66">
        <v>1.01</v>
      </c>
      <c r="CE66">
        <v>0.7</v>
      </c>
      <c r="CF66">
        <v>215.4</v>
      </c>
      <c r="CG66">
        <v>11.2</v>
      </c>
      <c r="CH66">
        <v>197</v>
      </c>
      <c r="CI66">
        <v>0.39</v>
      </c>
      <c r="CJ66">
        <v>2</v>
      </c>
      <c r="CK66">
        <v>0</v>
      </c>
      <c r="CL66" s="42" t="str">
        <f t="shared" si="5"/>
        <v>1</v>
      </c>
      <c r="CM66">
        <v>0</v>
      </c>
      <c r="CN66" s="4">
        <v>0</v>
      </c>
      <c r="CO66">
        <v>5</v>
      </c>
      <c r="CP66" s="42" t="str">
        <f t="shared" si="6"/>
        <v>1</v>
      </c>
      <c r="CQ66" s="4">
        <v>120</v>
      </c>
      <c r="CR66" s="4">
        <v>2.0370370370370372</v>
      </c>
      <c r="CS66" s="43" t="str">
        <f t="shared" si="7"/>
        <v>1</v>
      </c>
      <c r="CT66" s="4">
        <f t="shared" si="8"/>
        <v>120</v>
      </c>
      <c r="CU66" s="4">
        <f t="shared" si="9"/>
        <v>2.0370370370370372</v>
      </c>
      <c r="CV66" s="4">
        <v>2</v>
      </c>
    </row>
    <row r="67" spans="1:100" x14ac:dyDescent="0.3">
      <c r="A67" s="15" t="s">
        <v>142</v>
      </c>
      <c r="B67" s="17">
        <v>0</v>
      </c>
      <c r="C67" s="3">
        <v>34</v>
      </c>
      <c r="D67">
        <v>2</v>
      </c>
      <c r="E67">
        <v>1</v>
      </c>
      <c r="F67">
        <v>2</v>
      </c>
      <c r="G67">
        <v>0</v>
      </c>
      <c r="H67">
        <v>1</v>
      </c>
      <c r="I67">
        <v>1</v>
      </c>
      <c r="J67" s="4">
        <v>60.5</v>
      </c>
      <c r="K67" s="4">
        <f t="shared" si="11"/>
        <v>1.63</v>
      </c>
      <c r="L67">
        <v>163</v>
      </c>
      <c r="M67" s="4">
        <f t="shared" si="10"/>
        <v>15.850999999999999</v>
      </c>
      <c r="N67" s="4">
        <v>42.3</v>
      </c>
      <c r="O67" s="4">
        <v>26.2</v>
      </c>
      <c r="P67" s="40">
        <v>1</v>
      </c>
      <c r="Q67">
        <v>83.9</v>
      </c>
      <c r="R67" s="37">
        <v>0</v>
      </c>
      <c r="S67">
        <v>92.5</v>
      </c>
      <c r="T67" s="5">
        <f t="shared" si="1"/>
        <v>0.90702702702702709</v>
      </c>
      <c r="U67" s="37">
        <v>1</v>
      </c>
      <c r="V67" s="4">
        <f t="shared" si="2"/>
        <v>22.770898415446574</v>
      </c>
      <c r="W67" s="39">
        <v>0</v>
      </c>
      <c r="X67">
        <v>9</v>
      </c>
      <c r="Y67" s="40">
        <v>0</v>
      </c>
      <c r="AA67" s="23"/>
      <c r="AB67" s="84"/>
      <c r="AC67" s="5">
        <v>5.17</v>
      </c>
      <c r="AD67" s="37">
        <v>0</v>
      </c>
      <c r="AE67">
        <v>12.98</v>
      </c>
      <c r="AF67" s="5">
        <v>7.25</v>
      </c>
      <c r="AG67" s="37">
        <v>1</v>
      </c>
      <c r="AH67" s="5">
        <v>3.58</v>
      </c>
      <c r="AI67" s="37">
        <v>1</v>
      </c>
      <c r="AJ67" s="5">
        <v>4.7</v>
      </c>
      <c r="AK67" s="37">
        <v>1</v>
      </c>
      <c r="AL67" s="5">
        <v>0.89</v>
      </c>
      <c r="AM67" s="37">
        <v>1</v>
      </c>
      <c r="AN67" s="4">
        <f t="shared" si="4"/>
        <v>8.1460674157303377</v>
      </c>
      <c r="AO67" s="37">
        <v>1</v>
      </c>
      <c r="AP67">
        <v>113</v>
      </c>
      <c r="AQ67" s="38">
        <v>0</v>
      </c>
      <c r="AR67">
        <v>75</v>
      </c>
      <c r="AS67" s="37">
        <v>0</v>
      </c>
      <c r="AT67">
        <v>74</v>
      </c>
      <c r="AU67">
        <v>38</v>
      </c>
      <c r="AV67">
        <v>5.4</v>
      </c>
      <c r="AW67" s="37">
        <v>1</v>
      </c>
      <c r="AX67">
        <v>1792</v>
      </c>
      <c r="AY67">
        <v>39.799999999999997</v>
      </c>
      <c r="AZ67">
        <v>48.8</v>
      </c>
      <c r="BA67">
        <v>317.39999999999998</v>
      </c>
      <c r="BB67">
        <v>8.9</v>
      </c>
      <c r="BC67">
        <v>242.3</v>
      </c>
      <c r="BD67">
        <v>57.5</v>
      </c>
      <c r="BE67">
        <v>48</v>
      </c>
      <c r="BF67">
        <v>120.3</v>
      </c>
      <c r="BG67">
        <v>24.5</v>
      </c>
      <c r="BH67">
        <v>8.9</v>
      </c>
      <c r="BI67">
        <v>66.400000000000006</v>
      </c>
      <c r="BJ67">
        <v>18.2</v>
      </c>
      <c r="BK67">
        <v>10</v>
      </c>
      <c r="BL67">
        <v>36.200000000000003</v>
      </c>
      <c r="BM67">
        <v>5.4</v>
      </c>
      <c r="BN67">
        <v>2.2000000000000002</v>
      </c>
      <c r="BO67">
        <v>1.9</v>
      </c>
      <c r="BP67">
        <v>0.15</v>
      </c>
      <c r="BQ67">
        <v>0.05</v>
      </c>
      <c r="BR67">
        <v>270</v>
      </c>
      <c r="BS67">
        <v>163.1</v>
      </c>
      <c r="BT67">
        <v>2321</v>
      </c>
      <c r="BU67">
        <v>1514</v>
      </c>
      <c r="BV67">
        <v>8.9600000000000009</v>
      </c>
      <c r="BW67">
        <v>6.34</v>
      </c>
      <c r="BX67">
        <v>1.42</v>
      </c>
      <c r="BY67">
        <v>26.7</v>
      </c>
      <c r="BZ67">
        <v>67</v>
      </c>
      <c r="CA67">
        <v>0.6</v>
      </c>
      <c r="CB67">
        <v>0.59</v>
      </c>
      <c r="CC67">
        <v>13.3</v>
      </c>
      <c r="CD67">
        <v>0.67</v>
      </c>
      <c r="CE67">
        <v>1.26</v>
      </c>
      <c r="CF67">
        <v>225.2</v>
      </c>
      <c r="CG67">
        <v>20.9</v>
      </c>
      <c r="CH67">
        <v>147</v>
      </c>
      <c r="CI67">
        <v>0.87</v>
      </c>
      <c r="CJ67">
        <v>1.5</v>
      </c>
      <c r="CK67">
        <v>1</v>
      </c>
      <c r="CL67" s="42" t="str">
        <f t="shared" si="5"/>
        <v>1</v>
      </c>
      <c r="CM67" s="4">
        <v>18.666666666666668</v>
      </c>
      <c r="CN67" s="4">
        <v>0.37333333333333335</v>
      </c>
      <c r="CO67">
        <v>8</v>
      </c>
      <c r="CP67" s="42" t="str">
        <f t="shared" si="6"/>
        <v>1</v>
      </c>
      <c r="CQ67" s="4">
        <v>82.666666666666671</v>
      </c>
      <c r="CR67" s="4">
        <v>1.3950617283950617</v>
      </c>
      <c r="CS67" s="43" t="str">
        <f t="shared" si="7"/>
        <v>1</v>
      </c>
      <c r="CT67" s="4">
        <f t="shared" si="8"/>
        <v>101.33333333333334</v>
      </c>
      <c r="CU67" s="4">
        <f t="shared" si="9"/>
        <v>1.768395061728395</v>
      </c>
      <c r="CV67" s="4">
        <v>1</v>
      </c>
    </row>
    <row r="68" spans="1:100" x14ac:dyDescent="0.3">
      <c r="A68" s="15" t="s">
        <v>143</v>
      </c>
      <c r="B68" s="17">
        <v>0</v>
      </c>
      <c r="C68" s="3">
        <v>54</v>
      </c>
      <c r="D68">
        <v>2</v>
      </c>
      <c r="E68">
        <v>1</v>
      </c>
      <c r="F68">
        <v>1</v>
      </c>
      <c r="G68">
        <v>0</v>
      </c>
      <c r="H68">
        <v>0</v>
      </c>
      <c r="I68">
        <v>0</v>
      </c>
      <c r="J68" s="4">
        <v>59.9</v>
      </c>
      <c r="K68" s="4">
        <f t="shared" si="11"/>
        <v>1.6</v>
      </c>
      <c r="L68">
        <v>160</v>
      </c>
      <c r="M68" s="4">
        <f t="shared" si="10"/>
        <v>15.0349</v>
      </c>
      <c r="N68" s="4">
        <v>42.5</v>
      </c>
      <c r="O68" s="4">
        <v>25.1</v>
      </c>
      <c r="P68" s="40">
        <v>1</v>
      </c>
      <c r="Q68">
        <v>85.6</v>
      </c>
      <c r="R68" s="37">
        <v>0</v>
      </c>
      <c r="S68">
        <v>89.6</v>
      </c>
      <c r="T68" s="5">
        <f t="shared" si="1"/>
        <v>0.9553571428571429</v>
      </c>
      <c r="U68" s="37">
        <v>1</v>
      </c>
      <c r="V68" s="4">
        <f t="shared" ref="V68:V131" si="12">J68/(K68*K68)</f>
        <v>23.398437499999996</v>
      </c>
      <c r="W68" s="39">
        <v>1</v>
      </c>
      <c r="X68">
        <v>11</v>
      </c>
      <c r="Y68" s="37">
        <v>1</v>
      </c>
      <c r="Z68">
        <v>15.16</v>
      </c>
      <c r="AA68" s="23">
        <f t="shared" ref="AA68:AA131" si="13">(AC68*Z68)/22.5</f>
        <v>3.3554133333333338</v>
      </c>
      <c r="AB68" s="84">
        <v>1</v>
      </c>
      <c r="AC68" s="5">
        <v>4.9800000000000004</v>
      </c>
      <c r="AD68" s="37">
        <v>0</v>
      </c>
      <c r="AE68">
        <v>3</v>
      </c>
      <c r="AF68" s="5">
        <v>6.18</v>
      </c>
      <c r="AG68" s="37">
        <v>1</v>
      </c>
      <c r="AH68" s="5">
        <v>1.32</v>
      </c>
      <c r="AI68" s="37">
        <v>0</v>
      </c>
      <c r="AJ68" s="5">
        <v>4.4000000000000004</v>
      </c>
      <c r="AK68" s="37">
        <v>1</v>
      </c>
      <c r="AL68" s="5">
        <v>1.18</v>
      </c>
      <c r="AM68" s="37">
        <v>0</v>
      </c>
      <c r="AN68" s="4">
        <f t="shared" ref="AN68:AN131" si="14">AF68/AL68</f>
        <v>5.2372881355932206</v>
      </c>
      <c r="AO68" s="37">
        <v>1</v>
      </c>
      <c r="AP68">
        <v>129</v>
      </c>
      <c r="AQ68" s="38">
        <v>0</v>
      </c>
      <c r="AR68">
        <v>82</v>
      </c>
      <c r="AS68" s="37">
        <v>0</v>
      </c>
      <c r="AT68">
        <v>73</v>
      </c>
      <c r="AU68">
        <v>47</v>
      </c>
      <c r="AV68">
        <v>7.8</v>
      </c>
      <c r="AW68" s="37">
        <v>1</v>
      </c>
      <c r="AX68">
        <v>2924</v>
      </c>
      <c r="AY68">
        <v>72.900000000000006</v>
      </c>
      <c r="AZ68">
        <v>73.3</v>
      </c>
      <c r="BA68">
        <v>523.6</v>
      </c>
      <c r="BB68">
        <v>11</v>
      </c>
      <c r="BC68">
        <v>462</v>
      </c>
      <c r="BD68">
        <v>35.6</v>
      </c>
      <c r="BE68">
        <v>15.2</v>
      </c>
      <c r="BF68">
        <v>43.3</v>
      </c>
      <c r="BG68">
        <v>22.6</v>
      </c>
      <c r="BH68">
        <v>10</v>
      </c>
      <c r="BI68">
        <v>67.099999999999994</v>
      </c>
      <c r="BJ68">
        <v>16.5</v>
      </c>
      <c r="BK68">
        <v>1.9</v>
      </c>
      <c r="BL68">
        <v>53.5</v>
      </c>
      <c r="BM68">
        <v>8.3000000000000007</v>
      </c>
      <c r="BN68">
        <v>3.4</v>
      </c>
      <c r="BO68">
        <v>2.78</v>
      </c>
      <c r="BP68">
        <v>0.23</v>
      </c>
      <c r="BQ68">
        <v>0</v>
      </c>
      <c r="BR68">
        <v>520</v>
      </c>
      <c r="BS68">
        <v>248.8</v>
      </c>
      <c r="BT68">
        <v>5838</v>
      </c>
      <c r="BU68">
        <v>2621</v>
      </c>
      <c r="BV68">
        <v>14.63</v>
      </c>
      <c r="BW68">
        <v>11.11</v>
      </c>
      <c r="BX68">
        <v>2.34</v>
      </c>
      <c r="BY68">
        <v>77.400000000000006</v>
      </c>
      <c r="BZ68">
        <v>79.099999999999994</v>
      </c>
      <c r="CA68">
        <v>0.99</v>
      </c>
      <c r="CB68">
        <v>0.61</v>
      </c>
      <c r="CC68">
        <v>21</v>
      </c>
      <c r="CD68">
        <v>1.89</v>
      </c>
      <c r="CE68">
        <v>2.06</v>
      </c>
      <c r="CF68">
        <v>227.3</v>
      </c>
      <c r="CG68">
        <v>32.700000000000003</v>
      </c>
      <c r="CH68">
        <v>399</v>
      </c>
      <c r="CI68">
        <v>1.88</v>
      </c>
      <c r="CJ68">
        <v>2.6</v>
      </c>
      <c r="CK68">
        <v>0</v>
      </c>
      <c r="CL68" s="42" t="str">
        <f t="shared" si="5"/>
        <v>1</v>
      </c>
      <c r="CM68">
        <v>0</v>
      </c>
      <c r="CN68" s="4">
        <v>0</v>
      </c>
      <c r="CO68">
        <v>5</v>
      </c>
      <c r="CP68" s="42" t="str">
        <f t="shared" si="6"/>
        <v>3</v>
      </c>
      <c r="CQ68" s="4">
        <v>311.66666666666669</v>
      </c>
      <c r="CR68" s="4">
        <v>1.4444444444444444</v>
      </c>
      <c r="CS68" s="43" t="str">
        <f t="shared" si="7"/>
        <v>3</v>
      </c>
      <c r="CT68" s="4">
        <f t="shared" si="8"/>
        <v>311.66666666666669</v>
      </c>
      <c r="CU68" s="4">
        <f t="shared" si="9"/>
        <v>1.4444444444444444</v>
      </c>
      <c r="CV68" s="4">
        <v>1</v>
      </c>
    </row>
    <row r="69" spans="1:100" x14ac:dyDescent="0.3">
      <c r="A69" s="15" t="s">
        <v>144</v>
      </c>
      <c r="B69" s="17">
        <v>0</v>
      </c>
      <c r="C69" s="3">
        <v>58</v>
      </c>
      <c r="D69">
        <v>2</v>
      </c>
      <c r="E69">
        <v>2</v>
      </c>
      <c r="F69">
        <v>2</v>
      </c>
      <c r="G69">
        <v>1</v>
      </c>
      <c r="H69">
        <v>0</v>
      </c>
      <c r="I69">
        <v>1</v>
      </c>
      <c r="J69" s="4">
        <v>63.2</v>
      </c>
      <c r="K69" s="4">
        <f t="shared" si="11"/>
        <v>1.6</v>
      </c>
      <c r="L69">
        <v>160</v>
      </c>
      <c r="M69" s="4">
        <f t="shared" si="10"/>
        <v>18.138400000000001</v>
      </c>
      <c r="N69" s="4">
        <v>42.7</v>
      </c>
      <c r="O69" s="4">
        <v>28.7</v>
      </c>
      <c r="P69" s="40">
        <v>1</v>
      </c>
      <c r="Q69">
        <v>91.2</v>
      </c>
      <c r="R69" s="37">
        <v>1</v>
      </c>
      <c r="S69">
        <v>92.2</v>
      </c>
      <c r="T69" s="5">
        <f t="shared" si="1"/>
        <v>0.98915401301518435</v>
      </c>
      <c r="U69" s="37">
        <v>1</v>
      </c>
      <c r="V69" s="4">
        <f t="shared" si="12"/>
        <v>24.687499999999996</v>
      </c>
      <c r="W69" s="39">
        <v>1</v>
      </c>
      <c r="X69">
        <v>13</v>
      </c>
      <c r="Y69" s="37">
        <v>1</v>
      </c>
      <c r="Z69">
        <v>5.89</v>
      </c>
      <c r="AA69" s="23">
        <f t="shared" si="13"/>
        <v>1.2329733333333333</v>
      </c>
      <c r="AB69" s="84">
        <v>0</v>
      </c>
      <c r="AC69" s="5">
        <v>4.71</v>
      </c>
      <c r="AD69" s="37">
        <v>0</v>
      </c>
      <c r="AE69">
        <v>34.81</v>
      </c>
      <c r="AF69" s="5">
        <v>7.09</v>
      </c>
      <c r="AG69" s="37">
        <v>1</v>
      </c>
      <c r="AH69" s="5">
        <v>1.36</v>
      </c>
      <c r="AI69" s="37">
        <v>0</v>
      </c>
      <c r="AJ69" s="5">
        <v>5.3</v>
      </c>
      <c r="AK69" s="37">
        <v>1</v>
      </c>
      <c r="AL69" s="5">
        <v>1.18</v>
      </c>
      <c r="AM69" s="37">
        <v>0</v>
      </c>
      <c r="AN69" s="4">
        <f t="shared" si="14"/>
        <v>6.0084745762711869</v>
      </c>
      <c r="AO69" s="37">
        <v>1</v>
      </c>
      <c r="AP69">
        <v>108</v>
      </c>
      <c r="AQ69" s="38">
        <v>0</v>
      </c>
      <c r="AR69">
        <v>67</v>
      </c>
      <c r="AS69" s="37">
        <v>0</v>
      </c>
      <c r="AT69">
        <v>68</v>
      </c>
      <c r="AU69">
        <v>41</v>
      </c>
      <c r="AV69">
        <v>7.7</v>
      </c>
      <c r="AW69" s="37">
        <v>1</v>
      </c>
      <c r="AX69">
        <v>2357</v>
      </c>
      <c r="AY69">
        <v>61</v>
      </c>
      <c r="AZ69">
        <v>79</v>
      </c>
      <c r="BA69">
        <v>372.6</v>
      </c>
      <c r="BB69">
        <v>9.6999999999999993</v>
      </c>
      <c r="BC69">
        <v>270</v>
      </c>
      <c r="BD69">
        <v>62.5</v>
      </c>
      <c r="BE69">
        <v>50.6</v>
      </c>
      <c r="BF69">
        <v>16.7</v>
      </c>
      <c r="BG69">
        <v>30.2</v>
      </c>
      <c r="BH69">
        <v>10.4</v>
      </c>
      <c r="BI69">
        <v>59.3</v>
      </c>
      <c r="BJ69">
        <v>22.9</v>
      </c>
      <c r="BK69">
        <v>8.1</v>
      </c>
      <c r="BL69">
        <v>59.9</v>
      </c>
      <c r="BM69">
        <v>5.4</v>
      </c>
      <c r="BN69">
        <v>2.6</v>
      </c>
      <c r="BO69">
        <v>2.04</v>
      </c>
      <c r="BP69">
        <v>0.11</v>
      </c>
      <c r="BQ69">
        <v>0.03</v>
      </c>
      <c r="BR69">
        <v>543</v>
      </c>
      <c r="BS69">
        <v>255.5</v>
      </c>
      <c r="BT69">
        <v>3931</v>
      </c>
      <c r="BU69">
        <v>2323</v>
      </c>
      <c r="BV69">
        <v>17.57</v>
      </c>
      <c r="BW69">
        <v>8.9700000000000006</v>
      </c>
      <c r="BX69">
        <v>2.67</v>
      </c>
      <c r="BY69">
        <v>33.200000000000003</v>
      </c>
      <c r="BZ69">
        <v>27.8</v>
      </c>
      <c r="CA69">
        <v>0.98</v>
      </c>
      <c r="CB69">
        <v>0.66</v>
      </c>
      <c r="CC69">
        <v>12.5</v>
      </c>
      <c r="CD69">
        <v>0.79</v>
      </c>
      <c r="CE69">
        <v>0.64</v>
      </c>
      <c r="CF69">
        <v>393.2</v>
      </c>
      <c r="CG69">
        <v>16.2</v>
      </c>
      <c r="CH69">
        <v>283</v>
      </c>
      <c r="CI69">
        <v>0.28000000000000003</v>
      </c>
      <c r="CJ69">
        <v>1.5</v>
      </c>
      <c r="CK69">
        <v>0</v>
      </c>
      <c r="CL69" s="42" t="str">
        <f t="shared" ref="CL69:CL132" si="15">IF(CM69&lt;=99,"1",IF(CM69&lt;=199,"2",IF(CM69&lt;=299,"3","4")))</f>
        <v>1</v>
      </c>
      <c r="CM69">
        <v>0</v>
      </c>
      <c r="CN69" s="4">
        <v>0</v>
      </c>
      <c r="CO69">
        <v>4</v>
      </c>
      <c r="CP69" s="42" t="str">
        <f t="shared" ref="CP69:CP132" si="16">IF(CQ69&lt;=149,"1",IF(CQ69&lt;=299,"2",IF(CQ69&lt;=399,"3","4")))</f>
        <v>2</v>
      </c>
      <c r="CQ69" s="4">
        <v>164</v>
      </c>
      <c r="CR69" s="4">
        <v>2.7160493827160495</v>
      </c>
      <c r="CS69" s="43" t="str">
        <f t="shared" ref="CS69:CS132" si="17">IF(CT69&lt;=149,"1",IF(CT69&lt;=299,"2",IF(CT69&lt;=399,"3","4")))</f>
        <v>2</v>
      </c>
      <c r="CT69" s="4">
        <f t="shared" ref="CT69:CT132" si="18">(CM69+CQ69)</f>
        <v>164</v>
      </c>
      <c r="CU69" s="4">
        <f t="shared" ref="CU69:CU132" si="19">(CN69+CR69)</f>
        <v>2.7160493827160495</v>
      </c>
      <c r="CV69" s="4">
        <v>2</v>
      </c>
    </row>
    <row r="70" spans="1:100" x14ac:dyDescent="0.3">
      <c r="A70" s="15" t="s">
        <v>145</v>
      </c>
      <c r="B70" s="17">
        <v>0</v>
      </c>
      <c r="C70" s="3">
        <v>32</v>
      </c>
      <c r="D70">
        <v>4</v>
      </c>
      <c r="E70">
        <v>2</v>
      </c>
      <c r="F70">
        <v>1</v>
      </c>
      <c r="G70">
        <v>2</v>
      </c>
      <c r="H70">
        <v>2</v>
      </c>
      <c r="I70">
        <v>0</v>
      </c>
      <c r="J70" s="4">
        <v>84.7</v>
      </c>
      <c r="K70" s="4">
        <f t="shared" si="11"/>
        <v>1.84</v>
      </c>
      <c r="L70">
        <v>184</v>
      </c>
      <c r="M70" s="4">
        <f t="shared" si="10"/>
        <v>16.347100000000001</v>
      </c>
      <c r="N70" s="4">
        <v>64.900000000000006</v>
      </c>
      <c r="O70" s="4">
        <v>19.3</v>
      </c>
      <c r="P70" s="40">
        <v>0</v>
      </c>
      <c r="Q70">
        <v>93</v>
      </c>
      <c r="R70" s="37">
        <v>1</v>
      </c>
      <c r="S70">
        <v>100</v>
      </c>
      <c r="T70" s="5">
        <f t="shared" si="1"/>
        <v>0.93</v>
      </c>
      <c r="U70" s="37">
        <v>1</v>
      </c>
      <c r="V70" s="4">
        <f t="shared" si="12"/>
        <v>25.017722117202268</v>
      </c>
      <c r="W70" s="39">
        <v>1</v>
      </c>
      <c r="X70">
        <v>9</v>
      </c>
      <c r="Y70" s="40">
        <v>0</v>
      </c>
      <c r="Z70">
        <v>8.7799999999999994</v>
      </c>
      <c r="AA70" s="23">
        <f t="shared" si="13"/>
        <v>2.5637599999999998</v>
      </c>
      <c r="AB70" s="84">
        <v>0</v>
      </c>
      <c r="AC70" s="5">
        <v>6.57</v>
      </c>
      <c r="AD70" s="37">
        <v>1</v>
      </c>
      <c r="AE70">
        <v>3</v>
      </c>
      <c r="AF70" s="5">
        <v>4.62</v>
      </c>
      <c r="AG70" s="37">
        <v>0</v>
      </c>
      <c r="AH70" s="5">
        <v>1.57</v>
      </c>
      <c r="AI70" s="37">
        <v>0</v>
      </c>
      <c r="AJ70" s="5">
        <v>2.4</v>
      </c>
      <c r="AK70" s="37">
        <v>0</v>
      </c>
      <c r="AL70" s="5">
        <v>1.52</v>
      </c>
      <c r="AM70" s="37">
        <v>0</v>
      </c>
      <c r="AN70" s="4">
        <f t="shared" si="14"/>
        <v>3.0394736842105265</v>
      </c>
      <c r="AO70" s="37">
        <v>0</v>
      </c>
      <c r="AP70">
        <v>136</v>
      </c>
      <c r="AQ70" s="37">
        <v>1</v>
      </c>
      <c r="AR70">
        <v>78</v>
      </c>
      <c r="AS70" s="37">
        <v>0</v>
      </c>
      <c r="AT70">
        <v>63</v>
      </c>
      <c r="AU70">
        <v>58</v>
      </c>
      <c r="AV70">
        <v>6.2</v>
      </c>
      <c r="AW70" s="37">
        <v>0</v>
      </c>
      <c r="AX70">
        <v>1635</v>
      </c>
      <c r="AY70">
        <v>36.700000000000003</v>
      </c>
      <c r="AZ70">
        <v>40.799999999999997</v>
      </c>
      <c r="BA70">
        <v>297.89999999999998</v>
      </c>
      <c r="BB70">
        <v>7.3</v>
      </c>
      <c r="BC70">
        <v>253.7</v>
      </c>
      <c r="BD70">
        <v>33.299999999999997</v>
      </c>
      <c r="BE70">
        <v>24.3</v>
      </c>
      <c r="BF70">
        <v>11</v>
      </c>
      <c r="BG70">
        <v>22.4</v>
      </c>
      <c r="BH70">
        <v>9</v>
      </c>
      <c r="BI70">
        <v>68.3</v>
      </c>
      <c r="BJ70">
        <v>16.600000000000001</v>
      </c>
      <c r="BK70">
        <v>5.6</v>
      </c>
      <c r="BL70">
        <v>30.1</v>
      </c>
      <c r="BM70">
        <v>4.0999999999999996</v>
      </c>
      <c r="BN70">
        <v>1</v>
      </c>
      <c r="BO70">
        <v>0.92</v>
      </c>
      <c r="BP70">
        <v>0.05</v>
      </c>
      <c r="BQ70">
        <v>0</v>
      </c>
      <c r="BR70">
        <v>263</v>
      </c>
      <c r="BS70">
        <v>128.9</v>
      </c>
      <c r="BT70">
        <v>3317</v>
      </c>
      <c r="BU70">
        <v>1250</v>
      </c>
      <c r="BV70">
        <v>8.23</v>
      </c>
      <c r="BW70">
        <v>5.16</v>
      </c>
      <c r="BX70">
        <v>1.22</v>
      </c>
      <c r="BY70">
        <v>5.3</v>
      </c>
      <c r="BZ70">
        <v>13.8</v>
      </c>
      <c r="CA70">
        <v>0.46</v>
      </c>
      <c r="CB70">
        <v>0.25</v>
      </c>
      <c r="CC70">
        <v>13.9</v>
      </c>
      <c r="CD70">
        <v>0.61</v>
      </c>
      <c r="CE70">
        <v>1.19</v>
      </c>
      <c r="CF70">
        <v>162.6</v>
      </c>
      <c r="CG70">
        <v>16.7</v>
      </c>
      <c r="CH70">
        <v>294</v>
      </c>
      <c r="CI70">
        <v>0.35</v>
      </c>
      <c r="CJ70">
        <v>1.5</v>
      </c>
      <c r="CK70">
        <v>0</v>
      </c>
      <c r="CL70" s="42" t="str">
        <f t="shared" si="15"/>
        <v>1</v>
      </c>
      <c r="CM70">
        <v>0</v>
      </c>
      <c r="CN70" s="4">
        <v>0</v>
      </c>
      <c r="CO70">
        <v>5</v>
      </c>
      <c r="CP70" s="42" t="str">
        <f t="shared" si="16"/>
        <v>1</v>
      </c>
      <c r="CQ70" s="4">
        <v>127</v>
      </c>
      <c r="CR70" s="4">
        <v>2.2728395061728395</v>
      </c>
      <c r="CS70" s="43" t="str">
        <f t="shared" si="17"/>
        <v>1</v>
      </c>
      <c r="CT70" s="4">
        <f t="shared" si="18"/>
        <v>127</v>
      </c>
      <c r="CU70" s="4">
        <f t="shared" si="19"/>
        <v>2.2728395061728395</v>
      </c>
      <c r="CV70" s="4">
        <v>2</v>
      </c>
    </row>
    <row r="71" spans="1:100" x14ac:dyDescent="0.3">
      <c r="A71" s="15" t="s">
        <v>146</v>
      </c>
      <c r="B71" s="17">
        <v>0</v>
      </c>
      <c r="C71" s="3">
        <v>44</v>
      </c>
      <c r="D71">
        <v>2</v>
      </c>
      <c r="E71">
        <v>2</v>
      </c>
      <c r="F71">
        <v>2</v>
      </c>
      <c r="G71">
        <v>0</v>
      </c>
      <c r="H71">
        <v>1</v>
      </c>
      <c r="I71">
        <v>1</v>
      </c>
      <c r="J71" s="4">
        <v>71</v>
      </c>
      <c r="K71" s="4">
        <f t="shared" si="11"/>
        <v>1.6780000000000002</v>
      </c>
      <c r="L71">
        <v>167.8</v>
      </c>
      <c r="M71" s="4">
        <f t="shared" si="10"/>
        <v>21.3</v>
      </c>
      <c r="N71" s="4">
        <v>47.1</v>
      </c>
      <c r="O71" s="4">
        <v>30</v>
      </c>
      <c r="P71" s="40">
        <v>1</v>
      </c>
      <c r="Q71">
        <v>91</v>
      </c>
      <c r="R71" s="37">
        <v>1</v>
      </c>
      <c r="S71">
        <v>100.1</v>
      </c>
      <c r="T71" s="5">
        <f t="shared" ref="T71:T134" si="20">Q71/S71</f>
        <v>0.90909090909090917</v>
      </c>
      <c r="U71" s="37">
        <v>1</v>
      </c>
      <c r="V71" s="4">
        <f t="shared" si="12"/>
        <v>25.2158978067141</v>
      </c>
      <c r="W71" s="39">
        <v>1</v>
      </c>
      <c r="X71">
        <v>13</v>
      </c>
      <c r="Y71" s="37">
        <v>1</v>
      </c>
      <c r="AA71" s="23"/>
      <c r="AB71" s="84"/>
      <c r="AC71" s="5">
        <v>15.57</v>
      </c>
      <c r="AD71" s="37">
        <v>1</v>
      </c>
      <c r="AE71">
        <v>14.88</v>
      </c>
      <c r="AF71" s="5">
        <v>7.93</v>
      </c>
      <c r="AG71" s="37">
        <v>1</v>
      </c>
      <c r="AH71" s="5">
        <v>1.74</v>
      </c>
      <c r="AI71" s="37">
        <v>1</v>
      </c>
      <c r="AJ71" s="5">
        <v>5.78</v>
      </c>
      <c r="AK71" s="37">
        <v>1</v>
      </c>
      <c r="AL71" s="5">
        <v>1.36</v>
      </c>
      <c r="AM71" s="37">
        <v>0</v>
      </c>
      <c r="AN71" s="4">
        <f t="shared" si="14"/>
        <v>5.8308823529411757</v>
      </c>
      <c r="AO71" s="37">
        <v>1</v>
      </c>
      <c r="AP71">
        <v>134</v>
      </c>
      <c r="AQ71" s="37">
        <v>1</v>
      </c>
      <c r="AR71">
        <v>98</v>
      </c>
      <c r="AS71" s="37">
        <v>1</v>
      </c>
      <c r="AT71">
        <v>80</v>
      </c>
      <c r="AU71">
        <v>36</v>
      </c>
      <c r="AV71">
        <v>6.8</v>
      </c>
      <c r="AW71" s="37">
        <v>1</v>
      </c>
      <c r="AX71">
        <v>1647</v>
      </c>
      <c r="AY71">
        <v>45.5</v>
      </c>
      <c r="AZ71">
        <v>71.3</v>
      </c>
      <c r="BA71">
        <v>218.7</v>
      </c>
      <c r="BB71">
        <v>11.9</v>
      </c>
      <c r="BC71">
        <v>157.30000000000001</v>
      </c>
      <c r="BD71">
        <v>49.9</v>
      </c>
      <c r="BE71">
        <v>29.4</v>
      </c>
      <c r="BF71">
        <v>93.9</v>
      </c>
      <c r="BG71">
        <v>38.9</v>
      </c>
      <c r="BH71">
        <v>11</v>
      </c>
      <c r="BI71">
        <v>49.8</v>
      </c>
      <c r="BJ71">
        <v>21.6</v>
      </c>
      <c r="BK71">
        <v>6.7</v>
      </c>
      <c r="BL71">
        <v>39.4</v>
      </c>
      <c r="BM71">
        <v>16</v>
      </c>
      <c r="BN71">
        <v>8</v>
      </c>
      <c r="BO71">
        <v>7.11</v>
      </c>
      <c r="BP71">
        <v>0.69</v>
      </c>
      <c r="BQ71">
        <v>0.05</v>
      </c>
      <c r="BR71">
        <v>317</v>
      </c>
      <c r="BS71">
        <v>235.6</v>
      </c>
      <c r="BT71">
        <v>3266</v>
      </c>
      <c r="BU71">
        <v>1920</v>
      </c>
      <c r="BV71">
        <v>10.09</v>
      </c>
      <c r="BW71">
        <v>6.46</v>
      </c>
      <c r="BX71">
        <v>1.5</v>
      </c>
      <c r="BY71">
        <v>19.3</v>
      </c>
      <c r="BZ71">
        <v>83.6</v>
      </c>
      <c r="CA71">
        <v>0.51</v>
      </c>
      <c r="CB71">
        <v>0.47</v>
      </c>
      <c r="CC71">
        <v>18.600000000000001</v>
      </c>
      <c r="CD71">
        <v>0.91</v>
      </c>
      <c r="CE71">
        <v>3.36</v>
      </c>
      <c r="CF71">
        <v>198.4</v>
      </c>
      <c r="CG71">
        <v>23.6</v>
      </c>
      <c r="CH71">
        <v>323</v>
      </c>
      <c r="CI71">
        <v>3.39</v>
      </c>
      <c r="CJ71">
        <v>2.5</v>
      </c>
      <c r="CK71">
        <v>1</v>
      </c>
      <c r="CL71" s="42" t="str">
        <f t="shared" si="15"/>
        <v>1</v>
      </c>
      <c r="CM71">
        <v>20</v>
      </c>
      <c r="CN71" s="4">
        <v>0.4</v>
      </c>
      <c r="CO71">
        <v>6</v>
      </c>
      <c r="CP71" s="42" t="str">
        <f t="shared" si="16"/>
        <v>1</v>
      </c>
      <c r="CQ71" s="4">
        <v>81.333333333333329</v>
      </c>
      <c r="CR71" s="4">
        <v>1.219753086419753</v>
      </c>
      <c r="CS71" s="43" t="str">
        <f t="shared" si="17"/>
        <v>1</v>
      </c>
      <c r="CT71" s="4">
        <f t="shared" si="18"/>
        <v>101.33333333333333</v>
      </c>
      <c r="CU71" s="4">
        <f t="shared" si="19"/>
        <v>1.6197530864197529</v>
      </c>
      <c r="CV71" s="4">
        <v>1</v>
      </c>
    </row>
    <row r="72" spans="1:100" x14ac:dyDescent="0.3">
      <c r="A72" s="15" t="s">
        <v>147</v>
      </c>
      <c r="B72" s="17">
        <v>0</v>
      </c>
      <c r="C72" s="3">
        <v>34</v>
      </c>
      <c r="D72">
        <v>2</v>
      </c>
      <c r="E72">
        <v>2</v>
      </c>
      <c r="F72">
        <v>2</v>
      </c>
      <c r="G72">
        <v>0</v>
      </c>
      <c r="H72">
        <v>1</v>
      </c>
      <c r="I72">
        <v>0</v>
      </c>
      <c r="J72" s="4">
        <v>56.6</v>
      </c>
      <c r="K72" s="4">
        <f t="shared" si="11"/>
        <v>1.57</v>
      </c>
      <c r="L72">
        <v>157</v>
      </c>
      <c r="M72" s="4">
        <f t="shared" si="10"/>
        <v>14.036800000000001</v>
      </c>
      <c r="N72" s="4">
        <v>40</v>
      </c>
      <c r="O72" s="4">
        <v>24.8</v>
      </c>
      <c r="P72" s="40">
        <v>1</v>
      </c>
      <c r="Q72">
        <v>75.7</v>
      </c>
      <c r="R72" s="37">
        <v>0</v>
      </c>
      <c r="S72">
        <v>89.5</v>
      </c>
      <c r="T72" s="5">
        <f t="shared" si="20"/>
        <v>0.84581005586592184</v>
      </c>
      <c r="U72" s="37">
        <v>0</v>
      </c>
      <c r="V72" s="4">
        <f t="shared" si="12"/>
        <v>22.962391983447603</v>
      </c>
      <c r="W72" s="39">
        <v>0</v>
      </c>
      <c r="X72">
        <v>1</v>
      </c>
      <c r="Y72" s="40">
        <v>0</v>
      </c>
      <c r="Z72">
        <v>4.53</v>
      </c>
      <c r="AA72" s="23">
        <f t="shared" si="13"/>
        <v>0.89190666666666663</v>
      </c>
      <c r="AB72" s="84">
        <v>0</v>
      </c>
      <c r="AC72" s="5">
        <v>4.43</v>
      </c>
      <c r="AD72" s="37">
        <v>0</v>
      </c>
      <c r="AE72">
        <v>3</v>
      </c>
      <c r="AF72" s="5">
        <v>6.99</v>
      </c>
      <c r="AG72" s="37">
        <v>1</v>
      </c>
      <c r="AH72" s="5">
        <v>1.03</v>
      </c>
      <c r="AI72" s="37">
        <v>0</v>
      </c>
      <c r="AJ72" s="5">
        <v>5.5</v>
      </c>
      <c r="AK72" s="37">
        <v>1</v>
      </c>
      <c r="AL72" s="5">
        <v>1.07</v>
      </c>
      <c r="AM72" s="37">
        <v>0</v>
      </c>
      <c r="AN72" s="4">
        <f t="shared" si="14"/>
        <v>6.5327102803738315</v>
      </c>
      <c r="AO72" s="37">
        <v>1</v>
      </c>
      <c r="AP72">
        <v>110</v>
      </c>
      <c r="AQ72" s="38">
        <v>0</v>
      </c>
      <c r="AR72">
        <v>73</v>
      </c>
      <c r="AS72" s="37">
        <v>0</v>
      </c>
      <c r="AT72">
        <v>57</v>
      </c>
      <c r="AU72">
        <v>37</v>
      </c>
      <c r="AV72">
        <v>5.3</v>
      </c>
      <c r="AW72" s="37">
        <v>1</v>
      </c>
      <c r="AX72">
        <v>2611</v>
      </c>
      <c r="AY72">
        <v>84.1</v>
      </c>
      <c r="AZ72">
        <v>67.099999999999994</v>
      </c>
      <c r="BA72">
        <v>442</v>
      </c>
      <c r="BB72">
        <v>13.5</v>
      </c>
      <c r="BC72">
        <v>329.1</v>
      </c>
      <c r="BD72">
        <v>66.599999999999994</v>
      </c>
      <c r="BE72">
        <v>45.9</v>
      </c>
      <c r="BF72">
        <v>100.7</v>
      </c>
      <c r="BG72">
        <v>23.1</v>
      </c>
      <c r="BH72">
        <v>12.9</v>
      </c>
      <c r="BI72">
        <v>63.5</v>
      </c>
      <c r="BJ72">
        <v>17.600000000000001</v>
      </c>
      <c r="BK72">
        <v>6.6</v>
      </c>
      <c r="BL72">
        <v>51</v>
      </c>
      <c r="BM72">
        <v>5.5</v>
      </c>
      <c r="BN72">
        <v>3.9</v>
      </c>
      <c r="BO72">
        <v>3.2</v>
      </c>
      <c r="BP72">
        <v>0.21</v>
      </c>
      <c r="BQ72">
        <v>0</v>
      </c>
      <c r="BR72">
        <v>537</v>
      </c>
      <c r="BS72">
        <v>382.4</v>
      </c>
      <c r="BT72">
        <v>5809</v>
      </c>
      <c r="BU72">
        <v>2931</v>
      </c>
      <c r="BV72">
        <v>17.48</v>
      </c>
      <c r="BW72">
        <v>10.4</v>
      </c>
      <c r="BX72">
        <v>2.25</v>
      </c>
      <c r="BY72">
        <v>88</v>
      </c>
      <c r="BZ72">
        <v>58.9</v>
      </c>
      <c r="CA72">
        <v>1.0900000000000001</v>
      </c>
      <c r="CB72">
        <v>0.77</v>
      </c>
      <c r="CC72">
        <v>29.3</v>
      </c>
      <c r="CD72">
        <v>1.72</v>
      </c>
      <c r="CE72">
        <v>3.23</v>
      </c>
      <c r="CF72">
        <v>467.5</v>
      </c>
      <c r="CG72">
        <v>14.8</v>
      </c>
      <c r="CH72">
        <v>250</v>
      </c>
      <c r="CI72">
        <v>1.79</v>
      </c>
      <c r="CJ72">
        <v>2.2000000000000002</v>
      </c>
      <c r="CK72">
        <v>0</v>
      </c>
      <c r="CL72" s="42" t="str">
        <f t="shared" si="15"/>
        <v>1</v>
      </c>
      <c r="CM72">
        <v>0</v>
      </c>
      <c r="CN72" s="4">
        <v>0</v>
      </c>
      <c r="CO72">
        <v>4</v>
      </c>
      <c r="CP72" s="42" t="str">
        <f t="shared" si="16"/>
        <v>1</v>
      </c>
      <c r="CQ72" s="4">
        <v>128</v>
      </c>
      <c r="CR72" s="4">
        <v>2.6666666666666665</v>
      </c>
      <c r="CS72" s="43" t="str">
        <f t="shared" si="17"/>
        <v>1</v>
      </c>
      <c r="CT72" s="4">
        <f t="shared" si="18"/>
        <v>128</v>
      </c>
      <c r="CU72" s="4">
        <f t="shared" si="19"/>
        <v>2.6666666666666665</v>
      </c>
      <c r="CV72" s="4">
        <v>2</v>
      </c>
    </row>
    <row r="73" spans="1:100" x14ac:dyDescent="0.3">
      <c r="A73" s="15" t="s">
        <v>148</v>
      </c>
      <c r="B73" s="17">
        <v>0</v>
      </c>
      <c r="C73" s="3">
        <v>43</v>
      </c>
      <c r="D73">
        <v>3</v>
      </c>
      <c r="E73">
        <v>1</v>
      </c>
      <c r="F73">
        <v>2</v>
      </c>
      <c r="G73">
        <v>0</v>
      </c>
      <c r="H73">
        <v>2</v>
      </c>
      <c r="I73">
        <v>0</v>
      </c>
      <c r="J73" s="4">
        <v>61.8</v>
      </c>
      <c r="K73" s="4">
        <f t="shared" si="11"/>
        <v>1.69</v>
      </c>
      <c r="L73">
        <v>169</v>
      </c>
      <c r="M73" s="4">
        <f t="shared" si="10"/>
        <v>12.607199999999999</v>
      </c>
      <c r="N73" s="4">
        <v>46.6</v>
      </c>
      <c r="O73" s="4">
        <v>20.399999999999999</v>
      </c>
      <c r="P73" s="40">
        <v>0</v>
      </c>
      <c r="Q73">
        <v>80.5</v>
      </c>
      <c r="R73" s="37">
        <v>0</v>
      </c>
      <c r="S73">
        <v>89.3</v>
      </c>
      <c r="T73" s="5">
        <f t="shared" si="20"/>
        <v>0.90145576707726771</v>
      </c>
      <c r="U73" s="37">
        <v>1</v>
      </c>
      <c r="V73" s="4">
        <f t="shared" si="12"/>
        <v>21.637897832708941</v>
      </c>
      <c r="W73" s="39">
        <v>0</v>
      </c>
      <c r="X73">
        <v>8</v>
      </c>
      <c r="Y73" s="40">
        <v>0</v>
      </c>
      <c r="Z73">
        <v>4.2300000000000004</v>
      </c>
      <c r="AA73" s="23">
        <f t="shared" si="13"/>
        <v>0.90992000000000006</v>
      </c>
      <c r="AB73" s="84">
        <v>0</v>
      </c>
      <c r="AC73" s="5">
        <v>4.84</v>
      </c>
      <c r="AD73" s="37">
        <v>0</v>
      </c>
      <c r="AE73">
        <v>18.010000000000002</v>
      </c>
      <c r="AF73" s="5">
        <v>6.11</v>
      </c>
      <c r="AG73" s="37">
        <v>1</v>
      </c>
      <c r="AH73" s="5">
        <v>0.69</v>
      </c>
      <c r="AI73" s="37">
        <v>0</v>
      </c>
      <c r="AJ73" s="5">
        <v>4</v>
      </c>
      <c r="AK73" s="37">
        <v>1</v>
      </c>
      <c r="AL73" s="5">
        <v>1.79</v>
      </c>
      <c r="AM73" s="37">
        <v>0</v>
      </c>
      <c r="AN73" s="4">
        <f t="shared" si="14"/>
        <v>3.4134078212290504</v>
      </c>
      <c r="AO73" s="37">
        <v>0</v>
      </c>
      <c r="AP73">
        <v>137</v>
      </c>
      <c r="AQ73" s="37">
        <v>1</v>
      </c>
      <c r="AR73">
        <v>94</v>
      </c>
      <c r="AS73" s="37">
        <v>1</v>
      </c>
      <c r="AT73">
        <v>64</v>
      </c>
      <c r="AU73">
        <v>43</v>
      </c>
      <c r="AV73">
        <v>6.8</v>
      </c>
      <c r="AW73" s="37">
        <v>1</v>
      </c>
      <c r="AX73">
        <v>1993</v>
      </c>
      <c r="AY73">
        <v>60.4</v>
      </c>
      <c r="AZ73">
        <v>65.599999999999994</v>
      </c>
      <c r="BA73">
        <v>308.89999999999998</v>
      </c>
      <c r="BB73">
        <v>13</v>
      </c>
      <c r="BC73">
        <v>263.10000000000002</v>
      </c>
      <c r="BD73">
        <v>28.3</v>
      </c>
      <c r="BE73">
        <v>16.2</v>
      </c>
      <c r="BF73">
        <v>111.6</v>
      </c>
      <c r="BG73">
        <v>29.6</v>
      </c>
      <c r="BH73">
        <v>12.1</v>
      </c>
      <c r="BI73">
        <v>58.1</v>
      </c>
      <c r="BJ73">
        <v>21.1</v>
      </c>
      <c r="BK73">
        <v>3.1</v>
      </c>
      <c r="BL73">
        <v>46.8</v>
      </c>
      <c r="BM73">
        <v>6.5</v>
      </c>
      <c r="BN73">
        <v>3.5</v>
      </c>
      <c r="BO73">
        <v>3.17</v>
      </c>
      <c r="BP73">
        <v>0.17</v>
      </c>
      <c r="BQ73">
        <v>0</v>
      </c>
      <c r="BR73">
        <v>494</v>
      </c>
      <c r="BS73">
        <v>199.5</v>
      </c>
      <c r="BT73">
        <v>4215</v>
      </c>
      <c r="BU73">
        <v>1781</v>
      </c>
      <c r="BV73">
        <v>12.35</v>
      </c>
      <c r="BW73">
        <v>6.92</v>
      </c>
      <c r="BX73">
        <v>1.65</v>
      </c>
      <c r="BY73">
        <v>78.599999999999994</v>
      </c>
      <c r="BZ73">
        <v>48.2</v>
      </c>
      <c r="CA73">
        <v>0.8</v>
      </c>
      <c r="CB73">
        <v>0.54</v>
      </c>
      <c r="CC73">
        <v>20.9</v>
      </c>
      <c r="CD73">
        <v>1.02</v>
      </c>
      <c r="CE73">
        <v>1.01</v>
      </c>
      <c r="CF73">
        <v>202.5</v>
      </c>
      <c r="CG73">
        <v>30.9</v>
      </c>
      <c r="CH73">
        <v>461</v>
      </c>
      <c r="CI73">
        <v>0.52</v>
      </c>
      <c r="CJ73">
        <v>2</v>
      </c>
      <c r="CK73">
        <v>0</v>
      </c>
      <c r="CL73" s="42" t="str">
        <f t="shared" si="15"/>
        <v>1</v>
      </c>
      <c r="CM73">
        <v>0</v>
      </c>
      <c r="CN73" s="4">
        <v>0</v>
      </c>
      <c r="CO73">
        <v>5</v>
      </c>
      <c r="CP73" s="42" t="str">
        <f t="shared" si="16"/>
        <v>1</v>
      </c>
      <c r="CQ73" s="4">
        <v>73.333333333333329</v>
      </c>
      <c r="CR73" s="4">
        <v>1.1308641975308642</v>
      </c>
      <c r="CS73" s="43" t="str">
        <f t="shared" si="17"/>
        <v>1</v>
      </c>
      <c r="CT73" s="4">
        <f t="shared" si="18"/>
        <v>73.333333333333329</v>
      </c>
      <c r="CU73" s="4">
        <f t="shared" si="19"/>
        <v>1.1308641975308642</v>
      </c>
      <c r="CV73" s="4">
        <v>1</v>
      </c>
    </row>
    <row r="74" spans="1:100" x14ac:dyDescent="0.3">
      <c r="A74" s="15" t="s">
        <v>149</v>
      </c>
      <c r="B74" s="17">
        <v>0</v>
      </c>
      <c r="C74" s="3">
        <v>48</v>
      </c>
      <c r="D74">
        <v>3</v>
      </c>
      <c r="E74">
        <v>1</v>
      </c>
      <c r="F74">
        <v>2</v>
      </c>
      <c r="G74">
        <v>0</v>
      </c>
      <c r="H74">
        <v>1</v>
      </c>
      <c r="I74">
        <v>1</v>
      </c>
      <c r="J74" s="4">
        <v>59.8</v>
      </c>
      <c r="K74" s="4">
        <f t="shared" si="11"/>
        <v>1.65</v>
      </c>
      <c r="L74">
        <v>165</v>
      </c>
      <c r="M74" s="4">
        <f t="shared" si="10"/>
        <v>13.8736</v>
      </c>
      <c r="N74" s="4">
        <v>43.5</v>
      </c>
      <c r="O74" s="4">
        <v>23.2</v>
      </c>
      <c r="P74" s="40">
        <v>1</v>
      </c>
      <c r="Q74">
        <v>84.1</v>
      </c>
      <c r="R74" s="37">
        <v>0</v>
      </c>
      <c r="S74">
        <v>91.1</v>
      </c>
      <c r="T74" s="5">
        <f t="shared" si="20"/>
        <v>0.92316136114160263</v>
      </c>
      <c r="U74" s="37">
        <v>1</v>
      </c>
      <c r="V74" s="4">
        <f t="shared" si="12"/>
        <v>21.96510560146924</v>
      </c>
      <c r="W74" s="39">
        <v>0</v>
      </c>
      <c r="X74">
        <v>10</v>
      </c>
      <c r="Y74" s="37">
        <v>1</v>
      </c>
      <c r="AA74" s="23"/>
      <c r="AB74" s="84"/>
      <c r="AC74" s="5">
        <v>6.38</v>
      </c>
      <c r="AD74" s="37">
        <v>1</v>
      </c>
      <c r="AE74">
        <v>18.5</v>
      </c>
      <c r="AF74" s="5">
        <v>7.93</v>
      </c>
      <c r="AG74" s="37">
        <v>1</v>
      </c>
      <c r="AH74" s="5">
        <v>3.63</v>
      </c>
      <c r="AI74" s="37">
        <v>1</v>
      </c>
      <c r="AJ74" s="5">
        <v>4.9000000000000004</v>
      </c>
      <c r="AK74" s="37">
        <v>1</v>
      </c>
      <c r="AL74" s="5">
        <v>1.42</v>
      </c>
      <c r="AM74" s="37">
        <v>0</v>
      </c>
      <c r="AN74" s="4">
        <f t="shared" si="14"/>
        <v>5.584507042253521</v>
      </c>
      <c r="AO74" s="37">
        <v>1</v>
      </c>
      <c r="AP74">
        <v>135</v>
      </c>
      <c r="AQ74" s="37">
        <v>1</v>
      </c>
      <c r="AR74">
        <v>98</v>
      </c>
      <c r="AS74" s="37">
        <v>1</v>
      </c>
      <c r="AT74">
        <v>84</v>
      </c>
      <c r="AU74">
        <v>38</v>
      </c>
      <c r="AV74">
        <v>7.2</v>
      </c>
      <c r="AW74" s="37">
        <v>1</v>
      </c>
      <c r="AX74">
        <v>2188</v>
      </c>
      <c r="AY74">
        <v>82</v>
      </c>
      <c r="AZ74">
        <v>53.2</v>
      </c>
      <c r="BA74">
        <v>367.7</v>
      </c>
      <c r="BB74">
        <v>9.8000000000000007</v>
      </c>
      <c r="BC74">
        <v>267.7</v>
      </c>
      <c r="BD74">
        <v>68.900000000000006</v>
      </c>
      <c r="BE74">
        <v>44.9</v>
      </c>
      <c r="BF74">
        <v>114.6</v>
      </c>
      <c r="BG74">
        <v>21.9</v>
      </c>
      <c r="BH74">
        <v>15</v>
      </c>
      <c r="BI74">
        <v>63</v>
      </c>
      <c r="BJ74">
        <v>12.3</v>
      </c>
      <c r="BK74">
        <v>7.7</v>
      </c>
      <c r="BL74">
        <v>29.8</v>
      </c>
      <c r="BM74">
        <v>8.1999999999999993</v>
      </c>
      <c r="BN74">
        <v>5.8</v>
      </c>
      <c r="BO74">
        <v>5.29</v>
      </c>
      <c r="BP74">
        <v>0.41</v>
      </c>
      <c r="BQ74">
        <v>0</v>
      </c>
      <c r="BR74">
        <v>524</v>
      </c>
      <c r="BS74">
        <v>250.7</v>
      </c>
      <c r="BT74">
        <v>3616</v>
      </c>
      <c r="BU74">
        <v>2226</v>
      </c>
      <c r="BV74">
        <v>11.82</v>
      </c>
      <c r="BW74">
        <v>7.84</v>
      </c>
      <c r="BX74">
        <v>1.41</v>
      </c>
      <c r="BY74">
        <v>66.400000000000006</v>
      </c>
      <c r="BZ74">
        <v>31.9</v>
      </c>
      <c r="CA74">
        <v>3.05</v>
      </c>
      <c r="CB74">
        <v>2.63</v>
      </c>
      <c r="CC74">
        <v>30.6</v>
      </c>
      <c r="CD74">
        <v>1.26</v>
      </c>
      <c r="CE74">
        <v>1.18</v>
      </c>
      <c r="CF74">
        <v>331.3</v>
      </c>
      <c r="CG74">
        <v>21.3</v>
      </c>
      <c r="CH74">
        <v>192</v>
      </c>
      <c r="CI74">
        <v>2.2000000000000002</v>
      </c>
      <c r="CJ74">
        <v>1.3</v>
      </c>
      <c r="CK74">
        <v>2</v>
      </c>
      <c r="CL74" s="42" t="str">
        <f t="shared" si="15"/>
        <v>1</v>
      </c>
      <c r="CM74">
        <v>48</v>
      </c>
      <c r="CN74" s="4">
        <v>0.96</v>
      </c>
      <c r="CO74">
        <v>3</v>
      </c>
      <c r="CP74" s="42" t="str">
        <f t="shared" si="16"/>
        <v>1</v>
      </c>
      <c r="CQ74" s="4">
        <v>112.33333333333333</v>
      </c>
      <c r="CR74" s="4">
        <v>1.7246913580246912</v>
      </c>
      <c r="CS74" s="43" t="str">
        <f t="shared" si="17"/>
        <v>2</v>
      </c>
      <c r="CT74" s="4">
        <f t="shared" si="18"/>
        <v>160.33333333333331</v>
      </c>
      <c r="CU74" s="4">
        <f t="shared" si="19"/>
        <v>2.6846913580246912</v>
      </c>
      <c r="CV74" s="4">
        <v>2</v>
      </c>
    </row>
    <row r="75" spans="1:100" x14ac:dyDescent="0.3">
      <c r="A75" s="15" t="s">
        <v>150</v>
      </c>
      <c r="B75" s="17">
        <v>0</v>
      </c>
      <c r="C75" s="3">
        <v>47</v>
      </c>
      <c r="D75">
        <v>4</v>
      </c>
      <c r="E75">
        <v>2</v>
      </c>
      <c r="F75">
        <v>2</v>
      </c>
      <c r="G75">
        <v>0</v>
      </c>
      <c r="H75">
        <v>1</v>
      </c>
      <c r="I75">
        <v>1</v>
      </c>
      <c r="J75" s="4">
        <v>84.7</v>
      </c>
      <c r="K75" s="4">
        <f t="shared" si="11"/>
        <v>1.59</v>
      </c>
      <c r="L75">
        <v>159</v>
      </c>
      <c r="M75" s="4">
        <f t="shared" ref="M75:M138" si="21">(O75*J75)/100</f>
        <v>28.7133</v>
      </c>
      <c r="N75" s="4">
        <v>53.1</v>
      </c>
      <c r="O75" s="4">
        <v>33.9</v>
      </c>
      <c r="P75" s="40">
        <v>1</v>
      </c>
      <c r="Q75">
        <v>85.1</v>
      </c>
      <c r="R75" s="37">
        <v>0</v>
      </c>
      <c r="S75">
        <v>91</v>
      </c>
      <c r="T75" s="5">
        <f t="shared" si="20"/>
        <v>0.93516483516483506</v>
      </c>
      <c r="U75" s="37">
        <v>1</v>
      </c>
      <c r="V75" s="4">
        <f t="shared" si="12"/>
        <v>33.503421541869386</v>
      </c>
      <c r="W75" s="39">
        <v>1</v>
      </c>
      <c r="X75">
        <v>19</v>
      </c>
      <c r="Y75" s="37">
        <v>1</v>
      </c>
      <c r="Z75">
        <v>20.02</v>
      </c>
      <c r="AA75" s="23">
        <f t="shared" si="13"/>
        <v>4.7069244444444447</v>
      </c>
      <c r="AB75" s="84">
        <v>0</v>
      </c>
      <c r="AC75" s="5">
        <v>5.29</v>
      </c>
      <c r="AD75" s="37">
        <v>0</v>
      </c>
      <c r="AE75">
        <v>27.3</v>
      </c>
      <c r="AF75" s="5">
        <v>6.92</v>
      </c>
      <c r="AG75" s="37">
        <v>1</v>
      </c>
      <c r="AH75" s="5">
        <v>1.1299999999999999</v>
      </c>
      <c r="AI75" s="37">
        <v>0</v>
      </c>
      <c r="AJ75" s="5">
        <v>5.19</v>
      </c>
      <c r="AK75" s="37">
        <v>1</v>
      </c>
      <c r="AL75" s="5">
        <v>1.22</v>
      </c>
      <c r="AM75" s="37">
        <v>0</v>
      </c>
      <c r="AN75" s="4">
        <f t="shared" si="14"/>
        <v>5.6721311475409832</v>
      </c>
      <c r="AO75" s="37">
        <v>1</v>
      </c>
      <c r="AP75">
        <v>133</v>
      </c>
      <c r="AQ75" s="37">
        <v>1</v>
      </c>
      <c r="AR75">
        <v>81</v>
      </c>
      <c r="AS75" s="37">
        <v>0</v>
      </c>
      <c r="AT75">
        <v>74</v>
      </c>
      <c r="AU75">
        <v>52</v>
      </c>
      <c r="AV75">
        <v>6.8</v>
      </c>
      <c r="AW75" s="37">
        <v>1</v>
      </c>
      <c r="AX75">
        <v>1821</v>
      </c>
      <c r="AY75">
        <v>45.8</v>
      </c>
      <c r="AZ75">
        <v>42.8</v>
      </c>
      <c r="BA75">
        <v>333.5</v>
      </c>
      <c r="BB75">
        <v>6.6</v>
      </c>
      <c r="BC75">
        <v>229.8</v>
      </c>
      <c r="BD75">
        <v>94</v>
      </c>
      <c r="BE75">
        <v>76.400000000000006</v>
      </c>
      <c r="BF75">
        <v>171.4</v>
      </c>
      <c r="BG75">
        <v>21.2</v>
      </c>
      <c r="BH75">
        <v>10</v>
      </c>
      <c r="BI75">
        <v>68.7</v>
      </c>
      <c r="BJ75">
        <v>13.2</v>
      </c>
      <c r="BK75">
        <v>15.7</v>
      </c>
      <c r="BL75">
        <v>26.8</v>
      </c>
      <c r="BM75">
        <v>7.4</v>
      </c>
      <c r="BN75">
        <v>2.5</v>
      </c>
      <c r="BO75">
        <v>2.12</v>
      </c>
      <c r="BP75">
        <v>0.32</v>
      </c>
      <c r="BQ75">
        <v>0.01</v>
      </c>
      <c r="BR75">
        <v>492</v>
      </c>
      <c r="BS75">
        <v>166.1</v>
      </c>
      <c r="BT75">
        <v>2260</v>
      </c>
      <c r="BU75">
        <v>1619</v>
      </c>
      <c r="BV75">
        <v>10.8</v>
      </c>
      <c r="BW75">
        <v>5.61</v>
      </c>
      <c r="BX75">
        <v>1.21</v>
      </c>
      <c r="BY75">
        <v>34.1</v>
      </c>
      <c r="BZ75">
        <v>52.8</v>
      </c>
      <c r="CA75">
        <v>0.83</v>
      </c>
      <c r="CB75">
        <v>0.87</v>
      </c>
      <c r="CC75">
        <v>16.8</v>
      </c>
      <c r="CD75">
        <v>0.85</v>
      </c>
      <c r="CE75">
        <v>2.11</v>
      </c>
      <c r="CF75">
        <v>189.1</v>
      </c>
      <c r="CG75">
        <v>47.8</v>
      </c>
      <c r="CH75">
        <v>494</v>
      </c>
      <c r="CI75">
        <v>1.95</v>
      </c>
      <c r="CJ75">
        <v>1.5</v>
      </c>
      <c r="CK75">
        <v>2</v>
      </c>
      <c r="CL75" s="42" t="str">
        <f t="shared" si="15"/>
        <v>2</v>
      </c>
      <c r="CM75">
        <v>120</v>
      </c>
      <c r="CN75" s="4">
        <v>2.4</v>
      </c>
      <c r="CO75">
        <v>2</v>
      </c>
      <c r="CP75" s="42" t="str">
        <f t="shared" si="16"/>
        <v>1</v>
      </c>
      <c r="CQ75" s="4">
        <v>28.333333333333332</v>
      </c>
      <c r="CR75" s="4">
        <v>0.77654320987654324</v>
      </c>
      <c r="CS75" s="43" t="str">
        <f t="shared" si="17"/>
        <v>1</v>
      </c>
      <c r="CT75" s="4">
        <f t="shared" si="18"/>
        <v>148.33333333333334</v>
      </c>
      <c r="CU75" s="4">
        <f t="shared" si="19"/>
        <v>3.1765432098765434</v>
      </c>
      <c r="CV75" s="4">
        <v>3</v>
      </c>
    </row>
    <row r="76" spans="1:100" x14ac:dyDescent="0.3">
      <c r="A76" s="15" t="s">
        <v>151</v>
      </c>
      <c r="B76" s="17">
        <v>0</v>
      </c>
      <c r="C76" s="3">
        <v>46</v>
      </c>
      <c r="D76">
        <v>3</v>
      </c>
      <c r="E76">
        <v>2</v>
      </c>
      <c r="F76">
        <v>2</v>
      </c>
      <c r="G76">
        <v>0</v>
      </c>
      <c r="H76">
        <v>1</v>
      </c>
      <c r="I76">
        <v>0</v>
      </c>
      <c r="J76" s="4">
        <v>56.8</v>
      </c>
      <c r="K76" s="4">
        <f t="shared" si="11"/>
        <v>1.64</v>
      </c>
      <c r="L76">
        <v>164</v>
      </c>
      <c r="M76" s="4">
        <f t="shared" si="21"/>
        <v>12.78</v>
      </c>
      <c r="N76" s="4">
        <v>41.7</v>
      </c>
      <c r="O76" s="4">
        <v>22.5</v>
      </c>
      <c r="P76" s="40">
        <v>0</v>
      </c>
      <c r="Q76">
        <v>77.900000000000006</v>
      </c>
      <c r="R76" s="37">
        <v>0</v>
      </c>
      <c r="S76">
        <v>88.2</v>
      </c>
      <c r="T76" s="5">
        <f t="shared" si="20"/>
        <v>0.8832199546485261</v>
      </c>
      <c r="U76" s="37">
        <v>0</v>
      </c>
      <c r="V76" s="4">
        <f t="shared" si="12"/>
        <v>21.118381915526474</v>
      </c>
      <c r="W76" s="39">
        <v>0</v>
      </c>
      <c r="X76">
        <v>8</v>
      </c>
      <c r="Y76" s="40">
        <v>0</v>
      </c>
      <c r="Z76">
        <v>7.79</v>
      </c>
      <c r="AA76" s="23">
        <f t="shared" si="13"/>
        <v>1.90076</v>
      </c>
      <c r="AB76" s="84">
        <v>0</v>
      </c>
      <c r="AC76" s="5">
        <v>5.49</v>
      </c>
      <c r="AD76" s="37">
        <v>0</v>
      </c>
      <c r="AE76">
        <v>12.31</v>
      </c>
      <c r="AF76" s="5">
        <v>7.28</v>
      </c>
      <c r="AG76" s="37">
        <v>1</v>
      </c>
      <c r="AH76" s="5">
        <v>1.4</v>
      </c>
      <c r="AI76" s="37">
        <v>0</v>
      </c>
      <c r="AJ76" s="5">
        <v>5.17</v>
      </c>
      <c r="AK76" s="37">
        <v>1</v>
      </c>
      <c r="AL76" s="5">
        <v>1.47</v>
      </c>
      <c r="AM76" s="37">
        <v>0</v>
      </c>
      <c r="AN76" s="4">
        <f t="shared" si="14"/>
        <v>4.9523809523809526</v>
      </c>
      <c r="AO76" s="37">
        <v>1</v>
      </c>
      <c r="AP76">
        <v>138</v>
      </c>
      <c r="AQ76" s="37">
        <v>1</v>
      </c>
      <c r="AR76">
        <v>96</v>
      </c>
      <c r="AS76" s="37">
        <v>1</v>
      </c>
      <c r="AT76">
        <v>50</v>
      </c>
      <c r="AU76">
        <v>42</v>
      </c>
      <c r="AV76">
        <v>7.1</v>
      </c>
      <c r="AW76" s="37">
        <v>1</v>
      </c>
      <c r="AX76">
        <v>2075</v>
      </c>
      <c r="AY76">
        <v>51.9</v>
      </c>
      <c r="AZ76">
        <v>54.6</v>
      </c>
      <c r="BA76">
        <v>365.5</v>
      </c>
      <c r="BB76">
        <v>10.4</v>
      </c>
      <c r="BC76">
        <v>246.7</v>
      </c>
      <c r="BD76">
        <v>94.4</v>
      </c>
      <c r="BE76">
        <v>69.5</v>
      </c>
      <c r="BF76">
        <v>61.1</v>
      </c>
      <c r="BG76">
        <v>23.7</v>
      </c>
      <c r="BH76">
        <v>10</v>
      </c>
      <c r="BI76">
        <v>66</v>
      </c>
      <c r="BJ76">
        <v>17.600000000000001</v>
      </c>
      <c r="BK76">
        <v>12.6</v>
      </c>
      <c r="BL76">
        <v>40.5</v>
      </c>
      <c r="BM76">
        <v>5.3</v>
      </c>
      <c r="BN76">
        <v>3.7</v>
      </c>
      <c r="BO76">
        <v>2.76</v>
      </c>
      <c r="BP76">
        <v>0.38</v>
      </c>
      <c r="BQ76">
        <v>0</v>
      </c>
      <c r="BR76">
        <v>388</v>
      </c>
      <c r="BS76">
        <v>219.9</v>
      </c>
      <c r="BT76">
        <v>3524</v>
      </c>
      <c r="BU76">
        <v>1872</v>
      </c>
      <c r="BV76">
        <v>11.98</v>
      </c>
      <c r="BW76">
        <v>7.06</v>
      </c>
      <c r="BX76">
        <v>1.85</v>
      </c>
      <c r="BY76">
        <v>72.599999999999994</v>
      </c>
      <c r="BZ76">
        <v>49.4</v>
      </c>
      <c r="CA76">
        <v>0.75</v>
      </c>
      <c r="CB76">
        <v>0.56999999999999995</v>
      </c>
      <c r="CC76">
        <v>17</v>
      </c>
      <c r="CD76">
        <v>1.04</v>
      </c>
      <c r="CE76">
        <v>2.34</v>
      </c>
      <c r="CF76">
        <v>283.39999999999998</v>
      </c>
      <c r="CG76">
        <v>15.8</v>
      </c>
      <c r="CH76">
        <v>206</v>
      </c>
      <c r="CI76">
        <v>3.28</v>
      </c>
      <c r="CJ76">
        <v>1.2</v>
      </c>
      <c r="CK76">
        <v>1</v>
      </c>
      <c r="CL76" s="42" t="str">
        <f t="shared" si="15"/>
        <v>1</v>
      </c>
      <c r="CM76">
        <v>41</v>
      </c>
      <c r="CN76" s="4">
        <v>0.82</v>
      </c>
      <c r="CO76">
        <v>7</v>
      </c>
      <c r="CP76" s="42" t="str">
        <f t="shared" si="16"/>
        <v>1</v>
      </c>
      <c r="CQ76" s="4">
        <v>87.333333333333329</v>
      </c>
      <c r="CR76" s="4">
        <v>1.7777777777777777</v>
      </c>
      <c r="CS76" s="43" t="str">
        <f t="shared" si="17"/>
        <v>1</v>
      </c>
      <c r="CT76" s="4">
        <f t="shared" si="18"/>
        <v>128.33333333333331</v>
      </c>
      <c r="CU76" s="4">
        <f t="shared" si="19"/>
        <v>2.5977777777777775</v>
      </c>
      <c r="CV76" s="4">
        <v>2</v>
      </c>
    </row>
    <row r="77" spans="1:100" x14ac:dyDescent="0.3">
      <c r="A77" s="15" t="s">
        <v>152</v>
      </c>
      <c r="B77" s="17">
        <v>0</v>
      </c>
      <c r="C77" s="3">
        <v>41</v>
      </c>
      <c r="D77">
        <v>1</v>
      </c>
      <c r="E77">
        <v>2</v>
      </c>
      <c r="F77">
        <v>1</v>
      </c>
      <c r="G77">
        <v>0</v>
      </c>
      <c r="H77">
        <v>0</v>
      </c>
      <c r="I77">
        <v>0</v>
      </c>
      <c r="J77" s="4">
        <v>59.7</v>
      </c>
      <c r="K77" s="4">
        <f t="shared" si="11"/>
        <v>1.7</v>
      </c>
      <c r="L77">
        <v>170</v>
      </c>
      <c r="M77" s="4">
        <f t="shared" si="21"/>
        <v>9.9102000000000015</v>
      </c>
      <c r="N77" s="4">
        <v>47.2</v>
      </c>
      <c r="O77" s="4">
        <v>16.600000000000001</v>
      </c>
      <c r="P77" s="40">
        <v>0</v>
      </c>
      <c r="Q77">
        <v>84.5</v>
      </c>
      <c r="R77" s="37">
        <v>0</v>
      </c>
      <c r="S77">
        <v>95.1</v>
      </c>
      <c r="T77" s="5">
        <f>Q77/S77</f>
        <v>0.88853838065194535</v>
      </c>
      <c r="U77" s="37">
        <v>0</v>
      </c>
      <c r="V77" s="4">
        <f t="shared" si="12"/>
        <v>20.657439446366784</v>
      </c>
      <c r="W77" s="39">
        <v>0</v>
      </c>
      <c r="X77">
        <v>6</v>
      </c>
      <c r="Y77" s="40">
        <v>0</v>
      </c>
      <c r="Z77">
        <v>8.64</v>
      </c>
      <c r="AA77" s="23">
        <f t="shared" si="13"/>
        <v>1.9583999999999999</v>
      </c>
      <c r="AB77" s="84">
        <v>0</v>
      </c>
      <c r="AC77" s="5">
        <v>5.0999999999999996</v>
      </c>
      <c r="AD77" s="37">
        <v>0</v>
      </c>
      <c r="AE77">
        <v>14.81</v>
      </c>
      <c r="AF77" s="5">
        <v>5.71</v>
      </c>
      <c r="AG77" s="37">
        <v>1</v>
      </c>
      <c r="AH77" s="5">
        <v>1.1200000000000001</v>
      </c>
      <c r="AI77" s="37">
        <v>0</v>
      </c>
      <c r="AJ77" s="5">
        <v>4.1900000000000004</v>
      </c>
      <c r="AK77" s="37">
        <v>1</v>
      </c>
      <c r="AL77" s="5">
        <v>1.01</v>
      </c>
      <c r="AM77" s="37">
        <v>0</v>
      </c>
      <c r="AN77" s="4">
        <f t="shared" si="14"/>
        <v>5.6534653465346532</v>
      </c>
      <c r="AO77" s="37">
        <v>1</v>
      </c>
      <c r="AP77">
        <v>111</v>
      </c>
      <c r="AQ77" s="38">
        <v>0</v>
      </c>
      <c r="AR77">
        <v>80</v>
      </c>
      <c r="AS77" s="37">
        <v>0</v>
      </c>
      <c r="AT77">
        <v>78</v>
      </c>
      <c r="AU77">
        <v>31</v>
      </c>
      <c r="AV77">
        <v>5.8</v>
      </c>
      <c r="AW77" s="37">
        <v>1</v>
      </c>
      <c r="AX77">
        <v>1892</v>
      </c>
      <c r="AY77">
        <v>54.8</v>
      </c>
      <c r="AZ77">
        <v>56</v>
      </c>
      <c r="BA77">
        <v>311.10000000000002</v>
      </c>
      <c r="BB77">
        <v>6.6</v>
      </c>
      <c r="BC77">
        <v>229</v>
      </c>
      <c r="BD77">
        <v>51.2</v>
      </c>
      <c r="BE77">
        <v>44.8</v>
      </c>
      <c r="BF77">
        <v>112</v>
      </c>
      <c r="BG77">
        <v>26.6</v>
      </c>
      <c r="BH77">
        <v>11.6</v>
      </c>
      <c r="BI77">
        <v>61.6</v>
      </c>
      <c r="BJ77">
        <v>16.2</v>
      </c>
      <c r="BK77">
        <v>8.9</v>
      </c>
      <c r="BL77">
        <v>34</v>
      </c>
      <c r="BM77">
        <v>6.2</v>
      </c>
      <c r="BN77">
        <v>2.1</v>
      </c>
      <c r="BO77">
        <v>1.55</v>
      </c>
      <c r="BP77">
        <v>0.45</v>
      </c>
      <c r="BQ77">
        <v>0</v>
      </c>
      <c r="BR77">
        <v>561</v>
      </c>
      <c r="BS77">
        <v>168.2</v>
      </c>
      <c r="BT77">
        <v>3058</v>
      </c>
      <c r="BU77">
        <v>1490</v>
      </c>
      <c r="BV77">
        <v>9.61</v>
      </c>
      <c r="BW77">
        <v>5.73</v>
      </c>
      <c r="BX77">
        <v>1.4</v>
      </c>
      <c r="BY77">
        <v>38.6</v>
      </c>
      <c r="BZ77">
        <v>35.200000000000003</v>
      </c>
      <c r="CA77">
        <v>0.6</v>
      </c>
      <c r="CB77">
        <v>0.82</v>
      </c>
      <c r="CC77">
        <v>16.3</v>
      </c>
      <c r="CD77">
        <v>0.6</v>
      </c>
      <c r="CE77">
        <v>2.62</v>
      </c>
      <c r="CF77">
        <v>168.7</v>
      </c>
      <c r="CG77">
        <v>13.4</v>
      </c>
      <c r="CH77">
        <v>261</v>
      </c>
      <c r="CI77">
        <v>3.35</v>
      </c>
      <c r="CJ77">
        <v>1.4</v>
      </c>
      <c r="CK77">
        <v>1</v>
      </c>
      <c r="CL77" s="42" t="str">
        <f t="shared" si="15"/>
        <v>1</v>
      </c>
      <c r="CM77">
        <v>16</v>
      </c>
      <c r="CN77" s="4">
        <v>0.32</v>
      </c>
      <c r="CO77">
        <v>5</v>
      </c>
      <c r="CP77" s="42" t="str">
        <f t="shared" si="16"/>
        <v>1</v>
      </c>
      <c r="CQ77" s="4">
        <v>93</v>
      </c>
      <c r="CR77" s="4">
        <v>1.1049382716049383</v>
      </c>
      <c r="CS77" s="43" t="str">
        <f t="shared" si="17"/>
        <v>1</v>
      </c>
      <c r="CT77" s="4">
        <f t="shared" si="18"/>
        <v>109</v>
      </c>
      <c r="CU77" s="4">
        <f t="shared" si="19"/>
        <v>1.4249382716049384</v>
      </c>
      <c r="CV77" s="4">
        <v>1</v>
      </c>
    </row>
    <row r="78" spans="1:100" x14ac:dyDescent="0.3">
      <c r="A78" s="15" t="s">
        <v>153</v>
      </c>
      <c r="B78" s="17">
        <v>0</v>
      </c>
      <c r="C78" s="3">
        <v>55</v>
      </c>
      <c r="D78">
        <v>3</v>
      </c>
      <c r="E78">
        <v>1</v>
      </c>
      <c r="F78">
        <v>1</v>
      </c>
      <c r="G78">
        <v>0</v>
      </c>
      <c r="H78">
        <v>0</v>
      </c>
      <c r="I78">
        <v>0</v>
      </c>
      <c r="J78" s="4">
        <v>60.6</v>
      </c>
      <c r="K78" s="4">
        <v>1.64</v>
      </c>
      <c r="L78">
        <v>164.1</v>
      </c>
      <c r="M78" s="4">
        <f t="shared" si="21"/>
        <v>13.574400000000001</v>
      </c>
      <c r="N78" s="4">
        <v>44.6</v>
      </c>
      <c r="O78">
        <v>22.4</v>
      </c>
      <c r="P78" s="40">
        <v>0</v>
      </c>
      <c r="Q78">
        <v>83</v>
      </c>
      <c r="R78" s="37">
        <v>0</v>
      </c>
      <c r="S78">
        <v>97</v>
      </c>
      <c r="T78" s="5">
        <f t="shared" si="20"/>
        <v>0.85567010309278346</v>
      </c>
      <c r="U78" s="37">
        <v>0</v>
      </c>
      <c r="V78" s="4">
        <f t="shared" si="12"/>
        <v>22.53123140987508</v>
      </c>
      <c r="W78" s="39">
        <v>0</v>
      </c>
      <c r="X78">
        <v>10</v>
      </c>
      <c r="Y78" s="37">
        <v>1</v>
      </c>
      <c r="AA78" s="23"/>
      <c r="AB78" s="84"/>
      <c r="AC78" s="5">
        <v>3.9</v>
      </c>
      <c r="AD78" s="37">
        <v>0</v>
      </c>
      <c r="AE78">
        <v>3.87</v>
      </c>
      <c r="AF78" s="5">
        <v>6.38</v>
      </c>
      <c r="AG78" s="37">
        <v>1</v>
      </c>
      <c r="AH78" s="5">
        <v>1.68</v>
      </c>
      <c r="AI78" s="37">
        <v>0</v>
      </c>
      <c r="AJ78" s="5">
        <v>4.43</v>
      </c>
      <c r="AK78" s="37">
        <v>1</v>
      </c>
      <c r="AL78" s="5">
        <v>1.19</v>
      </c>
      <c r="AM78" s="37">
        <v>0</v>
      </c>
      <c r="AN78" s="4">
        <f t="shared" si="14"/>
        <v>5.3613445378151265</v>
      </c>
      <c r="AO78" s="37">
        <v>1</v>
      </c>
      <c r="AP78">
        <v>116</v>
      </c>
      <c r="AQ78" s="38">
        <v>0</v>
      </c>
      <c r="AR78">
        <v>78</v>
      </c>
      <c r="AS78" s="37">
        <v>0</v>
      </c>
      <c r="AT78">
        <v>49</v>
      </c>
      <c r="AU78">
        <v>38</v>
      </c>
      <c r="AV78">
        <v>7.6</v>
      </c>
      <c r="AW78" s="37">
        <v>1</v>
      </c>
      <c r="AX78">
        <v>1753</v>
      </c>
      <c r="AY78">
        <v>47.9</v>
      </c>
      <c r="AZ78">
        <v>43.5</v>
      </c>
      <c r="BA78">
        <v>310.8</v>
      </c>
      <c r="BB78">
        <v>5.8</v>
      </c>
      <c r="BC78">
        <v>225.1</v>
      </c>
      <c r="BD78">
        <v>65.5</v>
      </c>
      <c r="BE78">
        <v>49.7</v>
      </c>
      <c r="BF78">
        <v>102.4</v>
      </c>
      <c r="BG78">
        <v>22.3</v>
      </c>
      <c r="BH78">
        <v>10.9</v>
      </c>
      <c r="BI78">
        <v>66.5</v>
      </c>
      <c r="BJ78">
        <v>11.7</v>
      </c>
      <c r="BK78">
        <v>10.6</v>
      </c>
      <c r="BL78">
        <v>22.9</v>
      </c>
      <c r="BM78">
        <v>6.2</v>
      </c>
      <c r="BN78">
        <v>4.0999999999999996</v>
      </c>
      <c r="BO78">
        <v>2.87</v>
      </c>
      <c r="BP78">
        <v>1.03</v>
      </c>
      <c r="BQ78">
        <v>0.09</v>
      </c>
      <c r="BR78">
        <v>364</v>
      </c>
      <c r="BS78">
        <v>177.5</v>
      </c>
      <c r="BT78">
        <v>2719</v>
      </c>
      <c r="BU78">
        <v>1513</v>
      </c>
      <c r="BV78">
        <v>8.69</v>
      </c>
      <c r="BW78">
        <v>5.55</v>
      </c>
      <c r="BX78">
        <v>1.1299999999999999</v>
      </c>
      <c r="BY78">
        <v>39.9</v>
      </c>
      <c r="BZ78">
        <v>34.299999999999997</v>
      </c>
      <c r="CA78">
        <v>0.49</v>
      </c>
      <c r="CB78">
        <v>0.63</v>
      </c>
      <c r="CC78">
        <v>15.8</v>
      </c>
      <c r="CD78">
        <v>0.64</v>
      </c>
      <c r="CE78">
        <v>6.35</v>
      </c>
      <c r="CF78">
        <v>200.1</v>
      </c>
      <c r="CG78">
        <v>11.2</v>
      </c>
      <c r="CH78">
        <v>323</v>
      </c>
      <c r="CI78">
        <v>7.96</v>
      </c>
      <c r="CJ78">
        <v>2.4</v>
      </c>
      <c r="CK78">
        <v>1</v>
      </c>
      <c r="CL78" s="42" t="str">
        <f t="shared" si="15"/>
        <v>1</v>
      </c>
      <c r="CM78" s="4">
        <v>27.333333333333332</v>
      </c>
      <c r="CN78" s="4">
        <v>0.54666666666666663</v>
      </c>
      <c r="CO78">
        <v>5</v>
      </c>
      <c r="CP78" s="42" t="str">
        <f t="shared" si="16"/>
        <v>1</v>
      </c>
      <c r="CQ78" s="4">
        <v>82</v>
      </c>
      <c r="CR78" s="4">
        <v>1.1851851851851851</v>
      </c>
      <c r="CS78" s="43" t="str">
        <f t="shared" si="17"/>
        <v>1</v>
      </c>
      <c r="CT78" s="4">
        <f t="shared" si="18"/>
        <v>109.33333333333333</v>
      </c>
      <c r="CU78" s="4">
        <f t="shared" si="19"/>
        <v>1.7318518518518518</v>
      </c>
      <c r="CV78" s="4">
        <v>1</v>
      </c>
    </row>
    <row r="79" spans="1:100" x14ac:dyDescent="0.3">
      <c r="A79" s="15" t="s">
        <v>154</v>
      </c>
      <c r="B79" s="17">
        <v>0</v>
      </c>
      <c r="C79" s="3">
        <v>54</v>
      </c>
      <c r="D79">
        <v>2</v>
      </c>
      <c r="E79">
        <v>1</v>
      </c>
      <c r="F79">
        <v>2</v>
      </c>
      <c r="G79">
        <v>0</v>
      </c>
      <c r="H79">
        <v>1</v>
      </c>
      <c r="I79">
        <v>1</v>
      </c>
      <c r="J79" s="4">
        <v>66.599999999999994</v>
      </c>
      <c r="K79" s="4">
        <f>L79/100</f>
        <v>1.71</v>
      </c>
      <c r="L79">
        <v>171</v>
      </c>
      <c r="M79" s="4">
        <f t="shared" si="21"/>
        <v>15.784199999999998</v>
      </c>
      <c r="N79" s="4">
        <v>48.2</v>
      </c>
      <c r="O79" s="4">
        <v>23.7</v>
      </c>
      <c r="P79" s="40">
        <v>1</v>
      </c>
      <c r="Q79">
        <v>84.3</v>
      </c>
      <c r="R79" s="37">
        <v>0</v>
      </c>
      <c r="S79">
        <v>94</v>
      </c>
      <c r="T79" s="5">
        <f t="shared" si="20"/>
        <v>0.89680851063829781</v>
      </c>
      <c r="U79" s="37">
        <v>0</v>
      </c>
      <c r="V79" s="4">
        <f t="shared" si="12"/>
        <v>22.776238842720836</v>
      </c>
      <c r="W79" s="39">
        <v>0</v>
      </c>
      <c r="X79">
        <v>11</v>
      </c>
      <c r="Y79" s="37">
        <v>1</v>
      </c>
      <c r="Z79">
        <v>7.15</v>
      </c>
      <c r="AA79" s="23">
        <f t="shared" si="13"/>
        <v>1.8462888888888889</v>
      </c>
      <c r="AB79" s="84">
        <v>0</v>
      </c>
      <c r="AC79" s="5">
        <v>5.81</v>
      </c>
      <c r="AD79" s="37">
        <v>1</v>
      </c>
      <c r="AE79">
        <v>19.12</v>
      </c>
      <c r="AF79" s="5">
        <v>6.21</v>
      </c>
      <c r="AG79" s="37">
        <v>1</v>
      </c>
      <c r="AH79" s="5">
        <v>1.93</v>
      </c>
      <c r="AI79" s="37">
        <v>1</v>
      </c>
      <c r="AJ79" s="5">
        <v>4.03</v>
      </c>
      <c r="AK79" s="37">
        <v>1</v>
      </c>
      <c r="AL79" s="5">
        <v>1.28</v>
      </c>
      <c r="AM79" s="37">
        <v>0</v>
      </c>
      <c r="AN79" s="4">
        <f t="shared" si="14"/>
        <v>4.8515625</v>
      </c>
      <c r="AO79" s="37">
        <v>1</v>
      </c>
      <c r="AP79">
        <v>146</v>
      </c>
      <c r="AQ79" s="37">
        <v>1</v>
      </c>
      <c r="AR79">
        <v>108</v>
      </c>
      <c r="AS79" s="37">
        <v>1</v>
      </c>
      <c r="AT79">
        <v>57</v>
      </c>
      <c r="AU79">
        <v>38</v>
      </c>
      <c r="AV79">
        <v>8.4</v>
      </c>
      <c r="AW79" s="37">
        <v>0</v>
      </c>
      <c r="AX79">
        <v>2750</v>
      </c>
      <c r="AY79">
        <v>77.099999999999994</v>
      </c>
      <c r="AZ79">
        <v>55.5</v>
      </c>
      <c r="BA79">
        <v>516.70000000000005</v>
      </c>
      <c r="BB79">
        <v>10.4</v>
      </c>
      <c r="BC79">
        <v>431.2</v>
      </c>
      <c r="BD79">
        <v>52.2</v>
      </c>
      <c r="BE79">
        <v>37.1</v>
      </c>
      <c r="BF79">
        <v>31.7</v>
      </c>
      <c r="BG79">
        <v>18.2</v>
      </c>
      <c r="BH79">
        <v>11.2</v>
      </c>
      <c r="BI79">
        <v>70.400000000000006</v>
      </c>
      <c r="BJ79">
        <v>9.5</v>
      </c>
      <c r="BK79">
        <v>5.0999999999999996</v>
      </c>
      <c r="BL79">
        <v>28.9</v>
      </c>
      <c r="BM79">
        <v>8</v>
      </c>
      <c r="BN79">
        <v>5.9</v>
      </c>
      <c r="BO79">
        <v>5.31</v>
      </c>
      <c r="BP79">
        <v>0.22</v>
      </c>
      <c r="BQ79">
        <v>0</v>
      </c>
      <c r="BR79">
        <v>800</v>
      </c>
      <c r="BS79">
        <v>275.3</v>
      </c>
      <c r="BT79">
        <v>3853</v>
      </c>
      <c r="BU79">
        <v>2142</v>
      </c>
      <c r="BV79">
        <v>17.14</v>
      </c>
      <c r="BW79">
        <v>10.1</v>
      </c>
      <c r="BX79">
        <v>2.29</v>
      </c>
      <c r="BY79">
        <v>96.6</v>
      </c>
      <c r="BZ79">
        <v>70.400000000000006</v>
      </c>
      <c r="CA79">
        <v>1.19</v>
      </c>
      <c r="CB79">
        <v>1.26</v>
      </c>
      <c r="CC79">
        <v>25.8</v>
      </c>
      <c r="CD79">
        <v>1.1200000000000001</v>
      </c>
      <c r="CE79">
        <v>0.37</v>
      </c>
      <c r="CF79">
        <v>343</v>
      </c>
      <c r="CG79">
        <v>31.5</v>
      </c>
      <c r="CH79">
        <v>219</v>
      </c>
      <c r="CI79">
        <v>0.1</v>
      </c>
      <c r="CJ79">
        <v>0.7</v>
      </c>
      <c r="CK79" s="26"/>
      <c r="CL79" s="42" t="str">
        <f t="shared" si="15"/>
        <v>1</v>
      </c>
      <c r="CM79">
        <v>0</v>
      </c>
      <c r="CN79" s="4" t="e">
        <v>#DIV/0!</v>
      </c>
      <c r="CO79" s="26"/>
      <c r="CP79" s="42" t="str">
        <f t="shared" si="16"/>
        <v>1</v>
      </c>
      <c r="CQ79" s="4">
        <v>0</v>
      </c>
      <c r="CR79" s="4">
        <v>0</v>
      </c>
      <c r="CS79" s="43" t="str">
        <f t="shared" si="17"/>
        <v>1</v>
      </c>
      <c r="CT79" s="4">
        <f t="shared" si="18"/>
        <v>0</v>
      </c>
      <c r="CU79" s="4" t="e">
        <f t="shared" si="19"/>
        <v>#DIV/0!</v>
      </c>
    </row>
    <row r="80" spans="1:100" x14ac:dyDescent="0.3">
      <c r="A80" s="15" t="s">
        <v>155</v>
      </c>
      <c r="B80" s="17">
        <v>0</v>
      </c>
      <c r="C80" s="3">
        <v>49</v>
      </c>
      <c r="D80">
        <v>2</v>
      </c>
      <c r="E80">
        <v>1</v>
      </c>
      <c r="F80">
        <v>2</v>
      </c>
      <c r="G80">
        <v>0</v>
      </c>
      <c r="H80">
        <v>0</v>
      </c>
      <c r="I80">
        <v>1</v>
      </c>
      <c r="J80" s="4">
        <v>67.5</v>
      </c>
      <c r="K80" s="4">
        <f>L80/100</f>
        <v>1.704</v>
      </c>
      <c r="L80">
        <v>170.4</v>
      </c>
      <c r="M80" s="4">
        <f t="shared" si="21"/>
        <v>15.93</v>
      </c>
      <c r="N80" s="4">
        <v>52.1</v>
      </c>
      <c r="O80" s="4">
        <v>23.6</v>
      </c>
      <c r="P80" s="40">
        <v>1</v>
      </c>
      <c r="Q80">
        <v>78.5</v>
      </c>
      <c r="R80" s="37">
        <v>0</v>
      </c>
      <c r="S80">
        <v>92.4</v>
      </c>
      <c r="T80" s="5">
        <f t="shared" si="20"/>
        <v>0.84956709956709953</v>
      </c>
      <c r="U80" s="37">
        <v>0</v>
      </c>
      <c r="V80" s="4">
        <f t="shared" si="12"/>
        <v>23.246875619916683</v>
      </c>
      <c r="W80" s="39">
        <v>1</v>
      </c>
      <c r="X80">
        <v>11</v>
      </c>
      <c r="Y80" s="37">
        <v>1</v>
      </c>
      <c r="Z80">
        <v>19.14</v>
      </c>
      <c r="AA80" s="23">
        <f t="shared" si="13"/>
        <v>5.2826400000000007</v>
      </c>
      <c r="AB80" s="84">
        <v>1</v>
      </c>
      <c r="AC80" s="5">
        <v>6.21</v>
      </c>
      <c r="AD80" s="37">
        <v>1</v>
      </c>
      <c r="AE80">
        <v>3</v>
      </c>
      <c r="AF80" s="5">
        <v>6.1</v>
      </c>
      <c r="AG80" s="37">
        <v>1</v>
      </c>
      <c r="AH80" s="5">
        <v>2.04</v>
      </c>
      <c r="AI80" s="37">
        <v>1</v>
      </c>
      <c r="AJ80" s="5">
        <v>4.26</v>
      </c>
      <c r="AK80" s="37">
        <v>1</v>
      </c>
      <c r="AL80" s="5">
        <v>0.91</v>
      </c>
      <c r="AM80" s="37">
        <v>1</v>
      </c>
      <c r="AN80" s="4">
        <f t="shared" si="14"/>
        <v>6.7032967032967026</v>
      </c>
      <c r="AO80" s="37">
        <v>1</v>
      </c>
      <c r="AP80">
        <v>122</v>
      </c>
      <c r="AQ80" s="38">
        <v>0</v>
      </c>
      <c r="AR80">
        <v>85</v>
      </c>
      <c r="AS80" s="37">
        <v>1</v>
      </c>
      <c r="AT80">
        <v>72</v>
      </c>
      <c r="AU80">
        <v>38</v>
      </c>
      <c r="AV80">
        <v>6.9</v>
      </c>
      <c r="AW80" s="37">
        <v>1</v>
      </c>
      <c r="AX80">
        <v>1819</v>
      </c>
      <c r="AY80">
        <v>51.2</v>
      </c>
      <c r="AZ80">
        <v>49.2</v>
      </c>
      <c r="BA80">
        <v>311.2</v>
      </c>
      <c r="BB80">
        <v>7.3</v>
      </c>
      <c r="BC80">
        <v>277.5</v>
      </c>
      <c r="BD80">
        <v>20.9</v>
      </c>
      <c r="BE80">
        <v>15.6</v>
      </c>
      <c r="BF80">
        <v>120.3</v>
      </c>
      <c r="BG80">
        <v>24.4</v>
      </c>
      <c r="BH80">
        <v>11.3</v>
      </c>
      <c r="BI80">
        <v>64.2</v>
      </c>
      <c r="BJ80">
        <v>16.100000000000001</v>
      </c>
      <c r="BK80">
        <v>3.2</v>
      </c>
      <c r="BL80">
        <v>32.6</v>
      </c>
      <c r="BM80">
        <v>7.7</v>
      </c>
      <c r="BN80">
        <v>2.7</v>
      </c>
      <c r="BO80">
        <v>2.39</v>
      </c>
      <c r="BP80">
        <v>0.11</v>
      </c>
      <c r="BQ80">
        <v>0</v>
      </c>
      <c r="BR80">
        <v>266</v>
      </c>
      <c r="BS80">
        <v>169.9</v>
      </c>
      <c r="BT80">
        <v>3160</v>
      </c>
      <c r="BU80">
        <v>1539</v>
      </c>
      <c r="BV80">
        <v>8.94</v>
      </c>
      <c r="BW80">
        <v>7.22</v>
      </c>
      <c r="BX80">
        <v>1.47</v>
      </c>
      <c r="BY80">
        <v>38.4</v>
      </c>
      <c r="BZ80">
        <v>60.8</v>
      </c>
      <c r="CA80">
        <v>0.48</v>
      </c>
      <c r="CB80">
        <v>0.6</v>
      </c>
      <c r="CC80">
        <v>19.3</v>
      </c>
      <c r="CD80">
        <v>0.99</v>
      </c>
      <c r="CE80">
        <v>0.88</v>
      </c>
      <c r="CF80">
        <v>154.5</v>
      </c>
      <c r="CG80">
        <v>11.9</v>
      </c>
      <c r="CH80">
        <v>180</v>
      </c>
      <c r="CI80">
        <v>0.83</v>
      </c>
      <c r="CJ80">
        <v>1.3</v>
      </c>
      <c r="CK80">
        <v>0</v>
      </c>
      <c r="CL80" s="42" t="str">
        <f t="shared" si="15"/>
        <v>1</v>
      </c>
      <c r="CM80">
        <v>0</v>
      </c>
      <c r="CN80" s="4">
        <v>0</v>
      </c>
      <c r="CO80">
        <v>6</v>
      </c>
      <c r="CP80" s="42" t="str">
        <f t="shared" si="16"/>
        <v>1</v>
      </c>
      <c r="CQ80" s="4">
        <v>91.333333333333329</v>
      </c>
      <c r="CR80" s="4">
        <v>1.154320987654321</v>
      </c>
      <c r="CS80" s="43" t="str">
        <f t="shared" si="17"/>
        <v>1</v>
      </c>
      <c r="CT80" s="4">
        <f t="shared" si="18"/>
        <v>91.333333333333329</v>
      </c>
      <c r="CU80" s="4">
        <f t="shared" si="19"/>
        <v>1.154320987654321</v>
      </c>
      <c r="CV80" s="4">
        <v>1</v>
      </c>
    </row>
    <row r="81" spans="1:100" x14ac:dyDescent="0.3">
      <c r="A81" s="15" t="s">
        <v>156</v>
      </c>
      <c r="B81" s="17">
        <v>0</v>
      </c>
      <c r="C81" s="3">
        <v>54</v>
      </c>
      <c r="D81">
        <v>2</v>
      </c>
      <c r="E81">
        <v>1</v>
      </c>
      <c r="F81">
        <v>2</v>
      </c>
      <c r="G81">
        <v>0</v>
      </c>
      <c r="H81">
        <v>0</v>
      </c>
      <c r="I81">
        <v>0</v>
      </c>
      <c r="J81" s="4">
        <v>70.599999999999994</v>
      </c>
      <c r="K81" s="4">
        <f>L81/100</f>
        <v>1.661</v>
      </c>
      <c r="L81">
        <v>166.1</v>
      </c>
      <c r="M81" s="4">
        <f t="shared" si="21"/>
        <v>11.3666</v>
      </c>
      <c r="N81" s="4">
        <v>53.1</v>
      </c>
      <c r="O81" s="4">
        <v>16.100000000000001</v>
      </c>
      <c r="P81" s="40">
        <v>0</v>
      </c>
      <c r="Q81">
        <v>89.5</v>
      </c>
      <c r="R81" s="37">
        <v>1</v>
      </c>
      <c r="S81">
        <v>99</v>
      </c>
      <c r="T81" s="5">
        <f t="shared" si="20"/>
        <v>0.90404040404040409</v>
      </c>
      <c r="U81" s="37">
        <v>1</v>
      </c>
      <c r="V81" s="4">
        <f t="shared" si="12"/>
        <v>25.589714239733574</v>
      </c>
      <c r="W81" s="39">
        <v>1</v>
      </c>
      <c r="X81">
        <v>9</v>
      </c>
      <c r="Y81" s="40">
        <v>0</v>
      </c>
      <c r="Z81">
        <v>8.8000000000000007</v>
      </c>
      <c r="AA81" s="23">
        <f t="shared" si="13"/>
        <v>2.1829319111111114</v>
      </c>
      <c r="AB81" s="84">
        <v>0</v>
      </c>
      <c r="AC81" s="5">
        <v>5.5813600000000001</v>
      </c>
      <c r="AD81" s="37">
        <v>0</v>
      </c>
      <c r="AE81" s="5">
        <v>23.19059</v>
      </c>
      <c r="AF81" s="5">
        <v>4.6682800000000002</v>
      </c>
      <c r="AG81" s="37">
        <v>0</v>
      </c>
      <c r="AH81" s="5">
        <v>0.69425999999999999</v>
      </c>
      <c r="AI81" s="37">
        <v>0</v>
      </c>
      <c r="AJ81" s="5">
        <v>3.2225700000000002</v>
      </c>
      <c r="AK81" s="37">
        <v>0</v>
      </c>
      <c r="AL81" s="5">
        <v>1.1301399999999999</v>
      </c>
      <c r="AM81" s="37">
        <v>0</v>
      </c>
      <c r="AN81" s="4">
        <f t="shared" si="14"/>
        <v>4.1307094696232332</v>
      </c>
      <c r="AO81" s="37">
        <v>1</v>
      </c>
      <c r="AP81">
        <v>102</v>
      </c>
      <c r="AQ81" s="38">
        <v>0</v>
      </c>
      <c r="AR81">
        <v>71</v>
      </c>
      <c r="AS81" s="37">
        <v>0</v>
      </c>
      <c r="AT81">
        <v>70</v>
      </c>
      <c r="AU81">
        <v>31</v>
      </c>
      <c r="AV81">
        <v>6.9</v>
      </c>
      <c r="AW81" s="37">
        <v>1</v>
      </c>
      <c r="AX81">
        <v>2652</v>
      </c>
      <c r="AY81">
        <v>72.099999999999994</v>
      </c>
      <c r="AZ81">
        <v>75.5</v>
      </c>
      <c r="BA81">
        <v>448</v>
      </c>
      <c r="BB81">
        <v>13</v>
      </c>
      <c r="BC81">
        <v>377.7</v>
      </c>
      <c r="BD81">
        <v>44.2</v>
      </c>
      <c r="BE81">
        <v>34.6</v>
      </c>
      <c r="BF81">
        <v>135.80000000000001</v>
      </c>
      <c r="BG81">
        <v>25.6</v>
      </c>
      <c r="BH81">
        <v>10.9</v>
      </c>
      <c r="BI81">
        <v>63.4</v>
      </c>
      <c r="BJ81">
        <v>18.8</v>
      </c>
      <c r="BK81">
        <v>4.9000000000000004</v>
      </c>
      <c r="BL81">
        <v>55.3</v>
      </c>
      <c r="BM81">
        <v>7</v>
      </c>
      <c r="BN81">
        <v>4</v>
      </c>
      <c r="BO81">
        <v>2.86</v>
      </c>
      <c r="BP81">
        <v>0.36</v>
      </c>
      <c r="BQ81">
        <v>0</v>
      </c>
      <c r="BR81">
        <v>609</v>
      </c>
      <c r="BS81">
        <v>254</v>
      </c>
      <c r="BT81">
        <v>4383</v>
      </c>
      <c r="BU81">
        <v>2485</v>
      </c>
      <c r="BV81">
        <v>18.34</v>
      </c>
      <c r="BW81">
        <v>9.7799999999999994</v>
      </c>
      <c r="BX81">
        <v>2.37</v>
      </c>
      <c r="BY81">
        <v>79.099999999999994</v>
      </c>
      <c r="BZ81">
        <v>75.8</v>
      </c>
      <c r="CA81">
        <v>0.87</v>
      </c>
      <c r="CB81">
        <v>0.76</v>
      </c>
      <c r="CC81">
        <v>22.9</v>
      </c>
      <c r="CD81">
        <v>1.2</v>
      </c>
      <c r="CE81">
        <v>3.25</v>
      </c>
      <c r="CF81">
        <v>239.9</v>
      </c>
      <c r="CG81">
        <v>69.900000000000006</v>
      </c>
      <c r="CH81">
        <v>395</v>
      </c>
      <c r="CI81">
        <v>5.45</v>
      </c>
      <c r="CJ81">
        <v>1.8</v>
      </c>
      <c r="CK81">
        <v>1</v>
      </c>
      <c r="CL81" s="42" t="str">
        <f t="shared" si="15"/>
        <v>1</v>
      </c>
      <c r="CM81" s="4">
        <v>6.666666666666667</v>
      </c>
      <c r="CN81" s="4">
        <v>0.13333333333333333</v>
      </c>
      <c r="CO81">
        <v>3</v>
      </c>
      <c r="CP81" s="42" t="str">
        <f t="shared" si="16"/>
        <v>2</v>
      </c>
      <c r="CQ81" s="4">
        <v>152.33333333333334</v>
      </c>
      <c r="CR81" s="4">
        <v>3.1691358024691354</v>
      </c>
      <c r="CS81" s="43" t="str">
        <f t="shared" si="17"/>
        <v>2</v>
      </c>
      <c r="CT81" s="4">
        <f t="shared" si="18"/>
        <v>159</v>
      </c>
      <c r="CU81" s="4">
        <f t="shared" si="19"/>
        <v>3.3024691358024687</v>
      </c>
      <c r="CV81" s="4">
        <v>3</v>
      </c>
    </row>
    <row r="82" spans="1:100" x14ac:dyDescent="0.3">
      <c r="A82" s="15" t="s">
        <v>183</v>
      </c>
      <c r="B82" s="17">
        <v>0</v>
      </c>
      <c r="C82" s="3">
        <v>32</v>
      </c>
      <c r="D82">
        <v>2</v>
      </c>
      <c r="E82">
        <v>1</v>
      </c>
      <c r="F82">
        <v>2</v>
      </c>
      <c r="G82">
        <v>0</v>
      </c>
      <c r="H82">
        <v>0</v>
      </c>
      <c r="I82">
        <v>1</v>
      </c>
      <c r="J82" s="4">
        <v>97</v>
      </c>
      <c r="K82" s="4">
        <f>L82/100</f>
        <v>1.71</v>
      </c>
      <c r="L82">
        <v>171</v>
      </c>
      <c r="M82" s="4">
        <f t="shared" si="21"/>
        <v>33.367999999999995</v>
      </c>
      <c r="N82" s="4">
        <v>60.3</v>
      </c>
      <c r="O82" s="4">
        <v>34.4</v>
      </c>
      <c r="P82" s="40">
        <v>1</v>
      </c>
      <c r="Q82">
        <v>105.5</v>
      </c>
      <c r="R82" s="37">
        <v>1</v>
      </c>
      <c r="S82">
        <v>109</v>
      </c>
      <c r="T82" s="5">
        <f t="shared" si="20"/>
        <v>0.9678899082568807</v>
      </c>
      <c r="U82" s="37">
        <v>1</v>
      </c>
      <c r="V82" s="4">
        <f t="shared" si="12"/>
        <v>33.172600116275099</v>
      </c>
      <c r="W82" s="39">
        <v>1</v>
      </c>
      <c r="X82">
        <v>18</v>
      </c>
      <c r="Y82" s="37">
        <v>1</v>
      </c>
      <c r="Z82">
        <v>48.41</v>
      </c>
      <c r="AA82" s="23">
        <f t="shared" si="13"/>
        <v>13.404191111111111</v>
      </c>
      <c r="AB82" s="84">
        <v>1</v>
      </c>
      <c r="AC82" s="5">
        <v>6.23</v>
      </c>
      <c r="AD82" s="37">
        <v>1</v>
      </c>
      <c r="AE82">
        <v>35.770000000000003</v>
      </c>
      <c r="AF82" s="5">
        <v>7.97</v>
      </c>
      <c r="AG82" s="37">
        <v>1</v>
      </c>
      <c r="AH82" s="5">
        <v>2.23</v>
      </c>
      <c r="AI82" s="37">
        <v>1</v>
      </c>
      <c r="AJ82" s="5">
        <v>5.89</v>
      </c>
      <c r="AK82" s="37">
        <v>1</v>
      </c>
      <c r="AL82" s="5">
        <v>1.06</v>
      </c>
      <c r="AM82" s="37">
        <v>0</v>
      </c>
      <c r="AN82" s="4">
        <f t="shared" si="14"/>
        <v>7.5188679245283012</v>
      </c>
      <c r="AO82" s="37">
        <v>1</v>
      </c>
      <c r="AP82">
        <v>132</v>
      </c>
      <c r="AQ82" s="37">
        <v>1</v>
      </c>
      <c r="AR82">
        <v>83</v>
      </c>
      <c r="AS82" s="37">
        <v>0</v>
      </c>
      <c r="AT82">
        <v>75</v>
      </c>
      <c r="AU82">
        <v>49</v>
      </c>
      <c r="AV82">
        <v>5.8</v>
      </c>
      <c r="AW82" s="37">
        <v>1</v>
      </c>
      <c r="AX82">
        <v>2421</v>
      </c>
      <c r="AY82">
        <v>65.2</v>
      </c>
      <c r="AZ82">
        <v>76.900000000000006</v>
      </c>
      <c r="BA82">
        <v>390.4</v>
      </c>
      <c r="BB82">
        <v>11.2</v>
      </c>
      <c r="BC82">
        <v>288.7</v>
      </c>
      <c r="BD82">
        <v>78.5</v>
      </c>
      <c r="BE82">
        <v>56.9</v>
      </c>
      <c r="BF82">
        <v>85.3</v>
      </c>
      <c r="BG82">
        <v>28.6</v>
      </c>
      <c r="BH82">
        <v>10.8</v>
      </c>
      <c r="BI82">
        <v>60.5</v>
      </c>
      <c r="BJ82">
        <v>20.100000000000001</v>
      </c>
      <c r="BK82">
        <v>8.8000000000000007</v>
      </c>
      <c r="BL82">
        <v>54</v>
      </c>
      <c r="BM82">
        <v>8.1</v>
      </c>
      <c r="BN82">
        <v>4.0999999999999996</v>
      </c>
      <c r="BO82">
        <v>2.91</v>
      </c>
      <c r="BP82">
        <v>0.28999999999999998</v>
      </c>
      <c r="BQ82">
        <v>0.01</v>
      </c>
      <c r="BR82">
        <v>761</v>
      </c>
      <c r="BS82">
        <v>256.2</v>
      </c>
      <c r="BT82">
        <v>5603</v>
      </c>
      <c r="BU82">
        <v>2470</v>
      </c>
      <c r="BV82">
        <v>18.64</v>
      </c>
      <c r="BW82">
        <v>9.32</v>
      </c>
      <c r="BX82">
        <v>2.2200000000000002</v>
      </c>
      <c r="BY82">
        <v>72</v>
      </c>
      <c r="BZ82">
        <v>72.8</v>
      </c>
      <c r="CA82">
        <v>1</v>
      </c>
      <c r="CB82">
        <v>0.74</v>
      </c>
      <c r="CC82">
        <v>19.7</v>
      </c>
      <c r="CD82">
        <v>1.18</v>
      </c>
      <c r="CE82">
        <v>2.4500000000000002</v>
      </c>
      <c r="CF82">
        <v>225.3</v>
      </c>
      <c r="CG82">
        <v>34.4</v>
      </c>
      <c r="CH82">
        <v>638</v>
      </c>
      <c r="CI82">
        <v>4.7699999999999996</v>
      </c>
      <c r="CJ82">
        <v>1.9</v>
      </c>
      <c r="CK82">
        <v>0</v>
      </c>
      <c r="CL82" s="42" t="str">
        <f t="shared" si="15"/>
        <v>1</v>
      </c>
      <c r="CM82">
        <v>0</v>
      </c>
      <c r="CN82" s="4">
        <v>0</v>
      </c>
      <c r="CO82">
        <v>7</v>
      </c>
      <c r="CP82" s="42" t="str">
        <f t="shared" si="16"/>
        <v>2</v>
      </c>
      <c r="CQ82" s="4">
        <v>216</v>
      </c>
      <c r="CR82" s="4">
        <v>5.0271604938271608</v>
      </c>
      <c r="CS82" s="43" t="str">
        <f t="shared" si="17"/>
        <v>2</v>
      </c>
      <c r="CT82" s="4">
        <f t="shared" si="18"/>
        <v>216</v>
      </c>
      <c r="CU82" s="4">
        <f t="shared" si="19"/>
        <v>5.0271604938271608</v>
      </c>
      <c r="CV82" s="4">
        <v>4</v>
      </c>
    </row>
    <row r="83" spans="1:100" x14ac:dyDescent="0.3">
      <c r="A83" s="15" t="s">
        <v>184</v>
      </c>
      <c r="B83" s="17">
        <v>0</v>
      </c>
      <c r="C83" s="3">
        <v>34</v>
      </c>
      <c r="D83">
        <v>2</v>
      </c>
      <c r="E83">
        <v>3</v>
      </c>
      <c r="F83">
        <v>2</v>
      </c>
      <c r="G83">
        <v>0</v>
      </c>
      <c r="H83">
        <v>0</v>
      </c>
      <c r="I83">
        <v>0</v>
      </c>
      <c r="J83">
        <v>102.4</v>
      </c>
      <c r="K83">
        <v>1.8440000000000001</v>
      </c>
      <c r="L83">
        <v>184.4</v>
      </c>
      <c r="M83" s="4">
        <f t="shared" si="21"/>
        <v>36.352000000000004</v>
      </c>
      <c r="N83" s="4">
        <v>64.5</v>
      </c>
      <c r="O83" s="4">
        <v>35.5</v>
      </c>
      <c r="P83" s="40">
        <v>1</v>
      </c>
      <c r="Q83">
        <v>104.5</v>
      </c>
      <c r="R83" s="37">
        <v>1</v>
      </c>
      <c r="S83">
        <v>113.5</v>
      </c>
      <c r="T83" s="5">
        <f t="shared" si="20"/>
        <v>0.92070484581497802</v>
      </c>
      <c r="U83" s="37">
        <v>1</v>
      </c>
      <c r="V83" s="4">
        <f t="shared" si="12"/>
        <v>30.114671020746183</v>
      </c>
      <c r="W83" s="39">
        <v>1</v>
      </c>
      <c r="X83">
        <v>18</v>
      </c>
      <c r="Y83" s="37">
        <v>1</v>
      </c>
      <c r="Z83">
        <v>11.7</v>
      </c>
      <c r="AA83" s="23">
        <f t="shared" si="13"/>
        <v>2.5791999999999997</v>
      </c>
      <c r="AB83" s="84">
        <v>0</v>
      </c>
      <c r="AC83" s="5">
        <v>4.96</v>
      </c>
      <c r="AD83" s="37">
        <v>0</v>
      </c>
      <c r="AE83">
        <v>3</v>
      </c>
      <c r="AF83" s="5">
        <v>5.4</v>
      </c>
      <c r="AG83" s="37">
        <v>1</v>
      </c>
      <c r="AH83" s="5">
        <v>1.52</v>
      </c>
      <c r="AI83" s="37">
        <v>0</v>
      </c>
      <c r="AJ83" s="5">
        <v>3.49</v>
      </c>
      <c r="AK83" s="37">
        <v>1</v>
      </c>
      <c r="AL83" s="5">
        <v>1.22</v>
      </c>
      <c r="AM83" s="37">
        <v>0</v>
      </c>
      <c r="AN83" s="4">
        <f t="shared" si="14"/>
        <v>4.4262295081967213</v>
      </c>
      <c r="AO83" s="37">
        <v>1</v>
      </c>
      <c r="AP83">
        <v>121</v>
      </c>
      <c r="AQ83" s="38">
        <v>0</v>
      </c>
      <c r="AR83">
        <v>74</v>
      </c>
      <c r="AS83" s="37">
        <v>0</v>
      </c>
      <c r="AT83">
        <v>72</v>
      </c>
      <c r="AU83">
        <v>47</v>
      </c>
      <c r="AV83">
        <v>5.7</v>
      </c>
      <c r="AW83" s="37">
        <v>1</v>
      </c>
      <c r="AX83">
        <v>1605</v>
      </c>
      <c r="AY83">
        <v>49.7</v>
      </c>
      <c r="AZ83">
        <v>41.1</v>
      </c>
      <c r="BA83">
        <v>274.3</v>
      </c>
      <c r="BB83">
        <v>7.8</v>
      </c>
      <c r="BC83">
        <v>177.3</v>
      </c>
      <c r="BD83">
        <v>46.9</v>
      </c>
      <c r="BE83">
        <v>33</v>
      </c>
      <c r="BF83">
        <v>17.2</v>
      </c>
      <c r="BG83">
        <v>23.1</v>
      </c>
      <c r="BH83">
        <v>12.4</v>
      </c>
      <c r="BI83">
        <v>64.099999999999994</v>
      </c>
      <c r="BJ83">
        <v>13.7</v>
      </c>
      <c r="BK83">
        <v>7.7</v>
      </c>
      <c r="BL83">
        <v>24.3</v>
      </c>
      <c r="BM83">
        <v>3.5</v>
      </c>
      <c r="BN83">
        <v>2.8</v>
      </c>
      <c r="BO83">
        <v>2.41</v>
      </c>
      <c r="BP83">
        <v>0.22</v>
      </c>
      <c r="BQ83">
        <v>0</v>
      </c>
      <c r="BR83">
        <v>618</v>
      </c>
      <c r="BS83">
        <v>182.5</v>
      </c>
      <c r="BT83">
        <v>3239</v>
      </c>
      <c r="BU83">
        <v>1541</v>
      </c>
      <c r="BV83">
        <v>19.22</v>
      </c>
      <c r="BW83">
        <v>5.83</v>
      </c>
      <c r="BX83">
        <v>1.43</v>
      </c>
      <c r="BY83">
        <v>59.7</v>
      </c>
      <c r="BZ83">
        <v>26.1</v>
      </c>
      <c r="CA83">
        <v>0.82</v>
      </c>
      <c r="CB83">
        <v>0.75</v>
      </c>
      <c r="CC83">
        <v>15</v>
      </c>
      <c r="CD83">
        <v>2</v>
      </c>
      <c r="CE83">
        <v>0.27</v>
      </c>
      <c r="CF83">
        <v>258.10000000000002</v>
      </c>
      <c r="CG83">
        <v>78</v>
      </c>
      <c r="CH83">
        <v>516</v>
      </c>
      <c r="CI83">
        <v>9.43</v>
      </c>
      <c r="CJ83">
        <v>0.8</v>
      </c>
      <c r="CK83">
        <v>2</v>
      </c>
      <c r="CL83" s="42" t="str">
        <f t="shared" si="15"/>
        <v>1</v>
      </c>
      <c r="CM83" s="4">
        <v>97.333333333333329</v>
      </c>
      <c r="CN83" s="4">
        <v>1.9466666666666665</v>
      </c>
      <c r="CO83">
        <v>5</v>
      </c>
      <c r="CP83" s="42" t="str">
        <f t="shared" si="16"/>
        <v>1</v>
      </c>
      <c r="CQ83" s="4">
        <v>106</v>
      </c>
      <c r="CR83" s="4">
        <v>2.0962962962962961</v>
      </c>
      <c r="CS83" s="43" t="str">
        <f t="shared" si="17"/>
        <v>2</v>
      </c>
      <c r="CT83" s="4">
        <f t="shared" si="18"/>
        <v>203.33333333333331</v>
      </c>
      <c r="CU83" s="4">
        <f t="shared" si="19"/>
        <v>4.0429629629629629</v>
      </c>
      <c r="CV83" s="4">
        <v>4</v>
      </c>
    </row>
    <row r="84" spans="1:100" x14ac:dyDescent="0.3">
      <c r="A84" s="15" t="s">
        <v>185</v>
      </c>
      <c r="B84" s="17">
        <v>0</v>
      </c>
      <c r="C84" s="3">
        <v>53</v>
      </c>
      <c r="D84">
        <v>3</v>
      </c>
      <c r="E84">
        <v>2</v>
      </c>
      <c r="F84">
        <v>2</v>
      </c>
      <c r="G84">
        <v>0</v>
      </c>
      <c r="H84">
        <v>1</v>
      </c>
      <c r="I84">
        <v>1</v>
      </c>
      <c r="J84" s="4">
        <v>70.3</v>
      </c>
      <c r="K84" s="4">
        <f t="shared" ref="K84:K93" si="22">L84/100</f>
        <v>1.7</v>
      </c>
      <c r="L84">
        <v>170</v>
      </c>
      <c r="M84" s="4">
        <f t="shared" si="21"/>
        <v>17.012599999999999</v>
      </c>
      <c r="N84" s="4">
        <v>50.5</v>
      </c>
      <c r="O84" s="4">
        <v>24.2</v>
      </c>
      <c r="P84" s="40">
        <v>1</v>
      </c>
      <c r="Q84">
        <v>87.5</v>
      </c>
      <c r="R84" s="37">
        <v>0</v>
      </c>
      <c r="S84">
        <v>102</v>
      </c>
      <c r="T84" s="5">
        <f t="shared" si="20"/>
        <v>0.85784313725490191</v>
      </c>
      <c r="U84" s="37">
        <v>0</v>
      </c>
      <c r="V84" s="4">
        <f t="shared" si="12"/>
        <v>24.325259515570934</v>
      </c>
      <c r="W84" s="39">
        <v>1</v>
      </c>
      <c r="X84">
        <v>12</v>
      </c>
      <c r="Y84" s="37">
        <v>1</v>
      </c>
      <c r="Z84">
        <v>8.9600000000000009</v>
      </c>
      <c r="AA84" s="23">
        <f t="shared" si="13"/>
        <v>2.0588088888888891</v>
      </c>
      <c r="AB84" s="84">
        <v>0</v>
      </c>
      <c r="AC84" s="5">
        <v>5.17</v>
      </c>
      <c r="AD84" s="37">
        <v>0</v>
      </c>
      <c r="AE84">
        <v>3</v>
      </c>
      <c r="AF84" s="5">
        <v>5.72</v>
      </c>
      <c r="AG84" s="37">
        <v>1</v>
      </c>
      <c r="AH84" s="5">
        <v>1.44</v>
      </c>
      <c r="AI84" s="37">
        <v>0</v>
      </c>
      <c r="AJ84" s="5">
        <v>3.04</v>
      </c>
      <c r="AK84" s="37">
        <v>0</v>
      </c>
      <c r="AL84" s="5">
        <v>2.02</v>
      </c>
      <c r="AM84" s="37">
        <v>0</v>
      </c>
      <c r="AN84" s="4">
        <f t="shared" si="14"/>
        <v>2.8316831683168315</v>
      </c>
      <c r="AO84" s="37">
        <v>0</v>
      </c>
      <c r="AP84">
        <v>140</v>
      </c>
      <c r="AQ84" s="37">
        <v>1</v>
      </c>
      <c r="AR84">
        <v>105</v>
      </c>
      <c r="AS84" s="37">
        <v>1</v>
      </c>
      <c r="AT84">
        <v>68</v>
      </c>
      <c r="AU84">
        <v>50</v>
      </c>
      <c r="AV84">
        <v>8.5</v>
      </c>
      <c r="AW84" s="37">
        <v>0</v>
      </c>
      <c r="AX84">
        <v>2422</v>
      </c>
      <c r="AY84">
        <v>65.3</v>
      </c>
      <c r="AZ84">
        <v>67.5</v>
      </c>
      <c r="BA84">
        <v>413</v>
      </c>
      <c r="BB84">
        <v>15.4</v>
      </c>
      <c r="BC84">
        <v>353.3</v>
      </c>
      <c r="BD84">
        <v>41.7</v>
      </c>
      <c r="BE84">
        <v>0.1</v>
      </c>
      <c r="BF84">
        <v>158</v>
      </c>
      <c r="BG84">
        <v>25.1</v>
      </c>
      <c r="BH84">
        <v>10.8</v>
      </c>
      <c r="BI84">
        <v>63.9</v>
      </c>
      <c r="BJ84">
        <v>19</v>
      </c>
      <c r="BK84">
        <v>0</v>
      </c>
      <c r="BL84">
        <v>51.3</v>
      </c>
      <c r="BM84">
        <v>7.2</v>
      </c>
      <c r="BN84">
        <v>3.6</v>
      </c>
      <c r="BO84">
        <v>3.13</v>
      </c>
      <c r="BP84">
        <v>0.22</v>
      </c>
      <c r="BQ84">
        <v>0</v>
      </c>
      <c r="BR84">
        <v>408</v>
      </c>
      <c r="BS84">
        <v>273.5</v>
      </c>
      <c r="BT84">
        <v>4110</v>
      </c>
      <c r="BU84">
        <v>2511</v>
      </c>
      <c r="BV84">
        <v>14.99</v>
      </c>
      <c r="BW84">
        <v>9.1199999999999992</v>
      </c>
      <c r="BX84">
        <v>2.11</v>
      </c>
      <c r="BY84">
        <v>95.6</v>
      </c>
      <c r="BZ84">
        <v>73.400000000000006</v>
      </c>
      <c r="CA84">
        <v>0.88</v>
      </c>
      <c r="CB84">
        <v>0.54</v>
      </c>
      <c r="CC84">
        <v>21.8</v>
      </c>
      <c r="CD84">
        <v>1.38</v>
      </c>
      <c r="CE84">
        <v>0.47</v>
      </c>
      <c r="CF84">
        <v>276.2</v>
      </c>
      <c r="CG84">
        <v>45.2</v>
      </c>
      <c r="CH84">
        <v>334</v>
      </c>
      <c r="CI84">
        <v>0.56999999999999995</v>
      </c>
      <c r="CJ84">
        <v>2.2999999999999998</v>
      </c>
      <c r="CK84">
        <v>2</v>
      </c>
      <c r="CL84" s="42" t="str">
        <f t="shared" si="15"/>
        <v>2</v>
      </c>
      <c r="CM84">
        <v>140</v>
      </c>
      <c r="CN84" s="4">
        <v>2.8</v>
      </c>
      <c r="CO84">
        <v>7</v>
      </c>
      <c r="CP84" s="42" t="str">
        <f t="shared" si="16"/>
        <v>2</v>
      </c>
      <c r="CQ84" s="4">
        <v>171.66666666666666</v>
      </c>
      <c r="CR84" s="4">
        <v>2.166666666666667</v>
      </c>
      <c r="CS84" s="43" t="str">
        <f t="shared" si="17"/>
        <v>3</v>
      </c>
      <c r="CT84" s="4">
        <f t="shared" si="18"/>
        <v>311.66666666666663</v>
      </c>
      <c r="CU84" s="4">
        <f t="shared" si="19"/>
        <v>4.9666666666666668</v>
      </c>
      <c r="CV84" s="4">
        <v>4</v>
      </c>
    </row>
    <row r="85" spans="1:100" x14ac:dyDescent="0.3">
      <c r="A85" s="15" t="s">
        <v>186</v>
      </c>
      <c r="B85" s="17">
        <v>0</v>
      </c>
      <c r="C85" s="3">
        <v>36</v>
      </c>
      <c r="D85">
        <v>4</v>
      </c>
      <c r="E85">
        <v>1</v>
      </c>
      <c r="F85">
        <v>2</v>
      </c>
      <c r="G85">
        <v>0</v>
      </c>
      <c r="H85">
        <v>1</v>
      </c>
      <c r="I85">
        <v>0</v>
      </c>
      <c r="J85" s="4">
        <v>60.6</v>
      </c>
      <c r="K85" s="4">
        <f t="shared" si="22"/>
        <v>1.76</v>
      </c>
      <c r="L85">
        <v>176</v>
      </c>
      <c r="M85" s="4">
        <f t="shared" si="21"/>
        <v>8.3628</v>
      </c>
      <c r="N85" s="4">
        <v>49.5</v>
      </c>
      <c r="O85" s="4">
        <v>13.8</v>
      </c>
      <c r="P85" s="40">
        <v>0</v>
      </c>
      <c r="Q85">
        <v>73.2</v>
      </c>
      <c r="R85" s="37">
        <v>0</v>
      </c>
      <c r="S85">
        <v>87</v>
      </c>
      <c r="T85" s="5">
        <f t="shared" si="20"/>
        <v>0.8413793103448276</v>
      </c>
      <c r="U85" s="37">
        <v>0</v>
      </c>
      <c r="V85" s="4">
        <f t="shared" si="12"/>
        <v>19.563533057851242</v>
      </c>
      <c r="W85" s="39">
        <v>0</v>
      </c>
      <c r="X85">
        <v>4</v>
      </c>
      <c r="Y85" s="40">
        <v>0</v>
      </c>
      <c r="Z85">
        <v>16.41</v>
      </c>
      <c r="AA85" s="23">
        <f t="shared" si="13"/>
        <v>3.7341866666666665</v>
      </c>
      <c r="AB85" s="84">
        <v>1</v>
      </c>
      <c r="AC85" s="5">
        <v>5.12</v>
      </c>
      <c r="AD85" s="37">
        <v>0</v>
      </c>
      <c r="AE85">
        <v>45.03</v>
      </c>
      <c r="AF85" s="5">
        <v>5.43</v>
      </c>
      <c r="AG85" s="37">
        <v>1</v>
      </c>
      <c r="AH85" s="5">
        <v>0.95</v>
      </c>
      <c r="AI85" s="37">
        <v>0</v>
      </c>
      <c r="AJ85" s="5">
        <v>3.77</v>
      </c>
      <c r="AK85" s="37">
        <v>1</v>
      </c>
      <c r="AL85" s="5">
        <v>1.23</v>
      </c>
      <c r="AM85" s="37">
        <v>0</v>
      </c>
      <c r="AN85" s="4">
        <f t="shared" si="14"/>
        <v>4.4146341463414629</v>
      </c>
      <c r="AO85" s="37">
        <v>1</v>
      </c>
      <c r="AP85">
        <v>140</v>
      </c>
      <c r="AQ85" s="37">
        <v>1</v>
      </c>
      <c r="AR85">
        <v>79</v>
      </c>
      <c r="AS85" s="37">
        <v>0</v>
      </c>
      <c r="AT85">
        <v>72</v>
      </c>
      <c r="AU85">
        <v>61</v>
      </c>
      <c r="AV85">
        <v>6.4</v>
      </c>
      <c r="AW85" s="37">
        <v>0</v>
      </c>
      <c r="AX85">
        <v>2277</v>
      </c>
      <c r="AY85">
        <v>57.4</v>
      </c>
      <c r="AZ85">
        <v>47.7</v>
      </c>
      <c r="BA85">
        <v>429.9</v>
      </c>
      <c r="BB85">
        <v>8.8000000000000007</v>
      </c>
      <c r="BC85">
        <v>364.3</v>
      </c>
      <c r="BD85">
        <v>54.6</v>
      </c>
      <c r="BE85">
        <v>44.8</v>
      </c>
      <c r="BF85">
        <v>50.4</v>
      </c>
      <c r="BG85">
        <v>18.899999999999999</v>
      </c>
      <c r="BH85">
        <v>10.1</v>
      </c>
      <c r="BI85">
        <v>70.8</v>
      </c>
      <c r="BJ85">
        <v>13.9</v>
      </c>
      <c r="BK85">
        <v>7.4</v>
      </c>
      <c r="BL85">
        <v>35.299999999999997</v>
      </c>
      <c r="BM85">
        <v>5.5</v>
      </c>
      <c r="BN85">
        <v>2.8</v>
      </c>
      <c r="BO85">
        <v>2.48</v>
      </c>
      <c r="BP85">
        <v>0.21</v>
      </c>
      <c r="BQ85">
        <v>0</v>
      </c>
      <c r="BR85">
        <v>440</v>
      </c>
      <c r="BS85">
        <v>182.7</v>
      </c>
      <c r="BT85">
        <v>3176</v>
      </c>
      <c r="BU85">
        <v>1540</v>
      </c>
      <c r="BV85">
        <v>10.19</v>
      </c>
      <c r="BW85">
        <v>7.88</v>
      </c>
      <c r="BX85">
        <v>1.84</v>
      </c>
      <c r="BY85">
        <v>74.3</v>
      </c>
      <c r="BZ85">
        <v>54.2</v>
      </c>
      <c r="CA85">
        <v>0.64</v>
      </c>
      <c r="CB85">
        <v>0.36</v>
      </c>
      <c r="CC85">
        <v>19</v>
      </c>
      <c r="CD85">
        <v>1.05</v>
      </c>
      <c r="CE85">
        <v>0.98</v>
      </c>
      <c r="CF85">
        <v>147</v>
      </c>
      <c r="CG85">
        <v>20.3</v>
      </c>
      <c r="CH85">
        <v>201</v>
      </c>
      <c r="CI85">
        <v>0.12</v>
      </c>
      <c r="CJ85">
        <v>1</v>
      </c>
      <c r="CK85">
        <v>1</v>
      </c>
      <c r="CL85" s="42" t="str">
        <f t="shared" si="15"/>
        <v>1</v>
      </c>
      <c r="CM85">
        <v>16</v>
      </c>
      <c r="CN85" s="4">
        <v>0.32</v>
      </c>
      <c r="CO85">
        <v>5</v>
      </c>
      <c r="CP85" s="42" t="str">
        <f t="shared" si="16"/>
        <v>1</v>
      </c>
      <c r="CQ85" s="4">
        <v>106</v>
      </c>
      <c r="CR85" s="4">
        <v>1.6419753086419751</v>
      </c>
      <c r="CS85" s="43" t="str">
        <f t="shared" si="17"/>
        <v>1</v>
      </c>
      <c r="CT85" s="4">
        <f t="shared" si="18"/>
        <v>122</v>
      </c>
      <c r="CU85" s="4">
        <f t="shared" si="19"/>
        <v>1.9619753086419751</v>
      </c>
      <c r="CV85" s="4">
        <v>2</v>
      </c>
    </row>
    <row r="86" spans="1:100" x14ac:dyDescent="0.3">
      <c r="A86" s="15" t="s">
        <v>187</v>
      </c>
      <c r="B86" s="17">
        <v>0</v>
      </c>
      <c r="C86" s="3">
        <v>49</v>
      </c>
      <c r="D86">
        <v>1</v>
      </c>
      <c r="E86">
        <v>3</v>
      </c>
      <c r="F86">
        <v>2</v>
      </c>
      <c r="G86">
        <v>0</v>
      </c>
      <c r="H86">
        <v>1</v>
      </c>
      <c r="I86">
        <v>1</v>
      </c>
      <c r="J86" s="4">
        <v>62.4</v>
      </c>
      <c r="K86" s="4">
        <f t="shared" si="22"/>
        <v>1.8</v>
      </c>
      <c r="L86">
        <v>180</v>
      </c>
      <c r="M86" s="4">
        <f t="shared" si="21"/>
        <v>11.918400000000002</v>
      </c>
      <c r="N86" s="4">
        <v>47.9</v>
      </c>
      <c r="O86" s="4">
        <v>19.100000000000001</v>
      </c>
      <c r="P86" s="40">
        <v>0</v>
      </c>
      <c r="Q86">
        <v>81.5</v>
      </c>
      <c r="R86" s="37">
        <v>0</v>
      </c>
      <c r="S86">
        <v>88</v>
      </c>
      <c r="T86" s="5">
        <f t="shared" si="20"/>
        <v>0.92613636363636365</v>
      </c>
      <c r="U86" s="37">
        <v>1</v>
      </c>
      <c r="V86" s="4">
        <f t="shared" si="12"/>
        <v>19.259259259259256</v>
      </c>
      <c r="W86" s="39">
        <v>0</v>
      </c>
      <c r="X86">
        <v>7</v>
      </c>
      <c r="Y86" s="40">
        <v>0</v>
      </c>
      <c r="Z86">
        <v>6.37</v>
      </c>
      <c r="AA86" s="23">
        <f t="shared" si="13"/>
        <v>1.4891644444444445</v>
      </c>
      <c r="AB86" s="84">
        <v>0</v>
      </c>
      <c r="AC86" s="5">
        <v>5.26</v>
      </c>
      <c r="AD86" s="37">
        <v>0</v>
      </c>
      <c r="AE86">
        <v>3</v>
      </c>
      <c r="AF86" s="5">
        <v>7.5</v>
      </c>
      <c r="AG86" s="37">
        <v>1</v>
      </c>
      <c r="AH86" s="5">
        <v>2.2000000000000002</v>
      </c>
      <c r="AI86" s="37">
        <v>1</v>
      </c>
      <c r="AJ86" s="5">
        <v>4.7699999999999996</v>
      </c>
      <c r="AK86" s="37">
        <v>1</v>
      </c>
      <c r="AL86" s="5">
        <v>1.73</v>
      </c>
      <c r="AM86" s="37">
        <v>0</v>
      </c>
      <c r="AN86" s="4">
        <f t="shared" si="14"/>
        <v>4.3352601156069364</v>
      </c>
      <c r="AO86" s="37">
        <v>1</v>
      </c>
      <c r="AP86">
        <v>136</v>
      </c>
      <c r="AQ86" s="37">
        <v>1</v>
      </c>
      <c r="AR86">
        <v>82</v>
      </c>
      <c r="AS86" s="37">
        <v>0</v>
      </c>
      <c r="AT86">
        <v>68</v>
      </c>
      <c r="AU86">
        <v>54</v>
      </c>
      <c r="AV86">
        <v>6.4</v>
      </c>
      <c r="AW86" s="37">
        <v>1</v>
      </c>
      <c r="AX86">
        <v>1778</v>
      </c>
      <c r="AY86">
        <v>40.799999999999997</v>
      </c>
      <c r="AZ86">
        <v>48.2</v>
      </c>
      <c r="BA86">
        <v>314.10000000000002</v>
      </c>
      <c r="BB86">
        <v>12</v>
      </c>
      <c r="BC86">
        <v>215.4</v>
      </c>
      <c r="BD86">
        <v>84.5</v>
      </c>
      <c r="BE86">
        <v>46.4</v>
      </c>
      <c r="BF86">
        <v>120.3</v>
      </c>
      <c r="BG86">
        <v>24.4</v>
      </c>
      <c r="BH86">
        <v>9.1999999999999993</v>
      </c>
      <c r="BI86">
        <v>66.2</v>
      </c>
      <c r="BJ86">
        <v>18.8</v>
      </c>
      <c r="BK86">
        <v>9.8000000000000007</v>
      </c>
      <c r="BL86">
        <v>37.200000000000003</v>
      </c>
      <c r="BM86">
        <v>4.8</v>
      </c>
      <c r="BN86">
        <v>2.2999999999999998</v>
      </c>
      <c r="BO86">
        <v>1.94</v>
      </c>
      <c r="BP86">
        <v>0.14000000000000001</v>
      </c>
      <c r="BQ86">
        <v>0</v>
      </c>
      <c r="BR86">
        <v>417</v>
      </c>
      <c r="BS86">
        <v>223.4</v>
      </c>
      <c r="BT86">
        <v>4031</v>
      </c>
      <c r="BU86">
        <v>2112</v>
      </c>
      <c r="BV86">
        <v>12.14</v>
      </c>
      <c r="BW86">
        <v>6.16</v>
      </c>
      <c r="BX86">
        <v>1.64</v>
      </c>
      <c r="BY86">
        <v>54.1</v>
      </c>
      <c r="BZ86">
        <v>51.7</v>
      </c>
      <c r="CA86">
        <v>0.55000000000000004</v>
      </c>
      <c r="CB86">
        <v>0.51</v>
      </c>
      <c r="CC86">
        <v>12.2</v>
      </c>
      <c r="CD86">
        <v>0.85</v>
      </c>
      <c r="CE86">
        <v>1.79</v>
      </c>
      <c r="CF86">
        <v>200.1</v>
      </c>
      <c r="CG86">
        <v>70.400000000000006</v>
      </c>
      <c r="CH86">
        <v>887</v>
      </c>
      <c r="CI86">
        <v>9.6</v>
      </c>
      <c r="CJ86">
        <v>5.3</v>
      </c>
      <c r="CK86">
        <v>3</v>
      </c>
      <c r="CL86" s="42" t="str">
        <f t="shared" si="15"/>
        <v>2</v>
      </c>
      <c r="CM86">
        <v>150.5</v>
      </c>
      <c r="CN86" s="4">
        <v>3.01</v>
      </c>
      <c r="CO86">
        <v>4</v>
      </c>
      <c r="CP86" s="42" t="str">
        <f t="shared" si="16"/>
        <v>2</v>
      </c>
      <c r="CQ86" s="4">
        <v>223.5</v>
      </c>
      <c r="CR86" s="4">
        <v>1.8148148148148149</v>
      </c>
      <c r="CS86" s="43" t="str">
        <f t="shared" si="17"/>
        <v>3</v>
      </c>
      <c r="CT86" s="4">
        <f t="shared" si="18"/>
        <v>374</v>
      </c>
      <c r="CU86" s="4">
        <f t="shared" si="19"/>
        <v>4.8248148148148147</v>
      </c>
      <c r="CV86" s="4">
        <v>4</v>
      </c>
    </row>
    <row r="87" spans="1:100" x14ac:dyDescent="0.3">
      <c r="A87" s="15" t="s">
        <v>188</v>
      </c>
      <c r="B87" s="17">
        <v>0</v>
      </c>
      <c r="C87" s="3">
        <v>47</v>
      </c>
      <c r="D87">
        <v>1</v>
      </c>
      <c r="E87">
        <v>3</v>
      </c>
      <c r="F87">
        <v>2</v>
      </c>
      <c r="G87">
        <v>0</v>
      </c>
      <c r="H87">
        <v>1</v>
      </c>
      <c r="I87">
        <v>0</v>
      </c>
      <c r="J87" s="4">
        <v>63.9</v>
      </c>
      <c r="K87" s="4">
        <f t="shared" si="22"/>
        <v>1.69</v>
      </c>
      <c r="L87">
        <v>169</v>
      </c>
      <c r="M87" s="4">
        <f t="shared" si="21"/>
        <v>13.3551</v>
      </c>
      <c r="N87" s="4">
        <v>47.9</v>
      </c>
      <c r="O87" s="4">
        <v>20.9</v>
      </c>
      <c r="P87" s="40">
        <v>0</v>
      </c>
      <c r="Q87">
        <v>82</v>
      </c>
      <c r="R87" s="37">
        <v>0</v>
      </c>
      <c r="S87">
        <v>93</v>
      </c>
      <c r="T87" s="5">
        <f t="shared" si="20"/>
        <v>0.88172043010752688</v>
      </c>
      <c r="U87" s="37">
        <v>0</v>
      </c>
      <c r="V87" s="4">
        <f t="shared" si="12"/>
        <v>22.373166205665068</v>
      </c>
      <c r="W87" s="39">
        <v>0</v>
      </c>
      <c r="X87">
        <v>9</v>
      </c>
      <c r="Y87" s="40">
        <v>0</v>
      </c>
      <c r="AA87" s="23"/>
      <c r="AB87" s="84"/>
      <c r="AC87" s="5">
        <v>6.55</v>
      </c>
      <c r="AD87" s="37">
        <v>1</v>
      </c>
      <c r="AE87">
        <v>17.84</v>
      </c>
      <c r="AF87" s="5">
        <v>7.47</v>
      </c>
      <c r="AG87" s="37">
        <v>1</v>
      </c>
      <c r="AH87" s="5">
        <v>3.1</v>
      </c>
      <c r="AI87" s="37">
        <v>1</v>
      </c>
      <c r="AJ87" s="5">
        <v>3.93</v>
      </c>
      <c r="AK87" s="37">
        <v>1</v>
      </c>
      <c r="AL87" s="5">
        <v>2.12</v>
      </c>
      <c r="AM87" s="37">
        <v>0</v>
      </c>
      <c r="AN87" s="4">
        <f t="shared" si="14"/>
        <v>3.523584905660377</v>
      </c>
      <c r="AO87" s="37">
        <v>0</v>
      </c>
      <c r="AP87">
        <v>107</v>
      </c>
      <c r="AQ87" s="38">
        <v>0</v>
      </c>
      <c r="AR87">
        <v>75</v>
      </c>
      <c r="AS87" s="37">
        <v>0</v>
      </c>
      <c r="AT87">
        <v>64</v>
      </c>
      <c r="AU87">
        <v>32</v>
      </c>
      <c r="AV87">
        <v>6.3</v>
      </c>
      <c r="AW87" s="37">
        <v>1</v>
      </c>
      <c r="AX87">
        <v>2207</v>
      </c>
      <c r="AY87">
        <v>60.3</v>
      </c>
      <c r="AZ87">
        <v>49.9</v>
      </c>
      <c r="BA87">
        <v>403</v>
      </c>
      <c r="BB87">
        <v>10.9</v>
      </c>
      <c r="BC87">
        <v>359.6</v>
      </c>
      <c r="BD87">
        <v>29.7</v>
      </c>
      <c r="BE87">
        <v>22.5</v>
      </c>
      <c r="BF87">
        <v>70.7</v>
      </c>
      <c r="BG87">
        <v>20.399999999999999</v>
      </c>
      <c r="BH87">
        <v>10.9</v>
      </c>
      <c r="BI87">
        <v>68.5</v>
      </c>
      <c r="BJ87">
        <v>15.6</v>
      </c>
      <c r="BK87">
        <v>3.8</v>
      </c>
      <c r="BL87">
        <v>38.299999999999997</v>
      </c>
      <c r="BM87">
        <v>4.5</v>
      </c>
      <c r="BN87">
        <v>3.3</v>
      </c>
      <c r="BO87">
        <v>2.98</v>
      </c>
      <c r="BP87">
        <v>0.09</v>
      </c>
      <c r="BQ87">
        <v>0</v>
      </c>
      <c r="BR87">
        <v>380</v>
      </c>
      <c r="BS87">
        <v>196.9</v>
      </c>
      <c r="BT87">
        <v>3290</v>
      </c>
      <c r="BU87">
        <v>1674</v>
      </c>
      <c r="BV87">
        <v>10.37</v>
      </c>
      <c r="BW87">
        <v>8.5</v>
      </c>
      <c r="BX87">
        <v>1.67</v>
      </c>
      <c r="BY87">
        <v>81.400000000000006</v>
      </c>
      <c r="BZ87">
        <v>60.2</v>
      </c>
      <c r="CA87">
        <v>0.51</v>
      </c>
      <c r="CB87">
        <v>0.33</v>
      </c>
      <c r="CC87">
        <v>19.7</v>
      </c>
      <c r="CD87">
        <v>0.96</v>
      </c>
      <c r="CE87">
        <v>1.1499999999999999</v>
      </c>
      <c r="CF87">
        <v>148.6</v>
      </c>
      <c r="CG87">
        <v>15.1</v>
      </c>
      <c r="CH87">
        <v>298</v>
      </c>
      <c r="CI87">
        <v>0</v>
      </c>
      <c r="CJ87">
        <v>1.5</v>
      </c>
      <c r="CK87">
        <v>0</v>
      </c>
      <c r="CL87" s="42" t="str">
        <f t="shared" si="15"/>
        <v>1</v>
      </c>
      <c r="CM87">
        <v>0</v>
      </c>
      <c r="CN87" s="4">
        <v>0</v>
      </c>
      <c r="CO87">
        <v>3</v>
      </c>
      <c r="CP87" s="42" t="str">
        <f t="shared" si="16"/>
        <v>1</v>
      </c>
      <c r="CQ87" s="4">
        <v>98</v>
      </c>
      <c r="CR87" s="4">
        <v>1.7037037037037037</v>
      </c>
      <c r="CS87" s="43" t="str">
        <f t="shared" si="17"/>
        <v>1</v>
      </c>
      <c r="CT87" s="4">
        <f t="shared" si="18"/>
        <v>98</v>
      </c>
      <c r="CU87" s="4">
        <f t="shared" si="19"/>
        <v>1.7037037037037037</v>
      </c>
      <c r="CV87" s="4">
        <v>1</v>
      </c>
    </row>
    <row r="88" spans="1:100" x14ac:dyDescent="0.3">
      <c r="A88" s="15" t="s">
        <v>189</v>
      </c>
      <c r="B88" s="17">
        <v>0</v>
      </c>
      <c r="C88" s="3">
        <v>44</v>
      </c>
      <c r="D88">
        <v>2</v>
      </c>
      <c r="E88">
        <v>1</v>
      </c>
      <c r="F88">
        <v>2</v>
      </c>
      <c r="G88">
        <v>0</v>
      </c>
      <c r="H88">
        <v>1</v>
      </c>
      <c r="I88">
        <v>1</v>
      </c>
      <c r="J88" s="4">
        <v>72.099999999999994</v>
      </c>
      <c r="K88" s="4">
        <f t="shared" si="22"/>
        <v>1.72</v>
      </c>
      <c r="L88">
        <v>172</v>
      </c>
      <c r="M88" s="4">
        <f t="shared" si="21"/>
        <v>21.053199999999997</v>
      </c>
      <c r="N88" s="4">
        <v>48.3</v>
      </c>
      <c r="O88" s="4">
        <v>29.2</v>
      </c>
      <c r="P88" s="40">
        <v>1</v>
      </c>
      <c r="Q88">
        <v>96.6</v>
      </c>
      <c r="R88" s="37">
        <v>1</v>
      </c>
      <c r="S88">
        <v>102.4</v>
      </c>
      <c r="T88" s="5">
        <f t="shared" si="20"/>
        <v>0.94335937499999989</v>
      </c>
      <c r="U88" s="37">
        <v>1</v>
      </c>
      <c r="V88" s="4">
        <f t="shared" si="12"/>
        <v>24.371281773931855</v>
      </c>
      <c r="W88" s="39">
        <v>1</v>
      </c>
      <c r="X88">
        <v>12</v>
      </c>
      <c r="Y88" s="37">
        <v>1</v>
      </c>
      <c r="AA88" s="23"/>
      <c r="AB88" s="84"/>
      <c r="AC88" s="5">
        <v>7.32</v>
      </c>
      <c r="AD88" s="37">
        <v>1</v>
      </c>
      <c r="AE88">
        <v>12.8</v>
      </c>
      <c r="AF88" s="5">
        <v>7.03</v>
      </c>
      <c r="AG88" s="37">
        <v>1</v>
      </c>
      <c r="AH88" s="5">
        <v>2.54</v>
      </c>
      <c r="AI88" s="37">
        <v>1</v>
      </c>
      <c r="AJ88" s="5">
        <v>4.6900000000000004</v>
      </c>
      <c r="AK88" s="37">
        <v>1</v>
      </c>
      <c r="AL88" s="5">
        <v>1.18</v>
      </c>
      <c r="AM88" s="37">
        <v>0</v>
      </c>
      <c r="AN88" s="4">
        <f t="shared" si="14"/>
        <v>5.9576271186440684</v>
      </c>
      <c r="AO88" s="37">
        <v>1</v>
      </c>
      <c r="AP88">
        <v>123</v>
      </c>
      <c r="AQ88" s="38">
        <v>0</v>
      </c>
      <c r="AR88">
        <v>75</v>
      </c>
      <c r="AS88" s="37">
        <v>0</v>
      </c>
      <c r="AT88">
        <v>83</v>
      </c>
      <c r="AU88">
        <v>49</v>
      </c>
      <c r="AV88">
        <v>6.6</v>
      </c>
      <c r="AW88" s="37">
        <v>1</v>
      </c>
      <c r="AX88">
        <v>1601</v>
      </c>
      <c r="AY88">
        <v>49.1</v>
      </c>
      <c r="AZ88">
        <v>39.700000000000003</v>
      </c>
      <c r="BA88">
        <v>278.10000000000002</v>
      </c>
      <c r="BB88">
        <v>9.8000000000000007</v>
      </c>
      <c r="BC88">
        <v>192.5</v>
      </c>
      <c r="BD88">
        <v>65.7</v>
      </c>
      <c r="BE88">
        <v>52.3</v>
      </c>
      <c r="BF88">
        <v>43.1</v>
      </c>
      <c r="BG88">
        <v>22.3</v>
      </c>
      <c r="BH88">
        <v>12.3</v>
      </c>
      <c r="BI88">
        <v>65.099999999999994</v>
      </c>
      <c r="BJ88">
        <v>15.1</v>
      </c>
      <c r="BK88">
        <v>12.2</v>
      </c>
      <c r="BL88">
        <v>26.9</v>
      </c>
      <c r="BM88">
        <v>4.4000000000000004</v>
      </c>
      <c r="BN88">
        <v>2.2000000000000002</v>
      </c>
      <c r="BO88">
        <v>1.57</v>
      </c>
      <c r="BP88">
        <v>0.43</v>
      </c>
      <c r="BQ88">
        <v>0</v>
      </c>
      <c r="BR88">
        <v>332</v>
      </c>
      <c r="BS88">
        <v>196.6</v>
      </c>
      <c r="BT88">
        <v>3766</v>
      </c>
      <c r="BU88">
        <v>1690</v>
      </c>
      <c r="BV88">
        <v>9.83</v>
      </c>
      <c r="BW88">
        <v>5.93</v>
      </c>
      <c r="BX88">
        <v>1.48</v>
      </c>
      <c r="BY88">
        <v>35.6</v>
      </c>
      <c r="BZ88">
        <v>23.1</v>
      </c>
      <c r="CA88">
        <v>0.63</v>
      </c>
      <c r="CB88">
        <v>0.59</v>
      </c>
      <c r="CC88">
        <v>14.7</v>
      </c>
      <c r="CD88">
        <v>0.71</v>
      </c>
      <c r="CE88">
        <v>2.4300000000000002</v>
      </c>
      <c r="CF88">
        <v>259.39999999999998</v>
      </c>
      <c r="CG88">
        <v>6.9</v>
      </c>
      <c r="CH88">
        <v>103</v>
      </c>
      <c r="CI88">
        <v>3.17</v>
      </c>
      <c r="CJ88">
        <v>1.8</v>
      </c>
      <c r="CK88">
        <v>0</v>
      </c>
      <c r="CL88" s="42" t="str">
        <f t="shared" si="15"/>
        <v>1</v>
      </c>
      <c r="CM88">
        <v>0</v>
      </c>
      <c r="CN88" s="4">
        <v>0</v>
      </c>
      <c r="CO88">
        <v>3</v>
      </c>
      <c r="CP88" s="42" t="str">
        <f t="shared" si="16"/>
        <v>1</v>
      </c>
      <c r="CQ88" s="4">
        <v>50.666666666666664</v>
      </c>
      <c r="CR88" s="4">
        <v>0.38271604938271608</v>
      </c>
      <c r="CS88" s="43" t="str">
        <f t="shared" si="17"/>
        <v>1</v>
      </c>
      <c r="CT88" s="4">
        <f t="shared" si="18"/>
        <v>50.666666666666664</v>
      </c>
      <c r="CU88" s="4">
        <f t="shared" si="19"/>
        <v>0.38271604938271608</v>
      </c>
      <c r="CV88" s="4">
        <v>1</v>
      </c>
    </row>
    <row r="89" spans="1:100" x14ac:dyDescent="0.3">
      <c r="A89" s="15" t="s">
        <v>190</v>
      </c>
      <c r="B89" s="17">
        <v>0</v>
      </c>
      <c r="C89" s="3">
        <v>53</v>
      </c>
      <c r="D89">
        <v>2</v>
      </c>
      <c r="E89">
        <v>2</v>
      </c>
      <c r="F89">
        <v>2</v>
      </c>
      <c r="G89">
        <v>0</v>
      </c>
      <c r="H89">
        <v>0</v>
      </c>
      <c r="I89">
        <v>1</v>
      </c>
      <c r="J89" s="4">
        <v>59.1</v>
      </c>
      <c r="K89" s="4">
        <f t="shared" si="22"/>
        <v>1.71</v>
      </c>
      <c r="L89">
        <v>171</v>
      </c>
      <c r="M89" s="4">
        <f t="shared" si="21"/>
        <v>8.6286000000000005</v>
      </c>
      <c r="N89" s="4">
        <v>47.9</v>
      </c>
      <c r="O89" s="4">
        <v>14.6</v>
      </c>
      <c r="P89" s="40">
        <v>0</v>
      </c>
      <c r="Q89">
        <v>83.8</v>
      </c>
      <c r="R89" s="37">
        <v>0</v>
      </c>
      <c r="S89">
        <v>90.6</v>
      </c>
      <c r="T89" s="5">
        <f t="shared" si="20"/>
        <v>0.92494481236203097</v>
      </c>
      <c r="U89" s="37">
        <v>1</v>
      </c>
      <c r="V89" s="4">
        <f t="shared" si="12"/>
        <v>20.211347081153178</v>
      </c>
      <c r="W89" s="39">
        <v>0</v>
      </c>
      <c r="X89">
        <v>7</v>
      </c>
      <c r="Y89" s="40">
        <v>0</v>
      </c>
      <c r="Z89">
        <v>4.6900000000000004</v>
      </c>
      <c r="AA89" s="23">
        <f t="shared" si="13"/>
        <v>1.0755733333333335</v>
      </c>
      <c r="AB89" s="84">
        <v>0</v>
      </c>
      <c r="AC89" s="5">
        <v>5.16</v>
      </c>
      <c r="AD89" s="37">
        <v>0</v>
      </c>
      <c r="AE89">
        <v>3</v>
      </c>
      <c r="AF89" s="5">
        <v>5.37</v>
      </c>
      <c r="AG89" s="37">
        <v>1</v>
      </c>
      <c r="AH89" s="5">
        <v>0.82</v>
      </c>
      <c r="AI89" s="37">
        <v>0</v>
      </c>
      <c r="AJ89" s="5">
        <v>3.82</v>
      </c>
      <c r="AK89" s="37">
        <v>1</v>
      </c>
      <c r="AL89" s="5">
        <v>1.18</v>
      </c>
      <c r="AM89" s="37">
        <v>0</v>
      </c>
      <c r="AN89" s="4">
        <f t="shared" si="14"/>
        <v>4.5508474576271194</v>
      </c>
      <c r="AO89" s="37">
        <v>1</v>
      </c>
      <c r="AP89">
        <v>120</v>
      </c>
      <c r="AQ89" s="38">
        <v>0</v>
      </c>
      <c r="AR89">
        <v>88</v>
      </c>
      <c r="AS89" s="37">
        <v>1</v>
      </c>
      <c r="AT89">
        <v>72</v>
      </c>
      <c r="AU89">
        <v>32</v>
      </c>
      <c r="AV89">
        <v>7.4</v>
      </c>
      <c r="AW89" s="37">
        <v>1</v>
      </c>
      <c r="AX89">
        <v>2037</v>
      </c>
      <c r="AY89">
        <v>65.2</v>
      </c>
      <c r="AZ89">
        <v>42.7</v>
      </c>
      <c r="BA89">
        <v>367</v>
      </c>
      <c r="BB89">
        <v>6.9</v>
      </c>
      <c r="BC89">
        <v>293</v>
      </c>
      <c r="BD89">
        <v>48.5</v>
      </c>
      <c r="BE89">
        <v>42</v>
      </c>
      <c r="BF89">
        <v>30.8</v>
      </c>
      <c r="BG89">
        <v>18.899999999999999</v>
      </c>
      <c r="BH89">
        <v>12.8</v>
      </c>
      <c r="BI89">
        <v>67.599999999999994</v>
      </c>
      <c r="BJ89">
        <v>10.8</v>
      </c>
      <c r="BK89">
        <v>7.7</v>
      </c>
      <c r="BL89">
        <v>24.3</v>
      </c>
      <c r="BM89">
        <v>3.3</v>
      </c>
      <c r="BN89">
        <v>2.7</v>
      </c>
      <c r="BO89">
        <v>2.1</v>
      </c>
      <c r="BP89">
        <v>0.4</v>
      </c>
      <c r="BQ89">
        <v>0</v>
      </c>
      <c r="BR89">
        <v>736</v>
      </c>
      <c r="BS89">
        <v>459.7</v>
      </c>
      <c r="BT89">
        <v>6321</v>
      </c>
      <c r="BU89">
        <v>2661</v>
      </c>
      <c r="BV89">
        <v>19.62</v>
      </c>
      <c r="BW89">
        <v>11.52</v>
      </c>
      <c r="BX89">
        <v>2.3199999999999998</v>
      </c>
      <c r="BY89">
        <v>13.4</v>
      </c>
      <c r="BZ89">
        <v>40</v>
      </c>
      <c r="CA89">
        <v>1.1299999999999999</v>
      </c>
      <c r="CB89">
        <v>1.06</v>
      </c>
      <c r="CC89">
        <v>14.6</v>
      </c>
      <c r="CD89">
        <v>0.86</v>
      </c>
      <c r="CE89">
        <v>0.18</v>
      </c>
      <c r="CF89">
        <v>805.6</v>
      </c>
      <c r="CG89">
        <v>39</v>
      </c>
      <c r="CH89">
        <v>568</v>
      </c>
      <c r="CI89">
        <v>0.11</v>
      </c>
      <c r="CJ89">
        <v>0.9</v>
      </c>
      <c r="CK89">
        <v>1</v>
      </c>
      <c r="CL89" s="42" t="str">
        <f t="shared" si="15"/>
        <v>1</v>
      </c>
      <c r="CM89" s="4">
        <v>18.666666666666668</v>
      </c>
      <c r="CN89" s="4">
        <v>0.37333333333333335</v>
      </c>
      <c r="CO89">
        <v>3</v>
      </c>
      <c r="CP89" s="42" t="str">
        <f t="shared" si="16"/>
        <v>1</v>
      </c>
      <c r="CQ89" s="4">
        <v>37</v>
      </c>
      <c r="CR89" s="4">
        <v>0.76666666666666661</v>
      </c>
      <c r="CS89" s="43" t="str">
        <f t="shared" si="17"/>
        <v>1</v>
      </c>
      <c r="CT89" s="4">
        <f t="shared" si="18"/>
        <v>55.666666666666671</v>
      </c>
      <c r="CU89" s="4">
        <f t="shared" si="19"/>
        <v>1.1399999999999999</v>
      </c>
      <c r="CV89" s="4">
        <v>1</v>
      </c>
    </row>
    <row r="90" spans="1:100" x14ac:dyDescent="0.3">
      <c r="A90" s="15" t="s">
        <v>191</v>
      </c>
      <c r="B90" s="17">
        <v>0</v>
      </c>
      <c r="C90" s="3">
        <v>49</v>
      </c>
      <c r="D90">
        <v>4</v>
      </c>
      <c r="E90">
        <v>3</v>
      </c>
      <c r="F90">
        <v>1</v>
      </c>
      <c r="G90">
        <v>0</v>
      </c>
      <c r="H90">
        <v>1</v>
      </c>
      <c r="I90">
        <v>0</v>
      </c>
      <c r="J90" s="4">
        <v>95.3</v>
      </c>
      <c r="K90" s="4">
        <f t="shared" si="22"/>
        <v>1.64</v>
      </c>
      <c r="L90">
        <v>164</v>
      </c>
      <c r="M90" s="4">
        <f t="shared" si="21"/>
        <v>36.595199999999998</v>
      </c>
      <c r="N90" s="4">
        <v>55.7</v>
      </c>
      <c r="O90" s="4">
        <v>38.4</v>
      </c>
      <c r="P90" s="40">
        <v>1</v>
      </c>
      <c r="Q90">
        <v>109</v>
      </c>
      <c r="R90" s="37">
        <v>1</v>
      </c>
      <c r="S90">
        <v>112</v>
      </c>
      <c r="T90" s="5">
        <f t="shared" si="20"/>
        <v>0.9732142857142857</v>
      </c>
      <c r="U90" s="37">
        <v>1</v>
      </c>
      <c r="V90" s="4">
        <f t="shared" si="12"/>
        <v>35.432778108268892</v>
      </c>
      <c r="W90" s="39">
        <v>1</v>
      </c>
      <c r="X90">
        <v>22</v>
      </c>
      <c r="Y90" s="37">
        <v>1</v>
      </c>
      <c r="Z90">
        <v>15.61</v>
      </c>
      <c r="AA90" s="23">
        <f t="shared" si="13"/>
        <v>4.3083599999999995</v>
      </c>
      <c r="AB90" s="84">
        <v>1</v>
      </c>
      <c r="AC90" s="5">
        <v>6.21</v>
      </c>
      <c r="AD90" s="37">
        <v>1</v>
      </c>
      <c r="AE90">
        <v>3</v>
      </c>
      <c r="AF90" s="5">
        <v>5.73</v>
      </c>
      <c r="AG90" s="37">
        <v>1</v>
      </c>
      <c r="AH90" s="5">
        <v>0.95</v>
      </c>
      <c r="AI90" s="37">
        <v>0</v>
      </c>
      <c r="AJ90" s="5">
        <v>3.78</v>
      </c>
      <c r="AK90" s="37">
        <v>1</v>
      </c>
      <c r="AL90" s="5">
        <v>1.52</v>
      </c>
      <c r="AM90" s="37">
        <v>0</v>
      </c>
      <c r="AN90" s="4">
        <f t="shared" si="14"/>
        <v>3.7697368421052633</v>
      </c>
      <c r="AO90" s="37">
        <v>0</v>
      </c>
      <c r="AP90">
        <v>128</v>
      </c>
      <c r="AQ90" s="38">
        <v>0</v>
      </c>
      <c r="AR90">
        <v>94</v>
      </c>
      <c r="AS90" s="37">
        <v>1</v>
      </c>
      <c r="AT90">
        <v>68</v>
      </c>
      <c r="AU90">
        <v>34</v>
      </c>
      <c r="AV90">
        <v>7.1</v>
      </c>
      <c r="AW90" s="37">
        <v>1</v>
      </c>
      <c r="AX90">
        <v>2066</v>
      </c>
      <c r="AY90">
        <v>43.3</v>
      </c>
      <c r="AZ90">
        <v>54.5</v>
      </c>
      <c r="BA90">
        <v>370.4</v>
      </c>
      <c r="BB90">
        <v>7.9</v>
      </c>
      <c r="BC90">
        <v>308.2</v>
      </c>
      <c r="BD90">
        <v>36.9</v>
      </c>
      <c r="BE90">
        <v>23.8</v>
      </c>
      <c r="BF90">
        <v>1.4</v>
      </c>
      <c r="BG90">
        <v>23.7</v>
      </c>
      <c r="BH90">
        <v>8.4</v>
      </c>
      <c r="BI90">
        <v>67.2</v>
      </c>
      <c r="BJ90">
        <v>17.399999999999999</v>
      </c>
      <c r="BK90">
        <v>4.3</v>
      </c>
      <c r="BL90">
        <v>39.9</v>
      </c>
      <c r="BM90">
        <v>7</v>
      </c>
      <c r="BN90">
        <v>2.7</v>
      </c>
      <c r="BO90">
        <v>2.37</v>
      </c>
      <c r="BP90">
        <v>0.14000000000000001</v>
      </c>
      <c r="BQ90">
        <v>0</v>
      </c>
      <c r="BR90">
        <v>191</v>
      </c>
      <c r="BS90">
        <v>212.1</v>
      </c>
      <c r="BT90">
        <v>2789</v>
      </c>
      <c r="BU90">
        <v>2081</v>
      </c>
      <c r="BV90">
        <v>10.31</v>
      </c>
      <c r="BW90">
        <v>7.05</v>
      </c>
      <c r="BX90">
        <v>1.66</v>
      </c>
      <c r="BY90">
        <v>5.9</v>
      </c>
      <c r="BZ90">
        <v>15.2</v>
      </c>
      <c r="CA90">
        <v>0.55000000000000004</v>
      </c>
      <c r="CB90">
        <v>0.35</v>
      </c>
      <c r="CC90">
        <v>15</v>
      </c>
      <c r="CD90">
        <v>0.62</v>
      </c>
      <c r="CE90">
        <v>0.24</v>
      </c>
      <c r="CF90">
        <v>248.7</v>
      </c>
      <c r="CG90">
        <v>22.7</v>
      </c>
      <c r="CH90">
        <v>52</v>
      </c>
      <c r="CI90">
        <v>0</v>
      </c>
      <c r="CJ90">
        <v>1.3</v>
      </c>
      <c r="CK90">
        <v>1</v>
      </c>
      <c r="CL90" s="42" t="str">
        <f t="shared" si="15"/>
        <v>1</v>
      </c>
      <c r="CM90" s="4">
        <v>29.666666666666668</v>
      </c>
      <c r="CN90" s="4">
        <v>0.59333333333333338</v>
      </c>
      <c r="CO90">
        <v>5</v>
      </c>
      <c r="CP90" s="42" t="str">
        <f t="shared" si="16"/>
        <v>2</v>
      </c>
      <c r="CQ90" s="4">
        <v>168.66666666666666</v>
      </c>
      <c r="CR90" s="4">
        <v>1.3641975308641976</v>
      </c>
      <c r="CS90" s="43" t="str">
        <f t="shared" si="17"/>
        <v>2</v>
      </c>
      <c r="CT90" s="4">
        <f t="shared" si="18"/>
        <v>198.33333333333331</v>
      </c>
      <c r="CU90" s="4">
        <f t="shared" si="19"/>
        <v>1.9575308641975311</v>
      </c>
      <c r="CV90" s="4">
        <v>2</v>
      </c>
    </row>
    <row r="91" spans="1:100" x14ac:dyDescent="0.3">
      <c r="A91" s="15" t="s">
        <v>192</v>
      </c>
      <c r="B91" s="17">
        <v>0</v>
      </c>
      <c r="C91" s="3">
        <v>45</v>
      </c>
      <c r="D91">
        <v>4</v>
      </c>
      <c r="E91">
        <v>1</v>
      </c>
      <c r="F91">
        <v>2</v>
      </c>
      <c r="G91">
        <v>2</v>
      </c>
      <c r="H91">
        <v>1</v>
      </c>
      <c r="I91">
        <v>0</v>
      </c>
      <c r="J91" s="4">
        <v>85.4</v>
      </c>
      <c r="K91" s="4">
        <f t="shared" si="22"/>
        <v>1.76</v>
      </c>
      <c r="L91">
        <v>176</v>
      </c>
      <c r="M91" s="4">
        <f t="shared" si="21"/>
        <v>20.410599999999999</v>
      </c>
      <c r="N91" s="4">
        <v>61.6</v>
      </c>
      <c r="O91" s="4">
        <v>23.9</v>
      </c>
      <c r="P91" s="40">
        <v>1</v>
      </c>
      <c r="Q91">
        <v>101</v>
      </c>
      <c r="R91" s="37">
        <v>1</v>
      </c>
      <c r="S91">
        <v>105</v>
      </c>
      <c r="T91" s="5">
        <f t="shared" si="20"/>
        <v>0.96190476190476193</v>
      </c>
      <c r="U91" s="37">
        <v>1</v>
      </c>
      <c r="V91" s="4">
        <f t="shared" si="12"/>
        <v>27.569731404958681</v>
      </c>
      <c r="W91" s="39">
        <v>1</v>
      </c>
      <c r="X91">
        <v>13</v>
      </c>
      <c r="Y91" s="37">
        <v>1</v>
      </c>
      <c r="Z91">
        <v>10.29</v>
      </c>
      <c r="AA91" s="23">
        <f t="shared" si="13"/>
        <v>2.7119866666666663</v>
      </c>
      <c r="AB91" s="84">
        <v>0</v>
      </c>
      <c r="AC91" s="5">
        <v>5.93</v>
      </c>
      <c r="AD91" s="37">
        <v>1</v>
      </c>
      <c r="AE91">
        <v>36.6</v>
      </c>
      <c r="AF91" s="5">
        <v>6.91</v>
      </c>
      <c r="AG91" s="37">
        <v>1</v>
      </c>
      <c r="AH91" s="5">
        <v>2.5499999999999998</v>
      </c>
      <c r="AI91" s="37">
        <v>1</v>
      </c>
      <c r="AJ91" s="5">
        <v>4.58</v>
      </c>
      <c r="AK91" s="37">
        <v>1</v>
      </c>
      <c r="AL91" s="5">
        <v>1.18</v>
      </c>
      <c r="AM91" s="37">
        <v>0</v>
      </c>
      <c r="AN91" s="4">
        <f t="shared" si="14"/>
        <v>5.8559322033898313</v>
      </c>
      <c r="AO91" s="37">
        <v>1</v>
      </c>
      <c r="AP91">
        <v>124</v>
      </c>
      <c r="AQ91" s="38">
        <v>0</v>
      </c>
      <c r="AR91">
        <v>87</v>
      </c>
      <c r="AS91" s="37">
        <v>1</v>
      </c>
      <c r="AT91">
        <v>67</v>
      </c>
      <c r="AU91">
        <v>37</v>
      </c>
      <c r="AV91">
        <v>6.7</v>
      </c>
      <c r="AW91" s="37">
        <v>1</v>
      </c>
      <c r="AX91">
        <v>1934</v>
      </c>
      <c r="AY91">
        <v>64.8</v>
      </c>
      <c r="AZ91">
        <v>49.4</v>
      </c>
      <c r="BA91">
        <v>325.10000000000002</v>
      </c>
      <c r="BB91">
        <v>5.4</v>
      </c>
      <c r="BC91">
        <v>232.1</v>
      </c>
      <c r="BD91">
        <v>34.9</v>
      </c>
      <c r="BE91">
        <v>29.4</v>
      </c>
      <c r="BF91">
        <v>155.30000000000001</v>
      </c>
      <c r="BG91">
        <v>23</v>
      </c>
      <c r="BH91">
        <v>13.4</v>
      </c>
      <c r="BI91">
        <v>63</v>
      </c>
      <c r="BJ91">
        <v>13.1</v>
      </c>
      <c r="BK91">
        <v>5.7</v>
      </c>
      <c r="BL91">
        <v>28.1</v>
      </c>
      <c r="BM91">
        <v>9.1</v>
      </c>
      <c r="BN91">
        <v>2.5</v>
      </c>
      <c r="BO91">
        <v>2.1</v>
      </c>
      <c r="BP91">
        <v>0.14000000000000001</v>
      </c>
      <c r="BQ91">
        <v>0.16</v>
      </c>
      <c r="BR91">
        <v>481</v>
      </c>
      <c r="BS91">
        <v>210.4</v>
      </c>
      <c r="BT91">
        <v>3319</v>
      </c>
      <c r="BU91">
        <v>1718</v>
      </c>
      <c r="BV91">
        <v>17.649999999999999</v>
      </c>
      <c r="BW91">
        <v>6.01</v>
      </c>
      <c r="BX91">
        <v>1.31</v>
      </c>
      <c r="BY91">
        <v>57.7</v>
      </c>
      <c r="BZ91">
        <v>56.7</v>
      </c>
      <c r="CA91">
        <v>0.85</v>
      </c>
      <c r="CB91">
        <v>0.82</v>
      </c>
      <c r="CC91">
        <v>18.3</v>
      </c>
      <c r="CD91">
        <v>2.66</v>
      </c>
      <c r="CE91">
        <v>2.2000000000000002</v>
      </c>
      <c r="CF91">
        <v>314.3</v>
      </c>
      <c r="CG91">
        <v>23.9</v>
      </c>
      <c r="CH91">
        <v>221</v>
      </c>
      <c r="CI91">
        <v>1.42</v>
      </c>
      <c r="CJ91">
        <v>1.9</v>
      </c>
      <c r="CK91">
        <v>0</v>
      </c>
      <c r="CL91" s="42" t="str">
        <f t="shared" si="15"/>
        <v>1</v>
      </c>
      <c r="CM91">
        <v>0</v>
      </c>
      <c r="CN91" s="4">
        <v>0</v>
      </c>
      <c r="CO91">
        <v>4</v>
      </c>
      <c r="CP91" s="42" t="str">
        <f t="shared" si="16"/>
        <v>1</v>
      </c>
      <c r="CQ91" s="4">
        <v>77.333333333333329</v>
      </c>
      <c r="CR91" s="4">
        <v>0.8271604938271605</v>
      </c>
      <c r="CS91" s="43" t="str">
        <f t="shared" si="17"/>
        <v>1</v>
      </c>
      <c r="CT91" s="4">
        <f t="shared" si="18"/>
        <v>77.333333333333329</v>
      </c>
      <c r="CU91" s="4">
        <f t="shared" si="19"/>
        <v>0.8271604938271605</v>
      </c>
      <c r="CV91" s="4">
        <v>1</v>
      </c>
    </row>
    <row r="92" spans="1:100" x14ac:dyDescent="0.3">
      <c r="A92" s="15" t="s">
        <v>219</v>
      </c>
      <c r="B92" s="17">
        <v>0</v>
      </c>
      <c r="C92" s="3">
        <v>33</v>
      </c>
      <c r="D92">
        <v>1</v>
      </c>
      <c r="E92">
        <v>2</v>
      </c>
      <c r="F92">
        <v>2</v>
      </c>
      <c r="G92">
        <v>0</v>
      </c>
      <c r="H92">
        <v>1</v>
      </c>
      <c r="I92">
        <v>0</v>
      </c>
      <c r="J92" s="4">
        <v>67.8</v>
      </c>
      <c r="K92" s="4">
        <f t="shared" si="22"/>
        <v>1.64</v>
      </c>
      <c r="L92">
        <v>164</v>
      </c>
      <c r="M92" s="4">
        <f t="shared" si="21"/>
        <v>16.882199999999997</v>
      </c>
      <c r="N92" s="4">
        <v>48.2</v>
      </c>
      <c r="O92" s="4">
        <v>24.9</v>
      </c>
      <c r="P92" s="40">
        <v>1</v>
      </c>
      <c r="Q92">
        <v>91</v>
      </c>
      <c r="R92" s="37">
        <v>1</v>
      </c>
      <c r="S92">
        <v>95</v>
      </c>
      <c r="T92" s="5">
        <f t="shared" si="20"/>
        <v>0.95789473684210524</v>
      </c>
      <c r="U92" s="37">
        <v>1</v>
      </c>
      <c r="V92" s="4">
        <f t="shared" si="12"/>
        <v>25.208209399167167</v>
      </c>
      <c r="W92" s="39">
        <v>1</v>
      </c>
      <c r="X92">
        <v>10</v>
      </c>
      <c r="Y92" s="37">
        <v>1</v>
      </c>
      <c r="AA92" s="23"/>
      <c r="AB92" s="84"/>
      <c r="AC92" s="5">
        <v>4.82</v>
      </c>
      <c r="AD92" s="37">
        <v>0</v>
      </c>
      <c r="AE92">
        <v>19.18</v>
      </c>
      <c r="AF92" s="5">
        <v>7.47</v>
      </c>
      <c r="AG92" s="37">
        <v>1</v>
      </c>
      <c r="AH92" s="5">
        <v>4.3899999999999997</v>
      </c>
      <c r="AI92" s="37">
        <v>1</v>
      </c>
      <c r="AJ92" s="5">
        <v>4.3499999999999996</v>
      </c>
      <c r="AK92" s="37">
        <v>1</v>
      </c>
      <c r="AL92" s="5">
        <v>1.1200000000000001</v>
      </c>
      <c r="AM92" s="37">
        <v>0</v>
      </c>
      <c r="AN92" s="4">
        <f t="shared" si="14"/>
        <v>6.6696428571428559</v>
      </c>
      <c r="AO92" s="37">
        <v>1</v>
      </c>
      <c r="AP92">
        <v>110</v>
      </c>
      <c r="AQ92" s="38">
        <v>0</v>
      </c>
      <c r="AR92">
        <v>76</v>
      </c>
      <c r="AS92" s="37">
        <v>0</v>
      </c>
      <c r="AT92">
        <v>70</v>
      </c>
      <c r="AU92">
        <v>34</v>
      </c>
      <c r="AV92">
        <v>5.3</v>
      </c>
      <c r="AW92" s="37">
        <v>1</v>
      </c>
      <c r="AX92">
        <v>976</v>
      </c>
      <c r="AY92">
        <v>32</v>
      </c>
      <c r="AZ92">
        <v>23.5</v>
      </c>
      <c r="BA92">
        <v>169.5</v>
      </c>
      <c r="BB92">
        <v>4.5</v>
      </c>
      <c r="BC92">
        <v>135.1</v>
      </c>
      <c r="BD92">
        <v>23.5</v>
      </c>
      <c r="BE92">
        <v>16.899999999999999</v>
      </c>
      <c r="BF92">
        <v>15.2</v>
      </c>
      <c r="BG92">
        <v>21.7</v>
      </c>
      <c r="BH92">
        <v>13.1</v>
      </c>
      <c r="BI92">
        <v>65.099999999999994</v>
      </c>
      <c r="BJ92">
        <v>16.2</v>
      </c>
      <c r="BK92">
        <v>6.5</v>
      </c>
      <c r="BL92">
        <v>17.600000000000001</v>
      </c>
      <c r="BM92">
        <v>1.6</v>
      </c>
      <c r="BN92">
        <v>1.3</v>
      </c>
      <c r="BO92">
        <v>1.07</v>
      </c>
      <c r="BP92">
        <v>0.09</v>
      </c>
      <c r="BQ92">
        <v>0</v>
      </c>
      <c r="BR92">
        <v>199</v>
      </c>
      <c r="BS92">
        <v>107.6</v>
      </c>
      <c r="BT92">
        <v>1900</v>
      </c>
      <c r="BU92">
        <v>965</v>
      </c>
      <c r="BV92">
        <v>6.61</v>
      </c>
      <c r="BW92">
        <v>3.73</v>
      </c>
      <c r="BX92">
        <v>0.91</v>
      </c>
      <c r="BY92">
        <v>21.1</v>
      </c>
      <c r="BZ92">
        <v>8.6999999999999993</v>
      </c>
      <c r="CA92">
        <v>0.42</v>
      </c>
      <c r="CB92">
        <v>0.17</v>
      </c>
      <c r="CC92">
        <v>10.6</v>
      </c>
      <c r="CD92">
        <v>0.46</v>
      </c>
      <c r="CE92">
        <v>0.52</v>
      </c>
      <c r="CF92">
        <v>145.1</v>
      </c>
      <c r="CG92">
        <v>12.2</v>
      </c>
      <c r="CH92">
        <v>230</v>
      </c>
      <c r="CI92">
        <v>0.24</v>
      </c>
      <c r="CJ92">
        <v>0.6</v>
      </c>
      <c r="CK92">
        <v>0</v>
      </c>
      <c r="CL92" s="42" t="str">
        <f t="shared" si="15"/>
        <v>1</v>
      </c>
      <c r="CM92">
        <v>0</v>
      </c>
      <c r="CN92" s="4">
        <v>0</v>
      </c>
      <c r="CO92">
        <v>2</v>
      </c>
      <c r="CP92" s="42" t="str">
        <f t="shared" si="16"/>
        <v>1</v>
      </c>
      <c r="CQ92" s="4">
        <v>16.666666666666668</v>
      </c>
      <c r="CR92" s="4">
        <v>0.4567901234567901</v>
      </c>
      <c r="CS92" s="43" t="str">
        <f t="shared" si="17"/>
        <v>1</v>
      </c>
      <c r="CT92" s="4">
        <f t="shared" si="18"/>
        <v>16.666666666666668</v>
      </c>
      <c r="CU92" s="4">
        <f t="shared" si="19"/>
        <v>0.4567901234567901</v>
      </c>
      <c r="CV92" s="4">
        <v>1</v>
      </c>
    </row>
    <row r="93" spans="1:100" x14ac:dyDescent="0.3">
      <c r="A93" s="15" t="s">
        <v>220</v>
      </c>
      <c r="B93" s="17">
        <v>0</v>
      </c>
      <c r="C93" s="3">
        <v>36</v>
      </c>
      <c r="D93">
        <v>2</v>
      </c>
      <c r="E93">
        <v>1</v>
      </c>
      <c r="F93">
        <v>0</v>
      </c>
      <c r="G93">
        <v>0</v>
      </c>
      <c r="H93">
        <v>1</v>
      </c>
      <c r="I93">
        <v>1</v>
      </c>
      <c r="J93" s="4">
        <v>52.4</v>
      </c>
      <c r="K93" s="4">
        <f t="shared" si="22"/>
        <v>1.669</v>
      </c>
      <c r="L93">
        <v>166.9</v>
      </c>
      <c r="M93" s="4">
        <f t="shared" si="21"/>
        <v>6.3403999999999998</v>
      </c>
      <c r="N93" s="4">
        <v>43.7</v>
      </c>
      <c r="O93" s="4">
        <v>12.1</v>
      </c>
      <c r="P93" s="40">
        <v>0</v>
      </c>
      <c r="Q93">
        <v>73</v>
      </c>
      <c r="R93" s="37">
        <v>0</v>
      </c>
      <c r="S93">
        <v>91</v>
      </c>
      <c r="T93" s="5">
        <f t="shared" si="20"/>
        <v>0.80219780219780223</v>
      </c>
      <c r="U93" s="37">
        <v>0</v>
      </c>
      <c r="V93" s="4">
        <f t="shared" si="12"/>
        <v>18.811291513630469</v>
      </c>
      <c r="W93" s="39">
        <v>0</v>
      </c>
      <c r="X93">
        <v>3</v>
      </c>
      <c r="Y93" s="40">
        <v>0</v>
      </c>
      <c r="Z93">
        <v>5.91</v>
      </c>
      <c r="AA93" s="23">
        <f t="shared" si="13"/>
        <v>1.2460985466666668</v>
      </c>
      <c r="AB93" s="84">
        <v>0</v>
      </c>
      <c r="AC93" s="5">
        <v>4.7440300000000004</v>
      </c>
      <c r="AD93" s="37">
        <v>0</v>
      </c>
      <c r="AE93" s="5">
        <v>9.1850299999999994</v>
      </c>
      <c r="AF93" s="5">
        <v>4.2596400000000001</v>
      </c>
      <c r="AG93" s="37">
        <v>0</v>
      </c>
      <c r="AH93" s="5">
        <v>2.06616</v>
      </c>
      <c r="AI93" s="37">
        <v>1</v>
      </c>
      <c r="AJ93" s="5">
        <v>2.1726100000000002</v>
      </c>
      <c r="AK93" s="37">
        <v>0</v>
      </c>
      <c r="AL93" s="5">
        <v>1.1478600000000001</v>
      </c>
      <c r="AM93" s="37">
        <v>0</v>
      </c>
      <c r="AN93" s="4">
        <f t="shared" si="14"/>
        <v>3.7109403585803142</v>
      </c>
      <c r="AO93" s="37">
        <v>0</v>
      </c>
      <c r="AP93">
        <v>121</v>
      </c>
      <c r="AQ93" s="38">
        <v>0</v>
      </c>
      <c r="AR93">
        <v>76</v>
      </c>
      <c r="AS93" s="37">
        <v>0</v>
      </c>
      <c r="AT93">
        <v>76</v>
      </c>
      <c r="AU93">
        <v>45</v>
      </c>
      <c r="AV93">
        <v>5.8</v>
      </c>
      <c r="AW93" s="37">
        <v>1</v>
      </c>
      <c r="AX93">
        <v>1659</v>
      </c>
      <c r="AY93">
        <v>51.4</v>
      </c>
      <c r="AZ93">
        <v>29</v>
      </c>
      <c r="BA93">
        <v>317.10000000000002</v>
      </c>
      <c r="BB93">
        <v>3.5</v>
      </c>
      <c r="BC93">
        <v>265</v>
      </c>
      <c r="BD93">
        <v>33.1</v>
      </c>
      <c r="BE93">
        <v>26.7</v>
      </c>
      <c r="BF93">
        <v>88.3</v>
      </c>
      <c r="BG93">
        <v>15.7</v>
      </c>
      <c r="BH93">
        <v>12.4</v>
      </c>
      <c r="BI93">
        <v>71.7</v>
      </c>
      <c r="BJ93">
        <v>10.4</v>
      </c>
      <c r="BK93">
        <v>6</v>
      </c>
      <c r="BL93">
        <v>19.100000000000001</v>
      </c>
      <c r="BM93">
        <v>2.7</v>
      </c>
      <c r="BN93">
        <v>1.8</v>
      </c>
      <c r="BO93">
        <v>1.28</v>
      </c>
      <c r="BP93">
        <v>0.12</v>
      </c>
      <c r="BQ93">
        <v>0</v>
      </c>
      <c r="BR93">
        <v>317</v>
      </c>
      <c r="BS93">
        <v>168.5</v>
      </c>
      <c r="BT93">
        <v>2958</v>
      </c>
      <c r="BU93">
        <v>1394</v>
      </c>
      <c r="BV93">
        <v>10.87</v>
      </c>
      <c r="BW93">
        <v>6.38</v>
      </c>
      <c r="BX93">
        <v>1.36</v>
      </c>
      <c r="BY93">
        <v>43.7</v>
      </c>
      <c r="BZ93">
        <v>20.100000000000001</v>
      </c>
      <c r="CA93">
        <v>0.6</v>
      </c>
      <c r="CB93">
        <v>0.44</v>
      </c>
      <c r="CC93">
        <v>16.2</v>
      </c>
      <c r="CD93">
        <v>0.55000000000000004</v>
      </c>
      <c r="CE93">
        <v>0.84</v>
      </c>
      <c r="CF93">
        <v>206.7</v>
      </c>
      <c r="CG93">
        <v>8.1999999999999993</v>
      </c>
      <c r="CH93">
        <v>205</v>
      </c>
      <c r="CI93">
        <v>0.93</v>
      </c>
      <c r="CJ93">
        <v>0.5</v>
      </c>
      <c r="CK93">
        <v>0</v>
      </c>
      <c r="CL93" s="42" t="str">
        <f t="shared" si="15"/>
        <v>1</v>
      </c>
      <c r="CM93">
        <v>0</v>
      </c>
      <c r="CN93" s="4">
        <v>0</v>
      </c>
      <c r="CO93">
        <v>4</v>
      </c>
      <c r="CP93" s="42" t="str">
        <f t="shared" si="16"/>
        <v>1</v>
      </c>
      <c r="CQ93" s="4">
        <v>43.333333333333336</v>
      </c>
      <c r="CR93" s="4">
        <v>0.65925925925925921</v>
      </c>
      <c r="CS93" s="43" t="str">
        <f t="shared" si="17"/>
        <v>1</v>
      </c>
      <c r="CT93" s="4">
        <f t="shared" si="18"/>
        <v>43.333333333333336</v>
      </c>
      <c r="CU93" s="4">
        <f t="shared" si="19"/>
        <v>0.65925925925925921</v>
      </c>
      <c r="CV93" s="4">
        <v>1</v>
      </c>
    </row>
    <row r="94" spans="1:100" x14ac:dyDescent="0.3">
      <c r="A94" s="15" t="s">
        <v>221</v>
      </c>
      <c r="B94" s="17">
        <v>0</v>
      </c>
      <c r="C94" s="3">
        <v>35</v>
      </c>
      <c r="D94">
        <v>1</v>
      </c>
      <c r="E94">
        <v>3</v>
      </c>
      <c r="F94">
        <v>1</v>
      </c>
      <c r="G94">
        <v>0</v>
      </c>
      <c r="H94">
        <v>0</v>
      </c>
      <c r="I94">
        <v>1</v>
      </c>
      <c r="J94">
        <v>84.3</v>
      </c>
      <c r="K94">
        <v>1.72</v>
      </c>
      <c r="L94">
        <v>172.1</v>
      </c>
      <c r="M94" s="4">
        <f t="shared" si="21"/>
        <v>21.496500000000001</v>
      </c>
      <c r="N94" s="4">
        <v>59.6</v>
      </c>
      <c r="O94">
        <v>25.5</v>
      </c>
      <c r="P94" s="40">
        <v>1</v>
      </c>
      <c r="Q94">
        <v>93.4</v>
      </c>
      <c r="R94" s="37">
        <v>1</v>
      </c>
      <c r="S94">
        <v>102.5</v>
      </c>
      <c r="T94" s="5">
        <f t="shared" si="20"/>
        <v>0.91121951219512198</v>
      </c>
      <c r="U94" s="37">
        <v>1</v>
      </c>
      <c r="V94" s="4">
        <f t="shared" si="12"/>
        <v>28.495132504056247</v>
      </c>
      <c r="W94" s="39">
        <v>1</v>
      </c>
      <c r="X94">
        <v>12</v>
      </c>
      <c r="Y94" s="37">
        <v>1</v>
      </c>
      <c r="AA94" s="23"/>
      <c r="AB94" s="84"/>
      <c r="AC94" s="5">
        <v>5.01</v>
      </c>
      <c r="AD94" s="37">
        <v>0</v>
      </c>
      <c r="AE94">
        <v>3</v>
      </c>
      <c r="AF94" s="5">
        <v>7.7</v>
      </c>
      <c r="AG94" s="37">
        <v>1</v>
      </c>
      <c r="AH94" s="5">
        <v>1.92</v>
      </c>
      <c r="AI94" s="37">
        <v>1</v>
      </c>
      <c r="AJ94" s="5">
        <v>5.81</v>
      </c>
      <c r="AK94" s="37">
        <v>1</v>
      </c>
      <c r="AL94" s="5">
        <v>1.0900000000000001</v>
      </c>
      <c r="AM94" s="37">
        <v>0</v>
      </c>
      <c r="AN94" s="4">
        <f t="shared" si="14"/>
        <v>7.0642201834862384</v>
      </c>
      <c r="AO94" s="37">
        <v>1</v>
      </c>
      <c r="AP94">
        <v>126</v>
      </c>
      <c r="AQ94" s="38">
        <v>0</v>
      </c>
      <c r="AR94">
        <v>81</v>
      </c>
      <c r="AS94" s="37">
        <v>0</v>
      </c>
      <c r="AT94">
        <v>57</v>
      </c>
      <c r="AU94">
        <v>46</v>
      </c>
      <c r="AV94">
        <v>5.8</v>
      </c>
      <c r="AW94" s="37">
        <v>1</v>
      </c>
      <c r="AX94">
        <v>2813</v>
      </c>
      <c r="AY94">
        <v>76.5</v>
      </c>
      <c r="AZ94">
        <v>86</v>
      </c>
      <c r="BA94">
        <v>460.6</v>
      </c>
      <c r="BB94">
        <v>12.3</v>
      </c>
      <c r="BC94">
        <v>358.2</v>
      </c>
      <c r="BD94">
        <v>65.599999999999994</v>
      </c>
      <c r="BE94">
        <v>54.3</v>
      </c>
      <c r="BF94">
        <v>52.5</v>
      </c>
      <c r="BG94">
        <v>27.5</v>
      </c>
      <c r="BH94">
        <v>10.9</v>
      </c>
      <c r="BI94">
        <v>61.4</v>
      </c>
      <c r="BJ94">
        <v>18</v>
      </c>
      <c r="BK94">
        <v>7.2</v>
      </c>
      <c r="BL94">
        <v>56.4</v>
      </c>
      <c r="BM94">
        <v>6.6</v>
      </c>
      <c r="BN94">
        <v>2.8</v>
      </c>
      <c r="BO94">
        <v>2.38</v>
      </c>
      <c r="BP94">
        <v>0.16</v>
      </c>
      <c r="BQ94">
        <v>0.01</v>
      </c>
      <c r="BR94">
        <v>685</v>
      </c>
      <c r="BS94">
        <v>254</v>
      </c>
      <c r="BT94">
        <v>6017</v>
      </c>
      <c r="BU94">
        <v>2269</v>
      </c>
      <c r="BV94">
        <v>23.74</v>
      </c>
      <c r="BW94">
        <v>10.91</v>
      </c>
      <c r="BX94">
        <v>2.2799999999999998</v>
      </c>
      <c r="BY94">
        <v>44.1</v>
      </c>
      <c r="BZ94">
        <v>16.399999999999999</v>
      </c>
      <c r="CA94">
        <v>0.97</v>
      </c>
      <c r="CB94">
        <v>0.66</v>
      </c>
      <c r="CC94">
        <v>23.4</v>
      </c>
      <c r="CD94">
        <v>1.01</v>
      </c>
      <c r="CE94">
        <v>1.1599999999999999</v>
      </c>
      <c r="CF94">
        <v>310.8</v>
      </c>
      <c r="CG94">
        <v>56.6</v>
      </c>
      <c r="CH94">
        <v>494</v>
      </c>
      <c r="CI94">
        <v>4.07</v>
      </c>
      <c r="CJ94">
        <v>1.4</v>
      </c>
      <c r="CK94">
        <v>0</v>
      </c>
      <c r="CL94" s="42" t="str">
        <f t="shared" si="15"/>
        <v>1</v>
      </c>
      <c r="CM94">
        <v>0</v>
      </c>
      <c r="CN94" s="4">
        <v>0</v>
      </c>
      <c r="CO94">
        <v>5</v>
      </c>
      <c r="CP94" s="42" t="str">
        <f t="shared" si="16"/>
        <v>2</v>
      </c>
      <c r="CQ94" s="4">
        <v>255.5</v>
      </c>
      <c r="CR94" s="4">
        <v>3.4567901234567904</v>
      </c>
      <c r="CS94" s="43" t="str">
        <f t="shared" si="17"/>
        <v>2</v>
      </c>
      <c r="CT94" s="4">
        <f t="shared" si="18"/>
        <v>255.5</v>
      </c>
      <c r="CU94" s="4">
        <f t="shared" si="19"/>
        <v>3.4567901234567904</v>
      </c>
      <c r="CV94" s="4">
        <v>3</v>
      </c>
    </row>
    <row r="95" spans="1:100" x14ac:dyDescent="0.3">
      <c r="A95" s="15" t="s">
        <v>222</v>
      </c>
      <c r="B95" s="17">
        <v>0</v>
      </c>
      <c r="C95" s="3">
        <v>34</v>
      </c>
      <c r="D95">
        <v>1</v>
      </c>
      <c r="E95">
        <v>3</v>
      </c>
      <c r="F95">
        <v>2</v>
      </c>
      <c r="G95">
        <v>0</v>
      </c>
      <c r="H95">
        <v>1</v>
      </c>
      <c r="I95">
        <v>1</v>
      </c>
      <c r="J95" s="4">
        <v>73.900000000000006</v>
      </c>
      <c r="K95" s="4">
        <f t="shared" ref="K95:K105" si="23">L95/100</f>
        <v>1.74</v>
      </c>
      <c r="L95">
        <v>174</v>
      </c>
      <c r="M95" s="4">
        <f t="shared" si="21"/>
        <v>21.652700000000003</v>
      </c>
      <c r="N95" s="4">
        <v>49.5</v>
      </c>
      <c r="O95" s="4">
        <v>29.3</v>
      </c>
      <c r="P95" s="40">
        <v>1</v>
      </c>
      <c r="Q95">
        <v>92</v>
      </c>
      <c r="R95" s="37">
        <v>1</v>
      </c>
      <c r="S95">
        <v>104.1</v>
      </c>
      <c r="T95" s="5">
        <f t="shared" si="20"/>
        <v>0.88376560999039389</v>
      </c>
      <c r="U95" s="37">
        <v>0</v>
      </c>
      <c r="V95" s="4">
        <f t="shared" si="12"/>
        <v>24.408772625181662</v>
      </c>
      <c r="W95" s="39">
        <v>1</v>
      </c>
      <c r="X95">
        <v>11</v>
      </c>
      <c r="Y95" s="37">
        <v>1</v>
      </c>
      <c r="Z95">
        <v>7.11</v>
      </c>
      <c r="AA95" s="23">
        <f t="shared" si="13"/>
        <v>1.90232</v>
      </c>
      <c r="AB95" s="84">
        <v>0</v>
      </c>
      <c r="AC95" s="5">
        <v>6.02</v>
      </c>
      <c r="AD95" s="37">
        <v>1</v>
      </c>
      <c r="AE95">
        <v>11.24</v>
      </c>
      <c r="AF95" s="5">
        <v>5.64</v>
      </c>
      <c r="AG95" s="37">
        <v>1</v>
      </c>
      <c r="AH95" s="5">
        <v>1.18</v>
      </c>
      <c r="AI95" s="37">
        <v>0</v>
      </c>
      <c r="AJ95" s="5">
        <v>3.47</v>
      </c>
      <c r="AK95" s="37">
        <v>1</v>
      </c>
      <c r="AL95" s="5">
        <v>1.64</v>
      </c>
      <c r="AM95" s="37">
        <v>0</v>
      </c>
      <c r="AN95" s="4">
        <f t="shared" si="14"/>
        <v>3.4390243902439024</v>
      </c>
      <c r="AO95" s="37">
        <v>0</v>
      </c>
      <c r="AP95">
        <v>110</v>
      </c>
      <c r="AQ95" s="38">
        <v>0</v>
      </c>
      <c r="AR95">
        <v>70</v>
      </c>
      <c r="AS95" s="37">
        <v>0</v>
      </c>
      <c r="AT95">
        <v>80</v>
      </c>
      <c r="AU95">
        <v>40</v>
      </c>
      <c r="AV95">
        <v>5.2</v>
      </c>
      <c r="AW95" s="37">
        <v>1</v>
      </c>
      <c r="AX95">
        <v>3197</v>
      </c>
      <c r="AY95">
        <v>84.4</v>
      </c>
      <c r="AZ95">
        <v>90.9</v>
      </c>
      <c r="BA95">
        <v>541.20000000000005</v>
      </c>
      <c r="BB95">
        <v>16.7</v>
      </c>
      <c r="BC95">
        <v>424</v>
      </c>
      <c r="BD95">
        <v>94.4</v>
      </c>
      <c r="BE95">
        <v>36.6</v>
      </c>
      <c r="BF95">
        <v>143.1</v>
      </c>
      <c r="BG95">
        <v>25.6</v>
      </c>
      <c r="BH95">
        <v>10.6</v>
      </c>
      <c r="BI95">
        <v>63.5</v>
      </c>
      <c r="BJ95">
        <v>19.3</v>
      </c>
      <c r="BK95">
        <v>4.3</v>
      </c>
      <c r="BL95">
        <v>68.599999999999994</v>
      </c>
      <c r="BM95">
        <v>10.1</v>
      </c>
      <c r="BN95">
        <v>4.5</v>
      </c>
      <c r="BO95">
        <v>3.6</v>
      </c>
      <c r="BP95">
        <v>0.53</v>
      </c>
      <c r="BQ95">
        <v>0</v>
      </c>
      <c r="BR95">
        <v>492</v>
      </c>
      <c r="BS95">
        <v>495.6</v>
      </c>
      <c r="BT95">
        <v>6561</v>
      </c>
      <c r="BU95">
        <v>4024</v>
      </c>
      <c r="BV95">
        <v>22.91</v>
      </c>
      <c r="BW95">
        <v>12.67</v>
      </c>
      <c r="BX95">
        <v>2.87</v>
      </c>
      <c r="BY95">
        <v>63.4</v>
      </c>
      <c r="BZ95">
        <v>83.7</v>
      </c>
      <c r="CA95">
        <v>1.19</v>
      </c>
      <c r="CB95">
        <v>1.08</v>
      </c>
      <c r="CC95">
        <v>32</v>
      </c>
      <c r="CD95">
        <v>1.96</v>
      </c>
      <c r="CE95">
        <v>1.95</v>
      </c>
      <c r="CF95">
        <v>569.9</v>
      </c>
      <c r="CG95">
        <v>72.8</v>
      </c>
      <c r="CH95">
        <v>387</v>
      </c>
      <c r="CI95">
        <v>5.74</v>
      </c>
      <c r="CJ95">
        <v>2.8</v>
      </c>
      <c r="CK95">
        <v>3</v>
      </c>
      <c r="CL95" s="42" t="str">
        <f t="shared" si="15"/>
        <v>3</v>
      </c>
      <c r="CM95" s="4">
        <v>283.33333333333331</v>
      </c>
      <c r="CN95" s="4">
        <v>5.6666666666666661</v>
      </c>
      <c r="CO95">
        <v>7</v>
      </c>
      <c r="CP95" s="42" t="str">
        <f t="shared" si="16"/>
        <v>1</v>
      </c>
      <c r="CQ95" s="4">
        <v>105</v>
      </c>
      <c r="CR95" s="4">
        <v>1.8703703703703705</v>
      </c>
      <c r="CS95" s="43" t="str">
        <f t="shared" si="17"/>
        <v>3</v>
      </c>
      <c r="CT95" s="4">
        <f t="shared" si="18"/>
        <v>388.33333333333331</v>
      </c>
      <c r="CU95" s="4">
        <f t="shared" si="19"/>
        <v>7.5370370370370363</v>
      </c>
      <c r="CV95" s="4">
        <v>4</v>
      </c>
    </row>
    <row r="96" spans="1:100" x14ac:dyDescent="0.3">
      <c r="A96" s="15" t="s">
        <v>223</v>
      </c>
      <c r="B96" s="17">
        <v>0</v>
      </c>
      <c r="C96" s="10">
        <v>46</v>
      </c>
      <c r="D96">
        <v>2</v>
      </c>
      <c r="E96">
        <v>1</v>
      </c>
      <c r="F96">
        <v>1</v>
      </c>
      <c r="G96">
        <v>0</v>
      </c>
      <c r="H96">
        <v>1</v>
      </c>
      <c r="I96">
        <v>1</v>
      </c>
      <c r="J96" s="4">
        <v>70.5</v>
      </c>
      <c r="K96" s="4">
        <f t="shared" si="23"/>
        <v>1.66</v>
      </c>
      <c r="L96">
        <v>166</v>
      </c>
      <c r="M96" s="4">
        <f t="shared" si="21"/>
        <v>17.554499999999997</v>
      </c>
      <c r="N96" s="4">
        <v>50.1</v>
      </c>
      <c r="O96" s="4">
        <v>24.9</v>
      </c>
      <c r="P96" s="40">
        <v>1</v>
      </c>
      <c r="Q96">
        <v>97.8</v>
      </c>
      <c r="R96" s="37">
        <v>1</v>
      </c>
      <c r="S96">
        <v>99.4</v>
      </c>
      <c r="T96" s="5">
        <f t="shared" si="20"/>
        <v>0.98390342052313873</v>
      </c>
      <c r="U96" s="37">
        <v>1</v>
      </c>
      <c r="V96" s="4">
        <f t="shared" si="12"/>
        <v>25.584264769923067</v>
      </c>
      <c r="W96" s="39">
        <v>1</v>
      </c>
      <c r="X96">
        <v>12</v>
      </c>
      <c r="Y96" s="37">
        <v>1</v>
      </c>
      <c r="Z96">
        <v>10.6</v>
      </c>
      <c r="AA96" s="23">
        <f t="shared" si="13"/>
        <v>3.0056888888888889</v>
      </c>
      <c r="AB96" s="84">
        <v>1</v>
      </c>
      <c r="AC96" s="5">
        <v>6.38</v>
      </c>
      <c r="AD96" s="37">
        <v>1</v>
      </c>
      <c r="AE96">
        <v>102.89</v>
      </c>
      <c r="AF96" s="5">
        <v>5.58</v>
      </c>
      <c r="AG96" s="37">
        <v>1</v>
      </c>
      <c r="AH96" s="5">
        <v>2.2000000000000002</v>
      </c>
      <c r="AI96" s="37">
        <v>1</v>
      </c>
      <c r="AJ96" s="13">
        <v>4</v>
      </c>
      <c r="AK96" s="37">
        <v>1</v>
      </c>
      <c r="AL96" s="5">
        <v>0.95</v>
      </c>
      <c r="AM96" s="37">
        <v>1</v>
      </c>
      <c r="AN96" s="4">
        <f t="shared" si="14"/>
        <v>5.8736842105263163</v>
      </c>
      <c r="AO96" s="37">
        <v>1</v>
      </c>
      <c r="AP96">
        <v>109</v>
      </c>
      <c r="AQ96" s="38">
        <v>0</v>
      </c>
      <c r="AR96">
        <v>72</v>
      </c>
      <c r="AS96" s="37">
        <v>0</v>
      </c>
      <c r="AT96">
        <v>70</v>
      </c>
      <c r="AU96">
        <v>37</v>
      </c>
      <c r="AV96">
        <v>8.9</v>
      </c>
      <c r="AW96" s="37">
        <v>1</v>
      </c>
      <c r="AX96">
        <v>2553</v>
      </c>
      <c r="AY96">
        <v>83.8</v>
      </c>
      <c r="AZ96">
        <v>75.2</v>
      </c>
      <c r="BA96">
        <v>404.6</v>
      </c>
      <c r="BB96">
        <v>6.8</v>
      </c>
      <c r="BC96">
        <v>251.9</v>
      </c>
      <c r="BD96">
        <v>50</v>
      </c>
      <c r="BE96">
        <v>2.9</v>
      </c>
      <c r="BF96">
        <v>109.3</v>
      </c>
      <c r="BG96">
        <v>26.5</v>
      </c>
      <c r="BH96">
        <v>13.1</v>
      </c>
      <c r="BI96">
        <v>59.4</v>
      </c>
      <c r="BJ96">
        <v>19.8</v>
      </c>
      <c r="BK96">
        <v>0.4</v>
      </c>
      <c r="BL96">
        <v>56.2</v>
      </c>
      <c r="BM96">
        <v>7.4</v>
      </c>
      <c r="BN96">
        <v>3.6</v>
      </c>
      <c r="BO96">
        <v>2.62</v>
      </c>
      <c r="BP96">
        <v>0.64</v>
      </c>
      <c r="BQ96">
        <v>0</v>
      </c>
      <c r="BR96">
        <v>475</v>
      </c>
      <c r="BS96">
        <v>681.6</v>
      </c>
      <c r="BT96">
        <v>4308</v>
      </c>
      <c r="BU96">
        <v>3916</v>
      </c>
      <c r="BV96">
        <v>23.77</v>
      </c>
      <c r="BW96">
        <v>14.34</v>
      </c>
      <c r="BX96">
        <v>2.89</v>
      </c>
      <c r="BY96">
        <v>22.6</v>
      </c>
      <c r="BZ96">
        <v>22.7</v>
      </c>
      <c r="CA96">
        <v>1.3</v>
      </c>
      <c r="CB96">
        <v>0.68</v>
      </c>
      <c r="CC96">
        <v>20.6</v>
      </c>
      <c r="CD96">
        <v>1.32</v>
      </c>
      <c r="CE96">
        <v>1.67</v>
      </c>
      <c r="CF96">
        <v>1054.2</v>
      </c>
      <c r="CG96">
        <v>50</v>
      </c>
      <c r="CH96">
        <v>596</v>
      </c>
      <c r="CI96">
        <v>5.81</v>
      </c>
      <c r="CJ96">
        <v>2</v>
      </c>
      <c r="CK96">
        <v>2</v>
      </c>
      <c r="CL96" s="42" t="str">
        <f t="shared" si="15"/>
        <v>1</v>
      </c>
      <c r="CM96" s="4">
        <v>73.333333333333329</v>
      </c>
      <c r="CN96" s="4">
        <v>1.4666666666666666</v>
      </c>
      <c r="CO96">
        <v>9</v>
      </c>
      <c r="CP96" s="42" t="str">
        <f t="shared" si="16"/>
        <v>1</v>
      </c>
      <c r="CQ96" s="4">
        <v>134.33333333333334</v>
      </c>
      <c r="CR96" s="4">
        <v>2.3641975308641974</v>
      </c>
      <c r="CS96" s="43" t="str">
        <f t="shared" si="17"/>
        <v>2</v>
      </c>
      <c r="CT96" s="4">
        <f t="shared" si="18"/>
        <v>207.66666666666669</v>
      </c>
      <c r="CU96" s="4">
        <f t="shared" si="19"/>
        <v>3.8308641975308637</v>
      </c>
      <c r="CV96" s="4">
        <v>3</v>
      </c>
    </row>
    <row r="97" spans="1:100" x14ac:dyDescent="0.3">
      <c r="A97" s="15" t="s">
        <v>224</v>
      </c>
      <c r="B97" s="17">
        <v>0</v>
      </c>
      <c r="C97" s="3">
        <v>45</v>
      </c>
      <c r="D97">
        <v>3</v>
      </c>
      <c r="E97">
        <v>1</v>
      </c>
      <c r="F97">
        <v>1</v>
      </c>
      <c r="G97">
        <v>2</v>
      </c>
      <c r="H97">
        <v>2</v>
      </c>
      <c r="I97">
        <v>0</v>
      </c>
      <c r="J97" s="4">
        <v>52.2</v>
      </c>
      <c r="K97" s="4">
        <f t="shared" si="23"/>
        <v>1.63</v>
      </c>
      <c r="L97">
        <v>163</v>
      </c>
      <c r="M97" s="4">
        <f t="shared" si="21"/>
        <v>6.4206000000000003</v>
      </c>
      <c r="N97" s="4">
        <v>43.4</v>
      </c>
      <c r="O97" s="4">
        <v>12.3</v>
      </c>
      <c r="P97" s="40">
        <v>0</v>
      </c>
      <c r="Q97">
        <v>74.5</v>
      </c>
      <c r="R97" s="37">
        <v>0</v>
      </c>
      <c r="S97">
        <v>88.2</v>
      </c>
      <c r="T97" s="5">
        <f t="shared" si="20"/>
        <v>0.84467120181405897</v>
      </c>
      <c r="U97" s="37">
        <v>0</v>
      </c>
      <c r="V97" s="4">
        <f t="shared" si="12"/>
        <v>19.646956979939031</v>
      </c>
      <c r="W97" s="39">
        <v>0</v>
      </c>
      <c r="X97">
        <v>5</v>
      </c>
      <c r="Y97" s="40">
        <v>0</v>
      </c>
      <c r="Z97">
        <v>5.49</v>
      </c>
      <c r="AA97" s="23">
        <f t="shared" si="13"/>
        <v>1.1199600000000001</v>
      </c>
      <c r="AB97" s="84">
        <v>0</v>
      </c>
      <c r="AC97" s="5">
        <v>4.59</v>
      </c>
      <c r="AD97" s="37">
        <v>0</v>
      </c>
      <c r="AE97">
        <v>3</v>
      </c>
      <c r="AF97" s="5">
        <v>4.83</v>
      </c>
      <c r="AG97" s="37">
        <v>0</v>
      </c>
      <c r="AH97" s="5">
        <v>0.81</v>
      </c>
      <c r="AI97" s="37">
        <v>0</v>
      </c>
      <c r="AJ97" s="5">
        <v>3.31</v>
      </c>
      <c r="AK97" s="37">
        <v>0</v>
      </c>
      <c r="AL97" s="5">
        <v>1.1599999999999999</v>
      </c>
      <c r="AM97" s="37">
        <v>0</v>
      </c>
      <c r="AN97" s="4">
        <f t="shared" si="14"/>
        <v>4.1637931034482758</v>
      </c>
      <c r="AO97" s="37">
        <v>1</v>
      </c>
      <c r="AP97">
        <v>109</v>
      </c>
      <c r="AQ97" s="38">
        <v>0</v>
      </c>
      <c r="AR97">
        <v>75</v>
      </c>
      <c r="AS97" s="37">
        <v>0</v>
      </c>
      <c r="AT97">
        <v>45</v>
      </c>
      <c r="AU97">
        <v>34</v>
      </c>
      <c r="AV97">
        <v>5.9</v>
      </c>
      <c r="AW97" s="37">
        <v>1</v>
      </c>
      <c r="AX97">
        <v>2610</v>
      </c>
      <c r="AY97">
        <v>66.7</v>
      </c>
      <c r="AZ97">
        <v>66.2</v>
      </c>
      <c r="BA97">
        <v>464.2</v>
      </c>
      <c r="BB97">
        <v>10.5</v>
      </c>
      <c r="BC97">
        <v>373.1</v>
      </c>
      <c r="BD97">
        <v>61.1</v>
      </c>
      <c r="BE97">
        <v>50.2</v>
      </c>
      <c r="BF97">
        <v>19</v>
      </c>
      <c r="BG97">
        <v>22.8</v>
      </c>
      <c r="BH97">
        <v>10.199999999999999</v>
      </c>
      <c r="BI97">
        <v>66.7</v>
      </c>
      <c r="BJ97">
        <v>16.600000000000001</v>
      </c>
      <c r="BK97">
        <v>7.2</v>
      </c>
      <c r="BL97">
        <v>48.1</v>
      </c>
      <c r="BM97">
        <v>5.4</v>
      </c>
      <c r="BN97">
        <v>2.7</v>
      </c>
      <c r="BO97">
        <v>2.1800000000000002</v>
      </c>
      <c r="BP97">
        <v>0.09</v>
      </c>
      <c r="BQ97">
        <v>0</v>
      </c>
      <c r="BR97">
        <v>572</v>
      </c>
      <c r="BS97">
        <v>249.7</v>
      </c>
      <c r="BT97">
        <v>4173</v>
      </c>
      <c r="BU97">
        <v>2118</v>
      </c>
      <c r="BV97">
        <v>14.58</v>
      </c>
      <c r="BW97">
        <v>9.1</v>
      </c>
      <c r="BX97">
        <v>2.0299999999999998</v>
      </c>
      <c r="BY97">
        <v>50.5</v>
      </c>
      <c r="BZ97">
        <v>51</v>
      </c>
      <c r="CA97">
        <v>0.7</v>
      </c>
      <c r="CB97">
        <v>0.7</v>
      </c>
      <c r="CC97">
        <v>21.1</v>
      </c>
      <c r="CD97">
        <v>1.19</v>
      </c>
      <c r="CE97">
        <v>0.88</v>
      </c>
      <c r="CF97">
        <v>252.7</v>
      </c>
      <c r="CG97">
        <v>19.5</v>
      </c>
      <c r="CH97">
        <v>455</v>
      </c>
      <c r="CI97">
        <v>0.23</v>
      </c>
      <c r="CJ97">
        <v>1.4</v>
      </c>
      <c r="CK97">
        <v>0</v>
      </c>
      <c r="CL97" s="42" t="str">
        <f t="shared" si="15"/>
        <v>1</v>
      </c>
      <c r="CM97">
        <v>0</v>
      </c>
      <c r="CN97" s="4">
        <v>0</v>
      </c>
      <c r="CO97">
        <v>8</v>
      </c>
      <c r="CP97" s="42" t="str">
        <f t="shared" si="16"/>
        <v>2</v>
      </c>
      <c r="CQ97" s="4">
        <v>155.33333333333334</v>
      </c>
      <c r="CR97" s="4">
        <v>3.4197530864197532</v>
      </c>
      <c r="CS97" s="43" t="str">
        <f t="shared" si="17"/>
        <v>2</v>
      </c>
      <c r="CT97" s="4">
        <f t="shared" si="18"/>
        <v>155.33333333333334</v>
      </c>
      <c r="CU97" s="4">
        <f t="shared" si="19"/>
        <v>3.4197530864197532</v>
      </c>
      <c r="CV97" s="4">
        <v>3</v>
      </c>
    </row>
    <row r="98" spans="1:100" x14ac:dyDescent="0.3">
      <c r="A98" s="15" t="s">
        <v>225</v>
      </c>
      <c r="B98" s="17">
        <v>0</v>
      </c>
      <c r="C98" s="3">
        <v>55</v>
      </c>
      <c r="D98">
        <v>2</v>
      </c>
      <c r="E98">
        <v>1</v>
      </c>
      <c r="F98">
        <v>2</v>
      </c>
      <c r="G98">
        <v>0</v>
      </c>
      <c r="H98">
        <v>1</v>
      </c>
      <c r="I98">
        <v>1</v>
      </c>
      <c r="J98" s="4">
        <v>71.599999999999994</v>
      </c>
      <c r="K98" s="4">
        <f t="shared" si="23"/>
        <v>1.74</v>
      </c>
      <c r="L98">
        <v>174</v>
      </c>
      <c r="M98" s="4">
        <f t="shared" si="21"/>
        <v>13.532399999999997</v>
      </c>
      <c r="N98" s="4">
        <v>55.1</v>
      </c>
      <c r="O98" s="4">
        <v>18.899999999999999</v>
      </c>
      <c r="P98" s="40">
        <v>0</v>
      </c>
      <c r="Q98">
        <v>91.7</v>
      </c>
      <c r="R98" s="37">
        <v>1</v>
      </c>
      <c r="S98">
        <v>94.3</v>
      </c>
      <c r="T98" s="5">
        <f t="shared" si="20"/>
        <v>0.9724284199363733</v>
      </c>
      <c r="U98" s="37">
        <v>1</v>
      </c>
      <c r="V98" s="4">
        <f t="shared" si="12"/>
        <v>23.649094992733517</v>
      </c>
      <c r="W98" s="39">
        <v>1</v>
      </c>
      <c r="X98">
        <v>11</v>
      </c>
      <c r="Y98" s="37">
        <v>1</v>
      </c>
      <c r="Z98">
        <v>9.57</v>
      </c>
      <c r="AA98" s="23">
        <f t="shared" si="13"/>
        <v>2.0628666666666664</v>
      </c>
      <c r="AB98" s="84">
        <v>0</v>
      </c>
      <c r="AC98" s="5">
        <v>4.8499999999999996</v>
      </c>
      <c r="AD98" s="37">
        <v>0</v>
      </c>
      <c r="AE98">
        <v>11.13</v>
      </c>
      <c r="AF98" s="5">
        <v>6.16</v>
      </c>
      <c r="AG98" s="37">
        <v>1</v>
      </c>
      <c r="AH98" s="5">
        <v>1.25</v>
      </c>
      <c r="AI98" s="37">
        <v>0</v>
      </c>
      <c r="AJ98" s="5">
        <v>4</v>
      </c>
      <c r="AK98" s="37">
        <v>1</v>
      </c>
      <c r="AL98" s="5">
        <v>1.6</v>
      </c>
      <c r="AM98" s="37">
        <v>0</v>
      </c>
      <c r="AN98" s="4">
        <f t="shared" si="14"/>
        <v>3.85</v>
      </c>
      <c r="AO98" s="37">
        <v>0</v>
      </c>
      <c r="AP98">
        <v>157</v>
      </c>
      <c r="AQ98" s="37">
        <v>1</v>
      </c>
      <c r="AR98">
        <v>108</v>
      </c>
      <c r="AS98" s="37">
        <v>1</v>
      </c>
      <c r="AT98">
        <v>62</v>
      </c>
      <c r="AU98">
        <v>49</v>
      </c>
      <c r="AV98">
        <v>8.9</v>
      </c>
      <c r="AW98" s="37">
        <v>0</v>
      </c>
      <c r="AX98">
        <v>2058</v>
      </c>
      <c r="AY98">
        <v>53.2</v>
      </c>
      <c r="AZ98">
        <v>46.5</v>
      </c>
      <c r="BA98">
        <v>378.6</v>
      </c>
      <c r="BB98">
        <v>6.7</v>
      </c>
      <c r="BC98">
        <v>281.3</v>
      </c>
      <c r="BD98">
        <v>77.400000000000006</v>
      </c>
      <c r="BE98">
        <v>48</v>
      </c>
      <c r="BF98">
        <v>84.1</v>
      </c>
      <c r="BG98">
        <v>20.3</v>
      </c>
      <c r="BH98">
        <v>10.3</v>
      </c>
      <c r="BI98">
        <v>69</v>
      </c>
      <c r="BJ98">
        <v>14.9</v>
      </c>
      <c r="BK98">
        <v>8.8000000000000007</v>
      </c>
      <c r="BL98">
        <v>34.1</v>
      </c>
      <c r="BM98">
        <v>4.2</v>
      </c>
      <c r="BN98">
        <v>2.4</v>
      </c>
      <c r="BO98">
        <v>1.89</v>
      </c>
      <c r="BP98">
        <v>0.14000000000000001</v>
      </c>
      <c r="BQ98">
        <v>0.05</v>
      </c>
      <c r="BR98">
        <v>463</v>
      </c>
      <c r="BS98">
        <v>207.1</v>
      </c>
      <c r="BT98">
        <v>3742</v>
      </c>
      <c r="BU98">
        <v>2010</v>
      </c>
      <c r="BV98">
        <v>11.33</v>
      </c>
      <c r="BW98">
        <v>7.02</v>
      </c>
      <c r="BX98">
        <v>1.48</v>
      </c>
      <c r="BY98">
        <v>55.5</v>
      </c>
      <c r="BZ98">
        <v>65.900000000000006</v>
      </c>
      <c r="CA98">
        <v>0.71</v>
      </c>
      <c r="CB98">
        <v>0.76</v>
      </c>
      <c r="CC98">
        <v>19.100000000000001</v>
      </c>
      <c r="CD98">
        <v>1.02</v>
      </c>
      <c r="CE98">
        <v>1.57</v>
      </c>
      <c r="CF98">
        <v>200.4</v>
      </c>
      <c r="CG98">
        <v>22.2</v>
      </c>
      <c r="CH98">
        <v>384</v>
      </c>
      <c r="CI98">
        <v>0.85</v>
      </c>
      <c r="CJ98">
        <v>1.2</v>
      </c>
      <c r="CK98">
        <v>2</v>
      </c>
      <c r="CL98" s="42" t="str">
        <f t="shared" si="15"/>
        <v>1</v>
      </c>
      <c r="CM98">
        <v>46</v>
      </c>
      <c r="CN98" s="4">
        <v>0.92</v>
      </c>
      <c r="CO98">
        <v>9</v>
      </c>
      <c r="CP98" s="42" t="str">
        <f t="shared" si="16"/>
        <v>1</v>
      </c>
      <c r="CQ98" s="4">
        <v>144.66666666666666</v>
      </c>
      <c r="CR98" s="4">
        <v>2.7209876543209877</v>
      </c>
      <c r="CS98" s="43" t="str">
        <f t="shared" si="17"/>
        <v>2</v>
      </c>
      <c r="CT98" s="4">
        <f t="shared" si="18"/>
        <v>190.66666666666666</v>
      </c>
      <c r="CU98" s="4">
        <f t="shared" si="19"/>
        <v>3.6409876543209876</v>
      </c>
      <c r="CV98" s="4">
        <v>3</v>
      </c>
    </row>
    <row r="99" spans="1:100" x14ac:dyDescent="0.3">
      <c r="A99" s="15" t="s">
        <v>226</v>
      </c>
      <c r="B99" s="17">
        <v>0</v>
      </c>
      <c r="C99" s="3">
        <v>49</v>
      </c>
      <c r="D99">
        <v>2</v>
      </c>
      <c r="E99">
        <v>2</v>
      </c>
      <c r="F99">
        <v>0</v>
      </c>
      <c r="G99">
        <v>0</v>
      </c>
      <c r="H99">
        <v>1</v>
      </c>
      <c r="I99">
        <v>0</v>
      </c>
      <c r="J99" s="4">
        <v>62.7</v>
      </c>
      <c r="K99" s="4">
        <f t="shared" si="23"/>
        <v>1.704</v>
      </c>
      <c r="L99">
        <v>170.4</v>
      </c>
      <c r="M99" s="4">
        <f t="shared" si="21"/>
        <v>11.536800000000001</v>
      </c>
      <c r="N99" s="4">
        <v>48.5</v>
      </c>
      <c r="O99" s="4">
        <v>18.399999999999999</v>
      </c>
      <c r="P99" s="40">
        <v>0</v>
      </c>
      <c r="Q99">
        <v>82</v>
      </c>
      <c r="R99" s="37">
        <v>0</v>
      </c>
      <c r="S99">
        <v>93</v>
      </c>
      <c r="T99" s="5">
        <f t="shared" si="20"/>
        <v>0.88172043010752688</v>
      </c>
      <c r="U99" s="37">
        <v>0</v>
      </c>
      <c r="V99" s="4">
        <f t="shared" si="12"/>
        <v>21.593764464722611</v>
      </c>
      <c r="W99" s="39">
        <v>0</v>
      </c>
      <c r="X99">
        <v>8</v>
      </c>
      <c r="Y99" s="40">
        <v>0</v>
      </c>
      <c r="Z99">
        <v>9.09</v>
      </c>
      <c r="AA99" s="23">
        <f t="shared" si="13"/>
        <v>2.2502800000000001</v>
      </c>
      <c r="AB99" s="84">
        <v>0</v>
      </c>
      <c r="AC99" s="5">
        <v>5.57</v>
      </c>
      <c r="AD99" s="37">
        <v>1</v>
      </c>
      <c r="AE99">
        <v>13.74</v>
      </c>
      <c r="AF99" s="5">
        <v>7.35</v>
      </c>
      <c r="AG99" s="37">
        <v>1</v>
      </c>
      <c r="AH99" s="5">
        <v>2.2400000000000002</v>
      </c>
      <c r="AI99" s="37">
        <v>1</v>
      </c>
      <c r="AJ99" s="5">
        <v>4.9000000000000004</v>
      </c>
      <c r="AK99" s="37">
        <v>1</v>
      </c>
      <c r="AL99" s="5">
        <v>1.43</v>
      </c>
      <c r="AM99" s="37">
        <v>0</v>
      </c>
      <c r="AN99" s="4">
        <f t="shared" si="14"/>
        <v>5.13986013986014</v>
      </c>
      <c r="AO99" s="37">
        <v>1</v>
      </c>
      <c r="AP99">
        <v>110</v>
      </c>
      <c r="AQ99" s="38">
        <v>0</v>
      </c>
      <c r="AR99">
        <v>78</v>
      </c>
      <c r="AS99" s="37">
        <v>0</v>
      </c>
      <c r="AT99">
        <v>60</v>
      </c>
      <c r="AU99">
        <v>32</v>
      </c>
      <c r="AV99">
        <v>6.6</v>
      </c>
      <c r="AW99" s="37">
        <v>1</v>
      </c>
      <c r="AX99">
        <v>3010</v>
      </c>
      <c r="AY99">
        <v>76.599999999999994</v>
      </c>
      <c r="AZ99">
        <v>58</v>
      </c>
      <c r="BA99">
        <v>579.4</v>
      </c>
      <c r="BB99">
        <v>8.6</v>
      </c>
      <c r="BC99">
        <v>463.5</v>
      </c>
      <c r="BD99">
        <v>47.4</v>
      </c>
      <c r="BE99">
        <v>31.5</v>
      </c>
      <c r="BF99">
        <v>173.9</v>
      </c>
      <c r="BG99">
        <v>17.399999999999999</v>
      </c>
      <c r="BH99">
        <v>10.199999999999999</v>
      </c>
      <c r="BI99">
        <v>72.2</v>
      </c>
      <c r="BJ99">
        <v>11.5</v>
      </c>
      <c r="BK99">
        <v>3.9</v>
      </c>
      <c r="BL99">
        <v>38.5</v>
      </c>
      <c r="BM99">
        <v>8.1999999999999993</v>
      </c>
      <c r="BN99">
        <v>2.2000000000000002</v>
      </c>
      <c r="BO99">
        <v>1.91</v>
      </c>
      <c r="BP99">
        <v>0.14000000000000001</v>
      </c>
      <c r="BQ99">
        <v>0.23</v>
      </c>
      <c r="BR99">
        <v>471</v>
      </c>
      <c r="BS99">
        <v>282.10000000000002</v>
      </c>
      <c r="BT99">
        <v>2712</v>
      </c>
      <c r="BU99">
        <v>2291</v>
      </c>
      <c r="BV99">
        <v>12.97</v>
      </c>
      <c r="BW99">
        <v>10.92</v>
      </c>
      <c r="BX99">
        <v>1.78</v>
      </c>
      <c r="BY99">
        <v>12.4</v>
      </c>
      <c r="BZ99">
        <v>46.3</v>
      </c>
      <c r="CA99">
        <v>0.76</v>
      </c>
      <c r="CB99">
        <v>0.89</v>
      </c>
      <c r="CC99">
        <v>22.2</v>
      </c>
      <c r="CD99">
        <v>0.63</v>
      </c>
      <c r="CE99">
        <v>0.98</v>
      </c>
      <c r="CF99">
        <v>404.5</v>
      </c>
      <c r="CG99">
        <v>20.2</v>
      </c>
      <c r="CH99">
        <v>268</v>
      </c>
      <c r="CI99">
        <v>0.61</v>
      </c>
      <c r="CJ99">
        <v>2.4</v>
      </c>
      <c r="CK99" s="9">
        <v>1</v>
      </c>
      <c r="CL99" s="42" t="str">
        <f t="shared" si="15"/>
        <v>2</v>
      </c>
      <c r="CM99" s="4">
        <v>125.33333333333333</v>
      </c>
      <c r="CN99" s="4">
        <v>2.5066666666666664</v>
      </c>
      <c r="CO99" s="9">
        <v>6</v>
      </c>
      <c r="CP99" s="42" t="str">
        <f t="shared" si="16"/>
        <v>1</v>
      </c>
      <c r="CQ99" s="4">
        <v>99.666666666666671</v>
      </c>
      <c r="CR99" s="4">
        <v>1.4074074074074074</v>
      </c>
      <c r="CS99" s="43" t="str">
        <f t="shared" si="17"/>
        <v>2</v>
      </c>
      <c r="CT99" s="4">
        <f t="shared" si="18"/>
        <v>225</v>
      </c>
      <c r="CU99" s="4">
        <f t="shared" si="19"/>
        <v>3.9140740740740738</v>
      </c>
      <c r="CV99" s="4">
        <v>3</v>
      </c>
    </row>
    <row r="100" spans="1:100" x14ac:dyDescent="0.3">
      <c r="A100" s="15" t="s">
        <v>227</v>
      </c>
      <c r="B100" s="17">
        <v>0</v>
      </c>
      <c r="C100" s="3">
        <v>45</v>
      </c>
      <c r="D100">
        <v>3</v>
      </c>
      <c r="E100">
        <v>1</v>
      </c>
      <c r="F100">
        <v>2</v>
      </c>
      <c r="G100">
        <v>0</v>
      </c>
      <c r="H100">
        <v>2</v>
      </c>
      <c r="I100">
        <v>0</v>
      </c>
      <c r="J100" s="4">
        <v>69.5</v>
      </c>
      <c r="K100" s="4">
        <f t="shared" si="23"/>
        <v>1.75</v>
      </c>
      <c r="L100">
        <v>175</v>
      </c>
      <c r="M100" s="4">
        <f t="shared" si="21"/>
        <v>15.637499999999999</v>
      </c>
      <c r="N100" s="4">
        <v>51.1</v>
      </c>
      <c r="O100" s="4">
        <v>22.5</v>
      </c>
      <c r="P100" s="40">
        <v>0</v>
      </c>
      <c r="Q100">
        <v>92.3</v>
      </c>
      <c r="R100" s="37">
        <v>1</v>
      </c>
      <c r="S100">
        <v>97.6</v>
      </c>
      <c r="T100" s="5">
        <f t="shared" si="20"/>
        <v>0.94569672131147542</v>
      </c>
      <c r="U100" s="37">
        <v>1</v>
      </c>
      <c r="V100" s="4">
        <f t="shared" si="12"/>
        <v>22.693877551020407</v>
      </c>
      <c r="W100" s="39">
        <v>0</v>
      </c>
      <c r="X100">
        <v>10</v>
      </c>
      <c r="Y100" s="37">
        <v>1</v>
      </c>
      <c r="AA100" s="23"/>
      <c r="AB100" s="84"/>
      <c r="AC100" s="5">
        <v>14.33</v>
      </c>
      <c r="AD100" s="37">
        <v>1</v>
      </c>
      <c r="AE100">
        <v>8.25</v>
      </c>
      <c r="AF100" s="5">
        <v>5.12</v>
      </c>
      <c r="AG100" s="37">
        <v>1</v>
      </c>
      <c r="AH100" s="5">
        <v>0.8</v>
      </c>
      <c r="AI100" s="37">
        <v>0</v>
      </c>
      <c r="AJ100" s="5">
        <v>3.29</v>
      </c>
      <c r="AK100" s="37">
        <v>0</v>
      </c>
      <c r="AL100" s="5">
        <v>1.46</v>
      </c>
      <c r="AM100" s="37">
        <v>0</v>
      </c>
      <c r="AN100" s="4">
        <f t="shared" si="14"/>
        <v>3.5068493150684934</v>
      </c>
      <c r="AO100" s="37">
        <v>0</v>
      </c>
      <c r="AP100">
        <v>147</v>
      </c>
      <c r="AQ100" s="37">
        <v>1</v>
      </c>
      <c r="AR100">
        <v>103</v>
      </c>
      <c r="AS100" s="37">
        <v>1</v>
      </c>
      <c r="AT100">
        <v>86</v>
      </c>
      <c r="AU100">
        <v>44</v>
      </c>
      <c r="AV100">
        <v>7.4</v>
      </c>
      <c r="AW100" s="37">
        <v>0</v>
      </c>
      <c r="AX100">
        <v>2072</v>
      </c>
      <c r="AY100">
        <v>50</v>
      </c>
      <c r="AZ100">
        <v>48.7</v>
      </c>
      <c r="BA100">
        <v>379.5</v>
      </c>
      <c r="BB100">
        <v>4.5999999999999996</v>
      </c>
      <c r="BC100">
        <v>321.8</v>
      </c>
      <c r="BD100">
        <v>22.8</v>
      </c>
      <c r="BE100">
        <v>13.9</v>
      </c>
      <c r="BF100">
        <v>33.299999999999997</v>
      </c>
      <c r="BG100">
        <v>21.1</v>
      </c>
      <c r="BH100">
        <v>9.6</v>
      </c>
      <c r="BI100">
        <v>68.7</v>
      </c>
      <c r="BJ100">
        <v>16.7</v>
      </c>
      <c r="BK100">
        <v>2.5</v>
      </c>
      <c r="BL100">
        <v>38.5</v>
      </c>
      <c r="BM100">
        <v>3.2</v>
      </c>
      <c r="BN100">
        <v>1.5</v>
      </c>
      <c r="BO100">
        <v>0.9</v>
      </c>
      <c r="BP100">
        <v>0.2</v>
      </c>
      <c r="BQ100">
        <v>0.04</v>
      </c>
      <c r="BR100">
        <v>351</v>
      </c>
      <c r="BS100">
        <v>269.39999999999998</v>
      </c>
      <c r="BT100">
        <v>3857</v>
      </c>
      <c r="BU100">
        <v>2070</v>
      </c>
      <c r="BV100">
        <v>12.92</v>
      </c>
      <c r="BW100">
        <v>8.73</v>
      </c>
      <c r="BX100">
        <v>1.49</v>
      </c>
      <c r="BY100">
        <v>19.399999999999999</v>
      </c>
      <c r="BZ100">
        <v>22</v>
      </c>
      <c r="CA100">
        <v>0.48</v>
      </c>
      <c r="CB100">
        <v>0.44</v>
      </c>
      <c r="CC100">
        <v>15.7</v>
      </c>
      <c r="CD100">
        <v>0.6</v>
      </c>
      <c r="CE100">
        <v>1.2</v>
      </c>
      <c r="CF100">
        <v>334.2</v>
      </c>
      <c r="CG100">
        <v>26</v>
      </c>
      <c r="CH100">
        <v>168</v>
      </c>
      <c r="CI100">
        <v>2.4</v>
      </c>
      <c r="CJ100">
        <v>0.9</v>
      </c>
      <c r="CK100">
        <v>2</v>
      </c>
      <c r="CL100" s="42" t="str">
        <f t="shared" si="15"/>
        <v>1</v>
      </c>
      <c r="CM100">
        <v>40</v>
      </c>
      <c r="CN100" s="4">
        <v>0.8</v>
      </c>
      <c r="CO100">
        <v>6</v>
      </c>
      <c r="CP100" s="42" t="str">
        <f t="shared" si="16"/>
        <v>1</v>
      </c>
      <c r="CQ100" s="4">
        <v>137.33333333333334</v>
      </c>
      <c r="CR100" s="4">
        <v>2.0864197530864197</v>
      </c>
      <c r="CS100" s="43" t="str">
        <f t="shared" si="17"/>
        <v>2</v>
      </c>
      <c r="CT100" s="4">
        <f t="shared" si="18"/>
        <v>177.33333333333334</v>
      </c>
      <c r="CU100" s="4">
        <f t="shared" si="19"/>
        <v>2.88641975308642</v>
      </c>
      <c r="CV100" s="4">
        <v>2</v>
      </c>
    </row>
    <row r="101" spans="1:100" x14ac:dyDescent="0.3">
      <c r="A101" s="15" t="s">
        <v>228</v>
      </c>
      <c r="B101" s="17">
        <v>0</v>
      </c>
      <c r="C101" s="3">
        <v>43</v>
      </c>
      <c r="D101">
        <v>2</v>
      </c>
      <c r="E101">
        <v>1</v>
      </c>
      <c r="F101">
        <v>2</v>
      </c>
      <c r="G101">
        <v>0</v>
      </c>
      <c r="H101">
        <v>2</v>
      </c>
      <c r="I101">
        <v>1</v>
      </c>
      <c r="J101" s="4">
        <v>74.400000000000006</v>
      </c>
      <c r="K101" s="4">
        <f t="shared" si="23"/>
        <v>1.75</v>
      </c>
      <c r="L101">
        <v>175</v>
      </c>
      <c r="M101" s="4">
        <f t="shared" si="21"/>
        <v>15.103200000000001</v>
      </c>
      <c r="N101" s="4">
        <v>56.2</v>
      </c>
      <c r="O101" s="4">
        <v>20.3</v>
      </c>
      <c r="P101" s="40">
        <v>0</v>
      </c>
      <c r="Q101">
        <v>88.5</v>
      </c>
      <c r="R101" s="37">
        <v>0</v>
      </c>
      <c r="S101">
        <v>97.5</v>
      </c>
      <c r="T101" s="5">
        <f t="shared" si="20"/>
        <v>0.90769230769230769</v>
      </c>
      <c r="U101" s="37">
        <v>1</v>
      </c>
      <c r="V101" s="4">
        <f t="shared" si="12"/>
        <v>24.293877551020412</v>
      </c>
      <c r="W101" s="39">
        <v>1</v>
      </c>
      <c r="X101">
        <v>10</v>
      </c>
      <c r="Y101" s="37">
        <v>1</v>
      </c>
      <c r="Z101">
        <v>5.71</v>
      </c>
      <c r="AA101" s="23">
        <f t="shared" si="13"/>
        <v>1.1546888888888889</v>
      </c>
      <c r="AB101" s="84">
        <v>0</v>
      </c>
      <c r="AC101" s="5">
        <v>4.55</v>
      </c>
      <c r="AD101" s="37">
        <v>0</v>
      </c>
      <c r="AE101">
        <v>28.18</v>
      </c>
      <c r="AF101" s="5">
        <v>5.0599999999999996</v>
      </c>
      <c r="AG101" s="37">
        <v>1</v>
      </c>
      <c r="AH101" s="5">
        <v>1.51</v>
      </c>
      <c r="AI101" s="37">
        <v>0</v>
      </c>
      <c r="AJ101" s="5">
        <v>3.3</v>
      </c>
      <c r="AK101" s="37">
        <v>0</v>
      </c>
      <c r="AL101" s="5">
        <v>1.1100000000000001</v>
      </c>
      <c r="AM101" s="37">
        <v>0</v>
      </c>
      <c r="AN101" s="4">
        <f t="shared" si="14"/>
        <v>4.5585585585585582</v>
      </c>
      <c r="AO101" s="37">
        <v>1</v>
      </c>
      <c r="AP101">
        <v>133</v>
      </c>
      <c r="AQ101" s="37">
        <v>1</v>
      </c>
      <c r="AR101">
        <v>95</v>
      </c>
      <c r="AS101" s="37">
        <v>1</v>
      </c>
      <c r="AT101">
        <v>64</v>
      </c>
      <c r="AU101">
        <v>38</v>
      </c>
      <c r="AV101">
        <v>6.7</v>
      </c>
      <c r="AW101" s="37">
        <v>1</v>
      </c>
      <c r="AX101">
        <v>3172</v>
      </c>
      <c r="AY101">
        <v>66.900000000000006</v>
      </c>
      <c r="AZ101">
        <v>97.3</v>
      </c>
      <c r="BA101">
        <v>521.70000000000005</v>
      </c>
      <c r="BB101">
        <v>9.4</v>
      </c>
      <c r="BC101">
        <v>418.2</v>
      </c>
      <c r="BD101">
        <v>52.8</v>
      </c>
      <c r="BE101">
        <v>41.2</v>
      </c>
      <c r="BF101">
        <v>237.1</v>
      </c>
      <c r="BG101">
        <v>27.6</v>
      </c>
      <c r="BH101">
        <v>8.4</v>
      </c>
      <c r="BI101">
        <v>61.7</v>
      </c>
      <c r="BJ101">
        <v>20.9</v>
      </c>
      <c r="BK101">
        <v>4.9000000000000004</v>
      </c>
      <c r="BL101">
        <v>73.7</v>
      </c>
      <c r="BM101">
        <v>9.6999999999999993</v>
      </c>
      <c r="BN101">
        <v>3.8</v>
      </c>
      <c r="BO101">
        <v>3.17</v>
      </c>
      <c r="BP101">
        <v>0.27</v>
      </c>
      <c r="BQ101">
        <v>0</v>
      </c>
      <c r="BR101">
        <v>308</v>
      </c>
      <c r="BS101">
        <v>252.5</v>
      </c>
      <c r="BT101">
        <v>5112</v>
      </c>
      <c r="BU101">
        <v>2223</v>
      </c>
      <c r="BV101">
        <v>15.19</v>
      </c>
      <c r="BW101">
        <v>10.25</v>
      </c>
      <c r="BX101">
        <v>2.15</v>
      </c>
      <c r="BY101">
        <v>36.1</v>
      </c>
      <c r="BZ101">
        <v>58.9</v>
      </c>
      <c r="CA101">
        <v>1.1399999999999999</v>
      </c>
      <c r="CB101">
        <v>0.75</v>
      </c>
      <c r="CC101">
        <v>18.7</v>
      </c>
      <c r="CD101">
        <v>0.89</v>
      </c>
      <c r="CE101">
        <v>1.56</v>
      </c>
      <c r="CF101">
        <v>437</v>
      </c>
      <c r="CG101">
        <v>20.100000000000001</v>
      </c>
      <c r="CH101">
        <v>478</v>
      </c>
      <c r="CI101">
        <v>1.44</v>
      </c>
      <c r="CJ101">
        <v>2.2000000000000002</v>
      </c>
      <c r="CK101">
        <v>2</v>
      </c>
      <c r="CL101" s="42" t="str">
        <f t="shared" si="15"/>
        <v>1</v>
      </c>
      <c r="CM101" s="4">
        <v>51.333333333333336</v>
      </c>
      <c r="CN101" s="4">
        <v>1.0266666666666666</v>
      </c>
      <c r="CO101">
        <v>2</v>
      </c>
      <c r="CP101" s="42" t="str">
        <f t="shared" si="16"/>
        <v>1</v>
      </c>
      <c r="CQ101" s="4">
        <v>79.333333333333329</v>
      </c>
      <c r="CR101" s="4">
        <v>0.35802469135802467</v>
      </c>
      <c r="CS101" s="43" t="str">
        <f t="shared" si="17"/>
        <v>1</v>
      </c>
      <c r="CT101" s="4">
        <f t="shared" si="18"/>
        <v>130.66666666666666</v>
      </c>
      <c r="CU101" s="4">
        <f t="shared" si="19"/>
        <v>1.3846913580246913</v>
      </c>
      <c r="CV101" s="4">
        <v>1</v>
      </c>
    </row>
    <row r="102" spans="1:100" x14ac:dyDescent="0.3">
      <c r="A102" s="15" t="s">
        <v>229</v>
      </c>
      <c r="B102" s="17">
        <v>0</v>
      </c>
      <c r="C102" s="3">
        <v>36</v>
      </c>
      <c r="D102">
        <v>2</v>
      </c>
      <c r="E102">
        <v>3</v>
      </c>
      <c r="F102">
        <v>2</v>
      </c>
      <c r="G102">
        <v>0</v>
      </c>
      <c r="H102">
        <v>0</v>
      </c>
      <c r="I102">
        <v>1</v>
      </c>
      <c r="J102" s="4">
        <v>66.900000000000006</v>
      </c>
      <c r="K102" s="4">
        <f t="shared" si="23"/>
        <v>1.68</v>
      </c>
      <c r="L102">
        <v>168</v>
      </c>
      <c r="M102" s="4">
        <f t="shared" si="21"/>
        <v>14.1828</v>
      </c>
      <c r="N102" s="4">
        <v>50</v>
      </c>
      <c r="O102" s="4">
        <v>21.2</v>
      </c>
      <c r="P102" s="40">
        <v>0</v>
      </c>
      <c r="Q102">
        <v>84.8</v>
      </c>
      <c r="R102" s="37">
        <v>0</v>
      </c>
      <c r="S102">
        <v>94.8</v>
      </c>
      <c r="T102" s="5">
        <f t="shared" si="20"/>
        <v>0.89451476793248941</v>
      </c>
      <c r="U102" s="37">
        <v>0</v>
      </c>
      <c r="V102" s="4">
        <f t="shared" si="12"/>
        <v>23.703231292517014</v>
      </c>
      <c r="W102" s="39">
        <v>1</v>
      </c>
      <c r="X102">
        <v>9</v>
      </c>
      <c r="Y102" s="40">
        <v>0</v>
      </c>
      <c r="AA102" s="23"/>
      <c r="AB102" s="84"/>
      <c r="AC102" s="5">
        <v>4.49</v>
      </c>
      <c r="AD102" s="37">
        <v>0</v>
      </c>
      <c r="AE102">
        <v>38.08</v>
      </c>
      <c r="AF102" s="5">
        <v>7.07</v>
      </c>
      <c r="AG102" s="37">
        <v>1</v>
      </c>
      <c r="AH102" s="5">
        <v>4.26</v>
      </c>
      <c r="AI102" s="37">
        <v>1</v>
      </c>
      <c r="AJ102" s="5">
        <v>4.2</v>
      </c>
      <c r="AK102" s="37">
        <v>1</v>
      </c>
      <c r="AL102" s="5">
        <v>0.92</v>
      </c>
      <c r="AM102" s="37">
        <v>1</v>
      </c>
      <c r="AN102" s="4">
        <f t="shared" si="14"/>
        <v>7.6847826086956523</v>
      </c>
      <c r="AO102" s="37">
        <v>1</v>
      </c>
      <c r="AP102">
        <v>113</v>
      </c>
      <c r="AQ102" s="38">
        <v>0</v>
      </c>
      <c r="AR102">
        <v>88</v>
      </c>
      <c r="AS102" s="37">
        <v>1</v>
      </c>
      <c r="AT102">
        <v>83</v>
      </c>
      <c r="AU102">
        <v>25</v>
      </c>
      <c r="AV102">
        <v>5.5</v>
      </c>
      <c r="AW102" s="37">
        <v>1</v>
      </c>
      <c r="AX102">
        <v>2175</v>
      </c>
      <c r="AY102">
        <v>77.3</v>
      </c>
      <c r="AZ102">
        <v>61.9</v>
      </c>
      <c r="BA102">
        <v>347.6</v>
      </c>
      <c r="BB102">
        <v>7.8</v>
      </c>
      <c r="BC102">
        <v>279.89999999999998</v>
      </c>
      <c r="BD102">
        <v>51.3</v>
      </c>
      <c r="BE102">
        <v>42.4</v>
      </c>
      <c r="BF102">
        <v>295.3</v>
      </c>
      <c r="BG102">
        <v>25.6</v>
      </c>
      <c r="BH102">
        <v>14.2</v>
      </c>
      <c r="BI102">
        <v>59.9</v>
      </c>
      <c r="BJ102">
        <v>15.5</v>
      </c>
      <c r="BK102">
        <v>7.3</v>
      </c>
      <c r="BL102">
        <v>37.4</v>
      </c>
      <c r="BM102">
        <v>12.3</v>
      </c>
      <c r="BN102">
        <v>5.8</v>
      </c>
      <c r="BO102">
        <v>5.13</v>
      </c>
      <c r="BP102">
        <v>0.53</v>
      </c>
      <c r="BQ102">
        <v>0.18</v>
      </c>
      <c r="BR102">
        <v>338</v>
      </c>
      <c r="BS102">
        <v>326.3</v>
      </c>
      <c r="BT102">
        <v>3956</v>
      </c>
      <c r="BU102">
        <v>3720</v>
      </c>
      <c r="BV102">
        <v>12.9</v>
      </c>
      <c r="BW102">
        <v>9.98</v>
      </c>
      <c r="BX102">
        <v>1.7</v>
      </c>
      <c r="BY102">
        <v>47.9</v>
      </c>
      <c r="BZ102">
        <v>84.1</v>
      </c>
      <c r="CA102">
        <v>1.54</v>
      </c>
      <c r="CB102">
        <v>0.8</v>
      </c>
      <c r="CC102">
        <v>38.200000000000003</v>
      </c>
      <c r="CD102">
        <v>1.4</v>
      </c>
      <c r="CE102">
        <v>2.2000000000000002</v>
      </c>
      <c r="CF102">
        <v>196.8</v>
      </c>
      <c r="CG102">
        <v>37.9</v>
      </c>
      <c r="CH102">
        <v>578</v>
      </c>
      <c r="CI102">
        <v>1.79</v>
      </c>
      <c r="CJ102">
        <v>1.8</v>
      </c>
      <c r="CK102">
        <v>1</v>
      </c>
      <c r="CL102" s="42" t="str">
        <f t="shared" si="15"/>
        <v>1</v>
      </c>
      <c r="CM102" s="4">
        <v>27.333333333333332</v>
      </c>
      <c r="CN102" s="4">
        <v>0.54666666666666663</v>
      </c>
      <c r="CO102">
        <v>10</v>
      </c>
      <c r="CP102" s="42" t="str">
        <f t="shared" si="16"/>
        <v>1</v>
      </c>
      <c r="CQ102" s="4">
        <v>117.5</v>
      </c>
      <c r="CR102" s="4">
        <v>1.6882716049382718</v>
      </c>
      <c r="CS102" s="43" t="str">
        <f t="shared" si="17"/>
        <v>1</v>
      </c>
      <c r="CT102" s="4">
        <f t="shared" si="18"/>
        <v>144.83333333333334</v>
      </c>
      <c r="CU102" s="4">
        <f t="shared" si="19"/>
        <v>2.2349382716049382</v>
      </c>
      <c r="CV102" s="4">
        <v>2</v>
      </c>
    </row>
    <row r="103" spans="1:100" x14ac:dyDescent="0.3">
      <c r="A103" s="15" t="s">
        <v>230</v>
      </c>
      <c r="B103" s="17">
        <v>0</v>
      </c>
      <c r="C103" s="3">
        <v>34</v>
      </c>
      <c r="D103">
        <v>1</v>
      </c>
      <c r="E103">
        <v>3</v>
      </c>
      <c r="F103">
        <v>2</v>
      </c>
      <c r="G103">
        <v>0</v>
      </c>
      <c r="H103">
        <v>0</v>
      </c>
      <c r="I103">
        <v>1</v>
      </c>
      <c r="J103" s="4">
        <v>55.1</v>
      </c>
      <c r="K103" s="4">
        <f t="shared" si="23"/>
        <v>1.63</v>
      </c>
      <c r="L103">
        <v>163</v>
      </c>
      <c r="M103" s="4">
        <f t="shared" si="21"/>
        <v>12.232200000000001</v>
      </c>
      <c r="N103" s="4">
        <v>40.6</v>
      </c>
      <c r="O103" s="4">
        <v>22.2</v>
      </c>
      <c r="P103" s="40">
        <v>0</v>
      </c>
      <c r="Q103">
        <v>76.900000000000006</v>
      </c>
      <c r="R103" s="37">
        <v>0</v>
      </c>
      <c r="S103">
        <v>85.5</v>
      </c>
      <c r="T103" s="5">
        <f t="shared" si="20"/>
        <v>0.89941520467836267</v>
      </c>
      <c r="U103" s="37">
        <v>0</v>
      </c>
      <c r="V103" s="4">
        <f t="shared" si="12"/>
        <v>20.738454589935643</v>
      </c>
      <c r="W103" s="39">
        <v>0</v>
      </c>
      <c r="X103">
        <v>6</v>
      </c>
      <c r="Y103" s="40">
        <v>0</v>
      </c>
      <c r="Z103">
        <v>5.84</v>
      </c>
      <c r="AA103" s="23">
        <f t="shared" si="13"/>
        <v>1.2432711111111112</v>
      </c>
      <c r="AB103" s="84">
        <v>0</v>
      </c>
      <c r="AC103" s="5">
        <v>4.79</v>
      </c>
      <c r="AD103" s="37">
        <v>0</v>
      </c>
      <c r="AE103">
        <v>15.13</v>
      </c>
      <c r="AF103" s="5">
        <v>6.7</v>
      </c>
      <c r="AG103" s="37">
        <v>1</v>
      </c>
      <c r="AH103" s="5">
        <v>1.1599999999999999</v>
      </c>
      <c r="AI103" s="37">
        <v>0</v>
      </c>
      <c r="AJ103" s="5">
        <v>5.3</v>
      </c>
      <c r="AK103" s="37">
        <v>1</v>
      </c>
      <c r="AL103" s="5">
        <v>0.91</v>
      </c>
      <c r="AM103" s="37">
        <v>1</v>
      </c>
      <c r="AN103" s="4">
        <f t="shared" si="14"/>
        <v>7.3626373626373622</v>
      </c>
      <c r="AO103" s="37">
        <v>1</v>
      </c>
      <c r="AP103">
        <v>119</v>
      </c>
      <c r="AQ103" s="38">
        <v>0</v>
      </c>
      <c r="AR103">
        <v>67</v>
      </c>
      <c r="AS103" s="37">
        <v>0</v>
      </c>
      <c r="AT103">
        <v>65</v>
      </c>
      <c r="AU103">
        <v>53</v>
      </c>
      <c r="AV103">
        <v>5.6</v>
      </c>
      <c r="AW103" s="37">
        <v>1</v>
      </c>
      <c r="AX103">
        <v>2605</v>
      </c>
      <c r="AY103">
        <v>67.3</v>
      </c>
      <c r="AZ103">
        <v>53.6</v>
      </c>
      <c r="BA103">
        <v>492.4</v>
      </c>
      <c r="BB103">
        <v>11.5</v>
      </c>
      <c r="BC103">
        <v>454.1</v>
      </c>
      <c r="BD103">
        <v>25.5</v>
      </c>
      <c r="BE103">
        <v>8.5</v>
      </c>
      <c r="BF103">
        <v>196.1</v>
      </c>
      <c r="BG103">
        <v>18.5</v>
      </c>
      <c r="BH103">
        <v>10.3</v>
      </c>
      <c r="BI103">
        <v>70.900000000000006</v>
      </c>
      <c r="BJ103">
        <v>13.4</v>
      </c>
      <c r="BK103">
        <v>1.2</v>
      </c>
      <c r="BL103">
        <v>38.700000000000003</v>
      </c>
      <c r="BM103">
        <v>7</v>
      </c>
      <c r="BN103">
        <v>3.2</v>
      </c>
      <c r="BO103">
        <v>2.73</v>
      </c>
      <c r="BP103">
        <v>0.13</v>
      </c>
      <c r="BQ103">
        <v>0</v>
      </c>
      <c r="BR103">
        <v>271</v>
      </c>
      <c r="BS103">
        <v>233.2</v>
      </c>
      <c r="BT103">
        <v>4089</v>
      </c>
      <c r="BU103">
        <v>2259</v>
      </c>
      <c r="BV103">
        <v>14.82</v>
      </c>
      <c r="BW103">
        <v>11.34</v>
      </c>
      <c r="BX103">
        <v>2.1</v>
      </c>
      <c r="BY103">
        <v>66.900000000000006</v>
      </c>
      <c r="BZ103">
        <v>100.9</v>
      </c>
      <c r="CA103">
        <v>0.68</v>
      </c>
      <c r="CB103">
        <v>0.65</v>
      </c>
      <c r="CC103">
        <v>25.4</v>
      </c>
      <c r="CD103">
        <v>1.44</v>
      </c>
      <c r="CE103">
        <v>1.39</v>
      </c>
      <c r="CF103">
        <v>243.2</v>
      </c>
      <c r="CG103">
        <v>45.5</v>
      </c>
      <c r="CH103">
        <v>660</v>
      </c>
      <c r="CI103">
        <v>6.71</v>
      </c>
      <c r="CJ103">
        <v>4</v>
      </c>
      <c r="CK103">
        <v>2</v>
      </c>
      <c r="CL103" s="42" t="str">
        <f t="shared" si="15"/>
        <v>1</v>
      </c>
      <c r="CM103">
        <v>84</v>
      </c>
      <c r="CN103" s="4">
        <v>1.68</v>
      </c>
      <c r="CO103">
        <v>7</v>
      </c>
      <c r="CP103" s="42" t="str">
        <f t="shared" si="16"/>
        <v>2</v>
      </c>
      <c r="CQ103" s="4">
        <v>205.66666666666666</v>
      </c>
      <c r="CR103" s="4">
        <v>2.1271604938271604</v>
      </c>
      <c r="CS103" s="43" t="str">
        <f t="shared" si="17"/>
        <v>2</v>
      </c>
      <c r="CT103" s="4">
        <f t="shared" si="18"/>
        <v>289.66666666666663</v>
      </c>
      <c r="CU103" s="4">
        <f t="shared" si="19"/>
        <v>3.8071604938271602</v>
      </c>
      <c r="CV103" s="4">
        <v>3</v>
      </c>
    </row>
    <row r="104" spans="1:100" x14ac:dyDescent="0.3">
      <c r="A104" s="15" t="s">
        <v>231</v>
      </c>
      <c r="B104" s="17">
        <v>0</v>
      </c>
      <c r="C104" s="3">
        <v>47</v>
      </c>
      <c r="D104">
        <v>2</v>
      </c>
      <c r="E104">
        <v>2</v>
      </c>
      <c r="F104">
        <v>2</v>
      </c>
      <c r="G104">
        <v>0</v>
      </c>
      <c r="H104">
        <v>1</v>
      </c>
      <c r="I104">
        <v>0</v>
      </c>
      <c r="J104" s="4">
        <v>74.2</v>
      </c>
      <c r="K104" s="4">
        <f t="shared" si="23"/>
        <v>1.7</v>
      </c>
      <c r="L104">
        <v>170</v>
      </c>
      <c r="M104" s="4">
        <f t="shared" si="21"/>
        <v>18.995200000000001</v>
      </c>
      <c r="N104" s="4">
        <v>52.3</v>
      </c>
      <c r="O104" s="4">
        <v>25.6</v>
      </c>
      <c r="P104" s="40">
        <v>1</v>
      </c>
      <c r="Q104">
        <v>93</v>
      </c>
      <c r="R104" s="37">
        <v>1</v>
      </c>
      <c r="S104">
        <v>101</v>
      </c>
      <c r="T104" s="5">
        <f t="shared" si="20"/>
        <v>0.92079207920792083</v>
      </c>
      <c r="U104" s="37">
        <v>1</v>
      </c>
      <c r="V104" s="4">
        <f t="shared" si="12"/>
        <v>25.674740484429069</v>
      </c>
      <c r="W104" s="39">
        <v>1</v>
      </c>
      <c r="X104">
        <v>13</v>
      </c>
      <c r="Y104" s="37">
        <v>1</v>
      </c>
      <c r="Z104">
        <v>9.4600000000000009</v>
      </c>
      <c r="AA104" s="23">
        <f t="shared" si="13"/>
        <v>1.971884444444445</v>
      </c>
      <c r="AB104" s="84">
        <v>0</v>
      </c>
      <c r="AC104" s="5">
        <v>4.6900000000000004</v>
      </c>
      <c r="AD104" s="37">
        <v>0</v>
      </c>
      <c r="AE104">
        <v>15.64</v>
      </c>
      <c r="AF104" s="5">
        <v>6.54</v>
      </c>
      <c r="AG104" s="37">
        <v>1</v>
      </c>
      <c r="AH104" s="5">
        <v>1.59</v>
      </c>
      <c r="AI104" s="37">
        <v>0</v>
      </c>
      <c r="AJ104" s="5">
        <v>4.6399999999999997</v>
      </c>
      <c r="AK104" s="37">
        <v>1</v>
      </c>
      <c r="AL104" s="5">
        <v>1.19</v>
      </c>
      <c r="AM104" s="37">
        <v>0</v>
      </c>
      <c r="AN104" s="4">
        <f t="shared" si="14"/>
        <v>5.4957983193277311</v>
      </c>
      <c r="AO104" s="37">
        <v>1</v>
      </c>
      <c r="AP104">
        <v>167</v>
      </c>
      <c r="AQ104" s="37">
        <v>1</v>
      </c>
      <c r="AR104">
        <v>83</v>
      </c>
      <c r="AS104" s="37">
        <v>0</v>
      </c>
      <c r="AT104">
        <v>73</v>
      </c>
      <c r="AU104">
        <v>84</v>
      </c>
      <c r="AV104">
        <v>8.1999999999999993</v>
      </c>
      <c r="AW104" s="37">
        <v>0</v>
      </c>
      <c r="AX104">
        <v>1997</v>
      </c>
      <c r="AY104">
        <v>54</v>
      </c>
      <c r="AZ104">
        <v>72.400000000000006</v>
      </c>
      <c r="BA104">
        <v>300.39999999999998</v>
      </c>
      <c r="BB104">
        <v>13.3</v>
      </c>
      <c r="BC104">
        <v>229.6</v>
      </c>
      <c r="BD104">
        <v>49.1</v>
      </c>
      <c r="BE104">
        <v>27.4</v>
      </c>
      <c r="BF104">
        <v>176.2</v>
      </c>
      <c r="BG104">
        <v>32.6</v>
      </c>
      <c r="BH104">
        <v>10.8</v>
      </c>
      <c r="BI104">
        <v>56.4</v>
      </c>
      <c r="BJ104">
        <v>20.8</v>
      </c>
      <c r="BK104">
        <v>5.0999999999999996</v>
      </c>
      <c r="BL104">
        <v>46.1</v>
      </c>
      <c r="BM104">
        <v>11.3</v>
      </c>
      <c r="BN104">
        <v>4.4000000000000004</v>
      </c>
      <c r="BO104">
        <v>3.22</v>
      </c>
      <c r="BP104">
        <v>0.9</v>
      </c>
      <c r="BQ104">
        <v>7.0000000000000007E-2</v>
      </c>
      <c r="BR104">
        <v>685</v>
      </c>
      <c r="BS104">
        <v>212.2</v>
      </c>
      <c r="BT104">
        <v>3649</v>
      </c>
      <c r="BU104">
        <v>1953</v>
      </c>
      <c r="BV104">
        <v>15.15</v>
      </c>
      <c r="BW104">
        <v>7.15</v>
      </c>
      <c r="BX104">
        <v>1.73</v>
      </c>
      <c r="BY104">
        <v>68.099999999999994</v>
      </c>
      <c r="BZ104">
        <v>71.3</v>
      </c>
      <c r="CA104">
        <v>0.81</v>
      </c>
      <c r="CB104">
        <v>0.83</v>
      </c>
      <c r="CC104">
        <v>16.5</v>
      </c>
      <c r="CD104">
        <v>0.94</v>
      </c>
      <c r="CE104">
        <v>3.89</v>
      </c>
      <c r="CF104">
        <v>241.1</v>
      </c>
      <c r="CG104">
        <v>41.4</v>
      </c>
      <c r="CH104">
        <v>456</v>
      </c>
      <c r="CI104">
        <v>9.27</v>
      </c>
      <c r="CJ104">
        <v>4</v>
      </c>
      <c r="CK104">
        <v>3</v>
      </c>
      <c r="CL104" s="42" t="str">
        <f t="shared" si="15"/>
        <v>1</v>
      </c>
      <c r="CM104">
        <v>59</v>
      </c>
      <c r="CN104" s="4">
        <v>1.18</v>
      </c>
      <c r="CO104">
        <v>5</v>
      </c>
      <c r="CP104" s="42" t="str">
        <f t="shared" si="16"/>
        <v>1</v>
      </c>
      <c r="CQ104" s="4">
        <v>127.33333333333333</v>
      </c>
      <c r="CR104" s="4">
        <v>1.7111111111111112</v>
      </c>
      <c r="CS104" s="43" t="str">
        <f t="shared" si="17"/>
        <v>2</v>
      </c>
      <c r="CT104" s="4">
        <f t="shared" si="18"/>
        <v>186.33333333333331</v>
      </c>
      <c r="CU104" s="4">
        <f t="shared" si="19"/>
        <v>2.891111111111111</v>
      </c>
      <c r="CV104" s="4">
        <v>2</v>
      </c>
    </row>
    <row r="105" spans="1:100" x14ac:dyDescent="0.3">
      <c r="A105" s="15" t="s">
        <v>232</v>
      </c>
      <c r="B105" s="17">
        <v>0</v>
      </c>
      <c r="C105" s="3">
        <v>56</v>
      </c>
      <c r="D105">
        <v>2</v>
      </c>
      <c r="E105">
        <v>1</v>
      </c>
      <c r="F105">
        <v>2</v>
      </c>
      <c r="G105">
        <v>0</v>
      </c>
      <c r="H105">
        <v>1</v>
      </c>
      <c r="I105">
        <v>1</v>
      </c>
      <c r="J105" s="4">
        <v>79.099999999999994</v>
      </c>
      <c r="K105" s="4">
        <f t="shared" si="23"/>
        <v>1.76</v>
      </c>
      <c r="L105">
        <v>176</v>
      </c>
      <c r="M105" s="4">
        <f t="shared" si="21"/>
        <v>18.5885</v>
      </c>
      <c r="N105" s="4">
        <v>57.4</v>
      </c>
      <c r="O105" s="4">
        <v>23.5</v>
      </c>
      <c r="P105" s="40">
        <v>1</v>
      </c>
      <c r="Q105">
        <v>100</v>
      </c>
      <c r="R105" s="37">
        <v>1</v>
      </c>
      <c r="S105">
        <v>104</v>
      </c>
      <c r="T105" s="5">
        <f t="shared" si="20"/>
        <v>0.96153846153846156</v>
      </c>
      <c r="U105" s="37">
        <v>1</v>
      </c>
      <c r="V105" s="4">
        <f t="shared" si="12"/>
        <v>25.535898760330578</v>
      </c>
      <c r="W105" s="39">
        <v>1</v>
      </c>
      <c r="X105">
        <v>14</v>
      </c>
      <c r="Y105" s="37">
        <v>1</v>
      </c>
      <c r="Z105">
        <v>8.9499999999999993</v>
      </c>
      <c r="AA105" s="23">
        <f t="shared" si="13"/>
        <v>2.6571555555555553</v>
      </c>
      <c r="AB105" s="84">
        <v>0</v>
      </c>
      <c r="AC105" s="5">
        <v>6.68</v>
      </c>
      <c r="AD105" s="37">
        <v>1</v>
      </c>
      <c r="AE105">
        <v>3</v>
      </c>
      <c r="AF105" s="5">
        <v>6.48</v>
      </c>
      <c r="AG105" s="37">
        <v>1</v>
      </c>
      <c r="AH105" s="5">
        <v>2.76</v>
      </c>
      <c r="AI105" s="37">
        <v>1</v>
      </c>
      <c r="AJ105" s="5">
        <v>4.2699999999999996</v>
      </c>
      <c r="AK105" s="37">
        <v>1</v>
      </c>
      <c r="AL105" s="5">
        <v>0.95</v>
      </c>
      <c r="AM105" s="37">
        <v>1</v>
      </c>
      <c r="AN105" s="4">
        <f t="shared" si="14"/>
        <v>6.8210526315789481</v>
      </c>
      <c r="AO105" s="37">
        <v>1</v>
      </c>
      <c r="AP105">
        <v>129</v>
      </c>
      <c r="AQ105" s="38">
        <v>0</v>
      </c>
      <c r="AR105">
        <v>76</v>
      </c>
      <c r="AS105" s="37">
        <v>0</v>
      </c>
      <c r="AT105">
        <v>55</v>
      </c>
      <c r="AU105">
        <v>53</v>
      </c>
      <c r="AV105">
        <v>7.9</v>
      </c>
      <c r="AW105" s="37">
        <v>1</v>
      </c>
      <c r="AX105">
        <v>1900</v>
      </c>
      <c r="AY105">
        <v>68.099999999999994</v>
      </c>
      <c r="AZ105">
        <v>47.9</v>
      </c>
      <c r="BA105">
        <v>318.10000000000002</v>
      </c>
      <c r="BB105">
        <v>8.3000000000000007</v>
      </c>
      <c r="BC105">
        <v>250.7</v>
      </c>
      <c r="BD105">
        <v>38.9</v>
      </c>
      <c r="BE105">
        <v>27.5</v>
      </c>
      <c r="BF105">
        <v>132.4</v>
      </c>
      <c r="BG105">
        <v>22.7</v>
      </c>
      <c r="BH105">
        <v>14.3</v>
      </c>
      <c r="BI105">
        <v>62.8</v>
      </c>
      <c r="BJ105">
        <v>16.7</v>
      </c>
      <c r="BK105">
        <v>5.4</v>
      </c>
      <c r="BL105">
        <v>35.200000000000003</v>
      </c>
      <c r="BM105">
        <v>5.7</v>
      </c>
      <c r="BN105">
        <v>2.4</v>
      </c>
      <c r="BO105">
        <v>2.06</v>
      </c>
      <c r="BP105">
        <v>0.11</v>
      </c>
      <c r="BQ105">
        <v>0</v>
      </c>
      <c r="BR105">
        <v>373</v>
      </c>
      <c r="BS105">
        <v>229.8</v>
      </c>
      <c r="BT105">
        <v>3683</v>
      </c>
      <c r="BU105">
        <v>1987</v>
      </c>
      <c r="BV105">
        <v>12.74</v>
      </c>
      <c r="BW105">
        <v>7.68</v>
      </c>
      <c r="BX105">
        <v>1.77</v>
      </c>
      <c r="BY105">
        <v>58.9</v>
      </c>
      <c r="BZ105">
        <v>52.1</v>
      </c>
      <c r="CA105">
        <v>0.8</v>
      </c>
      <c r="CB105">
        <v>0.54</v>
      </c>
      <c r="CC105">
        <v>25</v>
      </c>
      <c r="CD105">
        <v>1.26</v>
      </c>
      <c r="CE105">
        <v>0.93</v>
      </c>
      <c r="CF105">
        <v>224.5</v>
      </c>
      <c r="CG105">
        <v>12.1</v>
      </c>
      <c r="CH105">
        <v>281</v>
      </c>
      <c r="CI105">
        <v>0.8</v>
      </c>
      <c r="CJ105">
        <v>1.3</v>
      </c>
      <c r="CK105">
        <v>1</v>
      </c>
      <c r="CL105" s="42" t="str">
        <f t="shared" si="15"/>
        <v>1</v>
      </c>
      <c r="CM105">
        <v>40</v>
      </c>
      <c r="CN105" s="4">
        <v>0.8</v>
      </c>
      <c r="CO105">
        <v>5</v>
      </c>
      <c r="CP105" s="42" t="str">
        <f t="shared" si="16"/>
        <v>1</v>
      </c>
      <c r="CQ105" s="4">
        <v>110</v>
      </c>
      <c r="CR105" s="4">
        <v>1.6049382716049383</v>
      </c>
      <c r="CS105" s="43" t="str">
        <f t="shared" si="17"/>
        <v>2</v>
      </c>
      <c r="CT105" s="4">
        <f t="shared" si="18"/>
        <v>150</v>
      </c>
      <c r="CU105" s="4">
        <f t="shared" si="19"/>
        <v>2.4049382716049381</v>
      </c>
      <c r="CV105" s="4">
        <v>2</v>
      </c>
    </row>
    <row r="106" spans="1:100" x14ac:dyDescent="0.3">
      <c r="A106" s="15" t="s">
        <v>233</v>
      </c>
      <c r="B106" s="17">
        <v>0</v>
      </c>
      <c r="C106">
        <v>30</v>
      </c>
      <c r="D106">
        <v>4</v>
      </c>
      <c r="E106">
        <v>2</v>
      </c>
      <c r="F106">
        <v>1</v>
      </c>
      <c r="G106">
        <v>0</v>
      </c>
      <c r="H106">
        <v>0</v>
      </c>
      <c r="I106">
        <v>1</v>
      </c>
      <c r="J106">
        <v>77.2</v>
      </c>
      <c r="K106">
        <v>1.716</v>
      </c>
      <c r="L106">
        <v>171.6</v>
      </c>
      <c r="M106" s="4">
        <f t="shared" si="21"/>
        <v>19.994800000000001</v>
      </c>
      <c r="N106" s="4">
        <v>53.7</v>
      </c>
      <c r="O106" s="4">
        <v>25.9</v>
      </c>
      <c r="P106" s="40">
        <v>1</v>
      </c>
      <c r="Q106">
        <v>91.5</v>
      </c>
      <c r="R106" s="37">
        <v>1</v>
      </c>
      <c r="S106">
        <v>104.2</v>
      </c>
      <c r="T106" s="5">
        <f t="shared" si="20"/>
        <v>0.87811900191938574</v>
      </c>
      <c r="U106" s="37">
        <v>0</v>
      </c>
      <c r="V106" s="4">
        <f t="shared" si="12"/>
        <v>26.216984258942304</v>
      </c>
      <c r="W106" s="39">
        <v>1</v>
      </c>
      <c r="X106">
        <v>10</v>
      </c>
      <c r="Y106" s="37">
        <v>1</v>
      </c>
      <c r="AA106" s="23"/>
      <c r="AB106" s="84"/>
      <c r="AC106" s="5">
        <v>4.49</v>
      </c>
      <c r="AD106" s="37">
        <v>0</v>
      </c>
      <c r="AE106">
        <v>43.02</v>
      </c>
      <c r="AF106" s="5">
        <v>5.87</v>
      </c>
      <c r="AG106" s="37">
        <v>1</v>
      </c>
      <c r="AH106" s="5">
        <v>1.32</v>
      </c>
      <c r="AI106" s="37">
        <v>0</v>
      </c>
      <c r="AJ106" s="5">
        <v>4.1100000000000003</v>
      </c>
      <c r="AK106" s="37">
        <v>1</v>
      </c>
      <c r="AL106" s="5">
        <v>1.1599999999999999</v>
      </c>
      <c r="AM106" s="37">
        <v>0</v>
      </c>
      <c r="AN106" s="4">
        <f t="shared" si="14"/>
        <v>5.0603448275862073</v>
      </c>
      <c r="AO106" s="37">
        <v>1</v>
      </c>
      <c r="AP106">
        <v>105</v>
      </c>
      <c r="AQ106" s="38">
        <v>0</v>
      </c>
      <c r="AR106">
        <v>76</v>
      </c>
      <c r="AS106" s="37">
        <v>0</v>
      </c>
      <c r="AT106">
        <v>65</v>
      </c>
      <c r="AU106">
        <v>29</v>
      </c>
      <c r="AV106">
        <v>4.8</v>
      </c>
      <c r="AW106" s="37">
        <v>1</v>
      </c>
      <c r="AX106">
        <v>1529</v>
      </c>
      <c r="AY106">
        <v>48.1</v>
      </c>
      <c r="AZ106">
        <v>40.4</v>
      </c>
      <c r="BA106">
        <v>258.8</v>
      </c>
      <c r="BB106">
        <v>8.8000000000000007</v>
      </c>
      <c r="BC106">
        <v>238.9</v>
      </c>
      <c r="BD106">
        <v>7.5</v>
      </c>
      <c r="BE106">
        <v>0.1</v>
      </c>
      <c r="BF106">
        <v>33.299999999999997</v>
      </c>
      <c r="BG106">
        <v>23.7</v>
      </c>
      <c r="BH106">
        <v>12.6</v>
      </c>
      <c r="BI106">
        <v>63.5</v>
      </c>
      <c r="BJ106">
        <v>18.5</v>
      </c>
      <c r="BK106">
        <v>0</v>
      </c>
      <c r="BL106">
        <v>31.5</v>
      </c>
      <c r="BM106">
        <v>3.2</v>
      </c>
      <c r="BN106">
        <v>2.2999999999999998</v>
      </c>
      <c r="BO106">
        <v>2.09</v>
      </c>
      <c r="BP106">
        <v>0.09</v>
      </c>
      <c r="BQ106">
        <v>0</v>
      </c>
      <c r="BR106">
        <v>245</v>
      </c>
      <c r="BS106">
        <v>151.1</v>
      </c>
      <c r="BT106">
        <v>2705</v>
      </c>
      <c r="BU106">
        <v>1353</v>
      </c>
      <c r="BV106">
        <v>10.25</v>
      </c>
      <c r="BW106">
        <v>6.24</v>
      </c>
      <c r="BX106">
        <v>1.43</v>
      </c>
      <c r="BY106">
        <v>61.8</v>
      </c>
      <c r="BZ106">
        <v>34.6</v>
      </c>
      <c r="CA106">
        <v>0.56000000000000005</v>
      </c>
      <c r="CB106">
        <v>0.22</v>
      </c>
      <c r="CC106">
        <v>17</v>
      </c>
      <c r="CD106">
        <v>0.88</v>
      </c>
      <c r="CE106">
        <v>0.53</v>
      </c>
      <c r="CF106">
        <v>153.1</v>
      </c>
      <c r="CG106">
        <v>6.2</v>
      </c>
      <c r="CH106">
        <v>169</v>
      </c>
      <c r="CI106">
        <v>0.36</v>
      </c>
      <c r="CJ106">
        <v>1</v>
      </c>
      <c r="CK106">
        <v>0</v>
      </c>
      <c r="CL106" s="42" t="str">
        <f t="shared" si="15"/>
        <v>1</v>
      </c>
      <c r="CM106">
        <v>0</v>
      </c>
      <c r="CN106" s="4">
        <v>0</v>
      </c>
      <c r="CO106">
        <v>7</v>
      </c>
      <c r="CP106" s="42" t="str">
        <f t="shared" si="16"/>
        <v>1</v>
      </c>
      <c r="CQ106" s="4">
        <v>64</v>
      </c>
      <c r="CR106" s="4">
        <v>1.1950617283950618</v>
      </c>
      <c r="CS106" s="43" t="str">
        <f t="shared" si="17"/>
        <v>1</v>
      </c>
      <c r="CT106" s="4">
        <f t="shared" si="18"/>
        <v>64</v>
      </c>
      <c r="CU106" s="4">
        <f t="shared" si="19"/>
        <v>1.1950617283950618</v>
      </c>
      <c r="CV106" s="4">
        <v>1</v>
      </c>
    </row>
    <row r="107" spans="1:100" x14ac:dyDescent="0.3">
      <c r="A107" s="15" t="s">
        <v>258</v>
      </c>
      <c r="B107" s="17">
        <v>0</v>
      </c>
      <c r="C107" s="3">
        <v>38</v>
      </c>
      <c r="D107">
        <v>1</v>
      </c>
      <c r="E107">
        <v>3</v>
      </c>
      <c r="F107">
        <v>2</v>
      </c>
      <c r="G107">
        <v>0</v>
      </c>
      <c r="H107">
        <v>0</v>
      </c>
      <c r="I107">
        <v>1</v>
      </c>
      <c r="J107" s="4">
        <v>60.9</v>
      </c>
      <c r="K107" s="4">
        <f t="shared" ref="K107:K122" si="24">L107/100</f>
        <v>1.68</v>
      </c>
      <c r="L107">
        <v>168</v>
      </c>
      <c r="M107" s="4">
        <f t="shared" si="21"/>
        <v>11.936400000000001</v>
      </c>
      <c r="N107" s="4">
        <v>46.4</v>
      </c>
      <c r="O107" s="4">
        <v>19.600000000000001</v>
      </c>
      <c r="P107" s="40">
        <v>0</v>
      </c>
      <c r="Q107">
        <v>76.650000000000006</v>
      </c>
      <c r="R107" s="37">
        <v>0</v>
      </c>
      <c r="S107">
        <v>93.6</v>
      </c>
      <c r="T107" s="5">
        <f t="shared" si="20"/>
        <v>0.8189102564102565</v>
      </c>
      <c r="U107" s="37">
        <v>0</v>
      </c>
      <c r="V107" s="4">
        <f t="shared" si="12"/>
        <v>21.577380952380956</v>
      </c>
      <c r="W107" s="39">
        <v>0</v>
      </c>
      <c r="X107">
        <v>7</v>
      </c>
      <c r="Y107" s="40">
        <v>0</v>
      </c>
      <c r="Z107">
        <v>8.15</v>
      </c>
      <c r="AA107" s="23">
        <f t="shared" si="13"/>
        <v>1.9886000000000001</v>
      </c>
      <c r="AB107" s="84">
        <v>0</v>
      </c>
      <c r="AC107" s="5">
        <v>5.49</v>
      </c>
      <c r="AD107" s="37">
        <v>0</v>
      </c>
      <c r="AE107">
        <v>3</v>
      </c>
      <c r="AF107" s="5">
        <v>6.12</v>
      </c>
      <c r="AG107" s="37">
        <v>1</v>
      </c>
      <c r="AH107" s="5">
        <v>1.06</v>
      </c>
      <c r="AI107" s="37">
        <v>0</v>
      </c>
      <c r="AJ107" s="5">
        <v>4.4000000000000004</v>
      </c>
      <c r="AK107" s="37">
        <v>1</v>
      </c>
      <c r="AL107" s="5">
        <v>1.21</v>
      </c>
      <c r="AM107" s="37">
        <v>0</v>
      </c>
      <c r="AN107" s="4">
        <f t="shared" si="14"/>
        <v>5.0578512396694215</v>
      </c>
      <c r="AO107" s="37">
        <v>1</v>
      </c>
      <c r="AP107">
        <v>119</v>
      </c>
      <c r="AQ107" s="38">
        <v>0</v>
      </c>
      <c r="AR107">
        <v>82</v>
      </c>
      <c r="AS107" s="37">
        <v>0</v>
      </c>
      <c r="AT107">
        <v>67</v>
      </c>
      <c r="AU107">
        <v>37</v>
      </c>
      <c r="AV107">
        <v>5.8</v>
      </c>
      <c r="AW107" s="37">
        <v>1</v>
      </c>
      <c r="AX107">
        <v>1877</v>
      </c>
      <c r="AY107">
        <v>58.4</v>
      </c>
      <c r="AZ107">
        <v>58.2</v>
      </c>
      <c r="BA107">
        <v>298.3</v>
      </c>
      <c r="BB107">
        <v>11</v>
      </c>
      <c r="BC107">
        <v>217.7</v>
      </c>
      <c r="BD107">
        <v>54.1</v>
      </c>
      <c r="BE107">
        <v>41.4</v>
      </c>
      <c r="BF107">
        <v>99.6</v>
      </c>
      <c r="BG107">
        <v>27.9</v>
      </c>
      <c r="BH107">
        <v>12.4</v>
      </c>
      <c r="BI107">
        <v>59.6</v>
      </c>
      <c r="BJ107">
        <v>18.399999999999999</v>
      </c>
      <c r="BK107">
        <v>8.3000000000000007</v>
      </c>
      <c r="BL107">
        <v>38.4</v>
      </c>
      <c r="BM107">
        <v>4.8</v>
      </c>
      <c r="BN107">
        <v>2.7</v>
      </c>
      <c r="BO107">
        <v>2.31</v>
      </c>
      <c r="BP107">
        <v>0.2</v>
      </c>
      <c r="BQ107">
        <v>0</v>
      </c>
      <c r="BR107">
        <v>593</v>
      </c>
      <c r="BS107">
        <v>215.8</v>
      </c>
      <c r="BT107">
        <v>3496</v>
      </c>
      <c r="BU107">
        <v>1669</v>
      </c>
      <c r="BV107">
        <v>10.75</v>
      </c>
      <c r="BW107">
        <v>6.18</v>
      </c>
      <c r="BX107">
        <v>1.43</v>
      </c>
      <c r="BY107">
        <v>68.2</v>
      </c>
      <c r="BZ107">
        <v>43</v>
      </c>
      <c r="CA107">
        <v>0.85</v>
      </c>
      <c r="CB107">
        <v>0.78</v>
      </c>
      <c r="CC107">
        <v>18.100000000000001</v>
      </c>
      <c r="CD107">
        <v>0.92</v>
      </c>
      <c r="CE107">
        <v>0.65</v>
      </c>
      <c r="CF107">
        <v>200.7</v>
      </c>
      <c r="CG107">
        <v>22</v>
      </c>
      <c r="CH107">
        <v>645</v>
      </c>
      <c r="CI107">
        <v>0.52</v>
      </c>
      <c r="CJ107">
        <v>1.7</v>
      </c>
      <c r="CK107">
        <v>2</v>
      </c>
      <c r="CL107" s="42" t="str">
        <f t="shared" si="15"/>
        <v>1</v>
      </c>
      <c r="CM107">
        <v>35</v>
      </c>
      <c r="CN107" s="4">
        <v>0.7</v>
      </c>
      <c r="CO107">
        <v>6</v>
      </c>
      <c r="CP107" s="42" t="str">
        <f t="shared" si="16"/>
        <v>1</v>
      </c>
      <c r="CQ107" s="4">
        <v>68</v>
      </c>
      <c r="CR107" s="4">
        <v>0.64814814814814814</v>
      </c>
      <c r="CS107" s="43" t="str">
        <f t="shared" si="17"/>
        <v>1</v>
      </c>
      <c r="CT107" s="4">
        <f t="shared" si="18"/>
        <v>103</v>
      </c>
      <c r="CU107" s="4">
        <f t="shared" si="19"/>
        <v>1.3481481481481481</v>
      </c>
      <c r="CV107" s="4">
        <v>1</v>
      </c>
    </row>
    <row r="108" spans="1:100" x14ac:dyDescent="0.3">
      <c r="A108" s="15" t="s">
        <v>259</v>
      </c>
      <c r="B108" s="17">
        <v>0</v>
      </c>
      <c r="C108" s="3">
        <v>39</v>
      </c>
      <c r="D108">
        <v>2</v>
      </c>
      <c r="E108">
        <v>2</v>
      </c>
      <c r="F108">
        <v>1</v>
      </c>
      <c r="G108">
        <v>0</v>
      </c>
      <c r="H108">
        <v>0</v>
      </c>
      <c r="I108">
        <v>1</v>
      </c>
      <c r="J108" s="4">
        <v>63.5</v>
      </c>
      <c r="K108" s="4">
        <f t="shared" si="24"/>
        <v>1.62</v>
      </c>
      <c r="L108">
        <v>162</v>
      </c>
      <c r="M108" s="4">
        <f t="shared" si="21"/>
        <v>14.858999999999998</v>
      </c>
      <c r="N108" s="4">
        <v>46.1</v>
      </c>
      <c r="O108" s="4">
        <v>23.4</v>
      </c>
      <c r="P108" s="40">
        <v>1</v>
      </c>
      <c r="Q108">
        <v>84.4</v>
      </c>
      <c r="R108" s="37">
        <v>0</v>
      </c>
      <c r="S108">
        <v>95</v>
      </c>
      <c r="T108" s="5">
        <f t="shared" si="20"/>
        <v>0.888421052631579</v>
      </c>
      <c r="U108" s="37">
        <v>0</v>
      </c>
      <c r="V108" s="4">
        <f t="shared" si="12"/>
        <v>24.196006706294767</v>
      </c>
      <c r="W108" s="39">
        <v>1</v>
      </c>
      <c r="X108">
        <v>10</v>
      </c>
      <c r="Y108" s="37">
        <v>1</v>
      </c>
      <c r="AA108" s="23"/>
      <c r="AB108" s="84"/>
      <c r="AC108" s="5">
        <v>5.54</v>
      </c>
      <c r="AD108" s="37">
        <v>0</v>
      </c>
      <c r="AE108">
        <v>3</v>
      </c>
      <c r="AF108" s="5">
        <v>6.65</v>
      </c>
      <c r="AG108" s="37">
        <v>1</v>
      </c>
      <c r="AH108" s="5">
        <v>3.14</v>
      </c>
      <c r="AI108" s="37">
        <v>1</v>
      </c>
      <c r="AJ108" s="5">
        <v>4.0999999999999996</v>
      </c>
      <c r="AK108" s="37">
        <v>1</v>
      </c>
      <c r="AL108" s="5">
        <v>1.08</v>
      </c>
      <c r="AM108" s="37">
        <v>0</v>
      </c>
      <c r="AN108" s="4">
        <f t="shared" si="14"/>
        <v>6.1574074074074074</v>
      </c>
      <c r="AO108" s="37">
        <v>1</v>
      </c>
      <c r="AP108">
        <v>116</v>
      </c>
      <c r="AQ108" s="38">
        <v>0</v>
      </c>
      <c r="AR108">
        <v>77</v>
      </c>
      <c r="AS108" s="37">
        <v>0</v>
      </c>
      <c r="AT108">
        <v>65</v>
      </c>
      <c r="AU108">
        <v>39</v>
      </c>
      <c r="AV108">
        <v>5.9</v>
      </c>
      <c r="AW108" s="37">
        <v>1</v>
      </c>
      <c r="AX108">
        <v>1410</v>
      </c>
      <c r="AY108">
        <v>45.5</v>
      </c>
      <c r="AZ108">
        <v>32.799999999999997</v>
      </c>
      <c r="BA108">
        <v>247.6</v>
      </c>
      <c r="BB108">
        <v>6.9</v>
      </c>
      <c r="BC108">
        <v>159.9</v>
      </c>
      <c r="BD108">
        <v>68.2</v>
      </c>
      <c r="BE108">
        <v>62.7</v>
      </c>
      <c r="BF108">
        <v>67.2</v>
      </c>
      <c r="BG108">
        <v>20.9</v>
      </c>
      <c r="BH108">
        <v>12.9</v>
      </c>
      <c r="BI108">
        <v>65.8</v>
      </c>
      <c r="BJ108">
        <v>15.7</v>
      </c>
      <c r="BK108">
        <v>16.7</v>
      </c>
      <c r="BL108">
        <v>24.6</v>
      </c>
      <c r="BM108">
        <v>3.3</v>
      </c>
      <c r="BN108">
        <v>1.6</v>
      </c>
      <c r="BO108">
        <v>1.33</v>
      </c>
      <c r="BP108">
        <v>7.0000000000000007E-2</v>
      </c>
      <c r="BQ108">
        <v>0</v>
      </c>
      <c r="BR108">
        <v>281</v>
      </c>
      <c r="BS108">
        <v>172.5</v>
      </c>
      <c r="BT108">
        <v>3041</v>
      </c>
      <c r="BU108">
        <v>1504</v>
      </c>
      <c r="BV108">
        <v>12.41</v>
      </c>
      <c r="BW108">
        <v>5.45</v>
      </c>
      <c r="BX108">
        <v>1.1399999999999999</v>
      </c>
      <c r="BY108">
        <v>41.5</v>
      </c>
      <c r="BZ108">
        <v>33.9</v>
      </c>
      <c r="CA108">
        <v>0.68</v>
      </c>
      <c r="CB108">
        <v>0.49</v>
      </c>
      <c r="CC108">
        <v>17.399999999999999</v>
      </c>
      <c r="CD108">
        <v>1.29</v>
      </c>
      <c r="CE108">
        <v>1.28</v>
      </c>
      <c r="CF108">
        <v>143.1</v>
      </c>
      <c r="CG108">
        <v>13.4</v>
      </c>
      <c r="CH108">
        <v>105</v>
      </c>
      <c r="CI108">
        <v>0.93</v>
      </c>
      <c r="CJ108">
        <v>1.5</v>
      </c>
      <c r="CK108">
        <v>2</v>
      </c>
      <c r="CL108" s="42" t="str">
        <f t="shared" si="15"/>
        <v>1</v>
      </c>
      <c r="CM108" s="4">
        <v>22.666666666666668</v>
      </c>
      <c r="CN108" s="4">
        <v>0.45333333333333337</v>
      </c>
      <c r="CO108">
        <v>3</v>
      </c>
      <c r="CP108" s="42" t="str">
        <f t="shared" si="16"/>
        <v>1</v>
      </c>
      <c r="CQ108" s="4">
        <v>34.333333333333336</v>
      </c>
      <c r="CR108" s="4">
        <v>0.8925925925925926</v>
      </c>
      <c r="CS108" s="43" t="str">
        <f t="shared" si="17"/>
        <v>1</v>
      </c>
      <c r="CT108" s="4">
        <f t="shared" si="18"/>
        <v>57</v>
      </c>
      <c r="CU108" s="4">
        <f t="shared" si="19"/>
        <v>1.345925925925926</v>
      </c>
      <c r="CV108" s="4">
        <v>1</v>
      </c>
    </row>
    <row r="109" spans="1:100" x14ac:dyDescent="0.3">
      <c r="A109" s="15" t="s">
        <v>260</v>
      </c>
      <c r="B109" s="17">
        <v>0</v>
      </c>
      <c r="C109" s="3">
        <v>34</v>
      </c>
      <c r="D109">
        <v>1</v>
      </c>
      <c r="E109">
        <v>2</v>
      </c>
      <c r="F109">
        <v>2</v>
      </c>
      <c r="G109">
        <v>0</v>
      </c>
      <c r="H109">
        <v>1</v>
      </c>
      <c r="I109">
        <v>1</v>
      </c>
      <c r="J109" s="4">
        <v>79.8</v>
      </c>
      <c r="K109" s="4">
        <f t="shared" si="24"/>
        <v>1.6909999999999998</v>
      </c>
      <c r="L109">
        <v>169.1</v>
      </c>
      <c r="M109" s="4">
        <f t="shared" si="21"/>
        <v>23.620799999999999</v>
      </c>
      <c r="N109" s="4">
        <v>53.3</v>
      </c>
      <c r="O109" s="4">
        <v>29.6</v>
      </c>
      <c r="P109" s="40">
        <v>1</v>
      </c>
      <c r="Q109">
        <v>91.8</v>
      </c>
      <c r="R109" s="37">
        <v>1</v>
      </c>
      <c r="S109">
        <v>102.7</v>
      </c>
      <c r="T109" s="5">
        <f t="shared" si="20"/>
        <v>0.8938656280428432</v>
      </c>
      <c r="U109" s="37">
        <v>0</v>
      </c>
      <c r="V109" s="4">
        <f t="shared" si="12"/>
        <v>27.907162173835047</v>
      </c>
      <c r="W109" s="39">
        <v>1</v>
      </c>
      <c r="X109">
        <v>14</v>
      </c>
      <c r="Y109" s="37">
        <v>1</v>
      </c>
      <c r="Z109">
        <v>13.74</v>
      </c>
      <c r="AA109" s="23">
        <f t="shared" si="13"/>
        <v>2.9127395466666668</v>
      </c>
      <c r="AB109" s="84">
        <v>1</v>
      </c>
      <c r="AC109" s="5">
        <v>4.7697700000000003</v>
      </c>
      <c r="AD109" s="37">
        <v>0</v>
      </c>
      <c r="AE109" s="5">
        <v>3</v>
      </c>
      <c r="AF109" s="5">
        <v>5.0788000000000002</v>
      </c>
      <c r="AG109" s="37">
        <v>1</v>
      </c>
      <c r="AH109" s="5">
        <v>1.4612499999999999</v>
      </c>
      <c r="AI109" s="37">
        <v>0</v>
      </c>
      <c r="AJ109" s="5">
        <v>3.6128900000000002</v>
      </c>
      <c r="AK109" s="37">
        <v>1</v>
      </c>
      <c r="AL109" s="5">
        <v>0.80169999999999997</v>
      </c>
      <c r="AM109" s="37">
        <v>1</v>
      </c>
      <c r="AN109" s="4">
        <f t="shared" si="14"/>
        <v>6.3350380441561684</v>
      </c>
      <c r="AO109" s="37">
        <v>1</v>
      </c>
      <c r="AP109">
        <v>113</v>
      </c>
      <c r="AQ109" s="38">
        <v>0</v>
      </c>
      <c r="AR109">
        <v>74</v>
      </c>
      <c r="AS109" s="37">
        <v>0</v>
      </c>
      <c r="AT109">
        <v>51</v>
      </c>
      <c r="AU109">
        <v>39</v>
      </c>
      <c r="AV109">
        <v>5.3</v>
      </c>
      <c r="AW109" s="37">
        <v>1</v>
      </c>
      <c r="AX109">
        <v>2217</v>
      </c>
      <c r="AY109">
        <v>70.099999999999994</v>
      </c>
      <c r="AZ109">
        <v>52.9</v>
      </c>
      <c r="BA109">
        <v>387.2</v>
      </c>
      <c r="BB109">
        <v>9.6</v>
      </c>
      <c r="BC109">
        <v>290.7</v>
      </c>
      <c r="BD109">
        <v>72.599999999999994</v>
      </c>
      <c r="BE109">
        <v>50.5</v>
      </c>
      <c r="BF109">
        <v>100</v>
      </c>
      <c r="BG109">
        <v>21.5</v>
      </c>
      <c r="BH109">
        <v>12.7</v>
      </c>
      <c r="BI109">
        <v>65.5</v>
      </c>
      <c r="BJ109">
        <v>14.8</v>
      </c>
      <c r="BK109">
        <v>8.5</v>
      </c>
      <c r="BL109">
        <v>36.6</v>
      </c>
      <c r="BM109">
        <v>6</v>
      </c>
      <c r="BN109">
        <v>2.9</v>
      </c>
      <c r="BO109">
        <v>2.08</v>
      </c>
      <c r="BP109">
        <v>0.16</v>
      </c>
      <c r="BQ109">
        <v>7.0000000000000007E-2</v>
      </c>
      <c r="BR109">
        <v>458</v>
      </c>
      <c r="BS109">
        <v>272.7</v>
      </c>
      <c r="BT109">
        <v>4609</v>
      </c>
      <c r="BU109">
        <v>2563</v>
      </c>
      <c r="BV109">
        <v>13</v>
      </c>
      <c r="BW109">
        <v>7.75</v>
      </c>
      <c r="BX109">
        <v>1.55</v>
      </c>
      <c r="BY109">
        <v>52.1</v>
      </c>
      <c r="BZ109">
        <v>33.9</v>
      </c>
      <c r="CA109">
        <v>0.84</v>
      </c>
      <c r="CB109">
        <v>0.78</v>
      </c>
      <c r="CC109">
        <v>20.5</v>
      </c>
      <c r="CD109">
        <v>1.1100000000000001</v>
      </c>
      <c r="CE109">
        <v>3.44</v>
      </c>
      <c r="CF109">
        <v>280.5</v>
      </c>
      <c r="CG109">
        <v>42.6</v>
      </c>
      <c r="CH109">
        <v>492</v>
      </c>
      <c r="CI109">
        <v>1.76</v>
      </c>
      <c r="CJ109">
        <v>3.3</v>
      </c>
      <c r="CK109">
        <v>0</v>
      </c>
      <c r="CL109" s="42" t="str">
        <f t="shared" si="15"/>
        <v>1</v>
      </c>
      <c r="CM109">
        <v>0</v>
      </c>
      <c r="CN109" s="4">
        <v>0</v>
      </c>
      <c r="CO109">
        <v>6</v>
      </c>
      <c r="CP109" s="42" t="str">
        <f t="shared" si="16"/>
        <v>1</v>
      </c>
      <c r="CQ109" s="4">
        <v>147</v>
      </c>
      <c r="CR109" s="4">
        <v>1.9382716049382716</v>
      </c>
      <c r="CS109" s="43" t="str">
        <f t="shared" si="17"/>
        <v>1</v>
      </c>
      <c r="CT109" s="4">
        <f t="shared" si="18"/>
        <v>147</v>
      </c>
      <c r="CU109" s="4">
        <f t="shared" si="19"/>
        <v>1.9382716049382716</v>
      </c>
      <c r="CV109" s="4">
        <v>1</v>
      </c>
    </row>
    <row r="110" spans="1:100" x14ac:dyDescent="0.3">
      <c r="A110" s="15" t="s">
        <v>261</v>
      </c>
      <c r="B110" s="17">
        <v>0</v>
      </c>
      <c r="C110" s="3">
        <v>32</v>
      </c>
      <c r="D110">
        <v>2</v>
      </c>
      <c r="E110">
        <v>2</v>
      </c>
      <c r="F110">
        <v>1</v>
      </c>
      <c r="G110">
        <v>0</v>
      </c>
      <c r="H110">
        <v>1</v>
      </c>
      <c r="I110">
        <v>1</v>
      </c>
      <c r="J110" s="4">
        <v>73.900000000000006</v>
      </c>
      <c r="K110" s="4">
        <f t="shared" si="24"/>
        <v>1.7</v>
      </c>
      <c r="L110">
        <v>170</v>
      </c>
      <c r="M110" s="4">
        <f t="shared" si="21"/>
        <v>21.726599999999998</v>
      </c>
      <c r="N110" s="4">
        <v>49.5</v>
      </c>
      <c r="O110" s="4">
        <v>29.4</v>
      </c>
      <c r="P110" s="40">
        <v>1</v>
      </c>
      <c r="Q110">
        <v>87</v>
      </c>
      <c r="R110" s="37">
        <v>0</v>
      </c>
      <c r="S110">
        <v>102.3</v>
      </c>
      <c r="T110" s="5">
        <f t="shared" si="20"/>
        <v>0.85043988269794724</v>
      </c>
      <c r="U110" s="37">
        <v>0</v>
      </c>
      <c r="V110" s="4">
        <f t="shared" si="12"/>
        <v>25.570934256055367</v>
      </c>
      <c r="W110" s="39">
        <v>1</v>
      </c>
      <c r="X110">
        <v>12</v>
      </c>
      <c r="Y110" s="37">
        <v>1</v>
      </c>
      <c r="Z110">
        <v>13.82</v>
      </c>
      <c r="AA110" s="23">
        <f t="shared" si="13"/>
        <v>2.8745599999999998</v>
      </c>
      <c r="AB110" s="84">
        <v>1</v>
      </c>
      <c r="AC110" s="5">
        <v>4.68</v>
      </c>
      <c r="AD110" s="37">
        <v>0</v>
      </c>
      <c r="AE110">
        <v>22.63</v>
      </c>
      <c r="AF110" s="5">
        <v>6.91</v>
      </c>
      <c r="AG110" s="37">
        <v>1</v>
      </c>
      <c r="AH110" s="5">
        <v>1.1399999999999999</v>
      </c>
      <c r="AI110" s="37">
        <v>0</v>
      </c>
      <c r="AJ110" s="5">
        <v>5.14</v>
      </c>
      <c r="AK110" s="37">
        <v>1</v>
      </c>
      <c r="AL110" s="5">
        <v>1.25</v>
      </c>
      <c r="AM110" s="37">
        <v>0</v>
      </c>
      <c r="AN110" s="4">
        <f t="shared" si="14"/>
        <v>5.5280000000000005</v>
      </c>
      <c r="AO110" s="37">
        <v>1</v>
      </c>
      <c r="AP110">
        <v>123</v>
      </c>
      <c r="AQ110" s="38">
        <v>0</v>
      </c>
      <c r="AR110">
        <v>76</v>
      </c>
      <c r="AS110" s="37">
        <v>0</v>
      </c>
      <c r="AT110">
        <v>72</v>
      </c>
      <c r="AU110">
        <v>48</v>
      </c>
      <c r="AV110">
        <v>5.5</v>
      </c>
      <c r="AW110" s="37">
        <v>1</v>
      </c>
      <c r="AX110">
        <v>2133</v>
      </c>
      <c r="AY110">
        <v>66.5</v>
      </c>
      <c r="AZ110">
        <v>53.8</v>
      </c>
      <c r="BA110">
        <v>367.8</v>
      </c>
      <c r="BB110">
        <v>7.6</v>
      </c>
      <c r="BC110">
        <v>279.2</v>
      </c>
      <c r="BD110">
        <v>61.2</v>
      </c>
      <c r="BE110">
        <v>49.9</v>
      </c>
      <c r="BF110">
        <v>109</v>
      </c>
      <c r="BG110">
        <v>22.7</v>
      </c>
      <c r="BH110">
        <v>12.5</v>
      </c>
      <c r="BI110">
        <v>64.7</v>
      </c>
      <c r="BJ110">
        <v>14.2</v>
      </c>
      <c r="BK110">
        <v>8.8000000000000007</v>
      </c>
      <c r="BL110">
        <v>33.700000000000003</v>
      </c>
      <c r="BM110">
        <v>4.4000000000000004</v>
      </c>
      <c r="BN110">
        <v>3.1</v>
      </c>
      <c r="BO110">
        <v>2.38</v>
      </c>
      <c r="BP110">
        <v>0.38</v>
      </c>
      <c r="BQ110">
        <v>0.38</v>
      </c>
      <c r="BR110">
        <v>557</v>
      </c>
      <c r="BS110">
        <v>184</v>
      </c>
      <c r="BT110">
        <v>3703</v>
      </c>
      <c r="BU110">
        <v>1832</v>
      </c>
      <c r="BV110">
        <v>12.52</v>
      </c>
      <c r="BW110">
        <v>7.67</v>
      </c>
      <c r="BX110">
        <v>1.62</v>
      </c>
      <c r="BY110">
        <v>69.5</v>
      </c>
      <c r="BZ110">
        <v>62.2</v>
      </c>
      <c r="CA110">
        <v>1.62</v>
      </c>
      <c r="CB110">
        <v>2.77</v>
      </c>
      <c r="CC110">
        <v>22.8</v>
      </c>
      <c r="CD110">
        <v>1.1599999999999999</v>
      </c>
      <c r="CE110">
        <v>1.56</v>
      </c>
      <c r="CF110">
        <v>176.2</v>
      </c>
      <c r="CG110">
        <v>48.6</v>
      </c>
      <c r="CH110">
        <v>760</v>
      </c>
      <c r="CI110">
        <v>2.08</v>
      </c>
      <c r="CJ110">
        <v>1.5</v>
      </c>
      <c r="CK110">
        <v>0</v>
      </c>
      <c r="CL110" s="42" t="str">
        <f t="shared" si="15"/>
        <v>1</v>
      </c>
      <c r="CM110">
        <v>0</v>
      </c>
      <c r="CN110" s="4">
        <v>0</v>
      </c>
      <c r="CO110">
        <v>6</v>
      </c>
      <c r="CP110" s="42" t="str">
        <f t="shared" si="16"/>
        <v>1</v>
      </c>
      <c r="CQ110" s="4">
        <v>114.66666666666667</v>
      </c>
      <c r="CR110" s="4">
        <v>2.1234567901234569</v>
      </c>
      <c r="CS110" s="43" t="str">
        <f t="shared" si="17"/>
        <v>1</v>
      </c>
      <c r="CT110" s="4">
        <f t="shared" si="18"/>
        <v>114.66666666666667</v>
      </c>
      <c r="CU110" s="4">
        <f t="shared" si="19"/>
        <v>2.1234567901234569</v>
      </c>
      <c r="CV110" s="4">
        <v>2</v>
      </c>
    </row>
    <row r="111" spans="1:100" x14ac:dyDescent="0.3">
      <c r="A111" s="15" t="s">
        <v>262</v>
      </c>
      <c r="B111" s="17">
        <v>0</v>
      </c>
      <c r="C111" s="3">
        <v>44</v>
      </c>
      <c r="D111">
        <v>3</v>
      </c>
      <c r="E111">
        <v>1</v>
      </c>
      <c r="F111">
        <v>2</v>
      </c>
      <c r="G111">
        <v>0</v>
      </c>
      <c r="H111">
        <v>1</v>
      </c>
      <c r="I111">
        <v>1</v>
      </c>
      <c r="J111" s="4">
        <v>59.2</v>
      </c>
      <c r="K111" s="4">
        <f t="shared" si="24"/>
        <v>1.69</v>
      </c>
      <c r="L111">
        <v>169</v>
      </c>
      <c r="M111" s="4">
        <f t="shared" si="21"/>
        <v>10.952</v>
      </c>
      <c r="N111" s="4">
        <v>45.7</v>
      </c>
      <c r="O111" s="4">
        <v>18.5</v>
      </c>
      <c r="P111" s="40">
        <v>0</v>
      </c>
      <c r="Q111">
        <v>78</v>
      </c>
      <c r="R111" s="37">
        <v>0</v>
      </c>
      <c r="S111">
        <v>69</v>
      </c>
      <c r="T111" s="5">
        <f t="shared" si="20"/>
        <v>1.1304347826086956</v>
      </c>
      <c r="U111" s="37">
        <v>1</v>
      </c>
      <c r="V111" s="4">
        <f t="shared" si="12"/>
        <v>20.727565561429927</v>
      </c>
      <c r="W111" s="39">
        <v>0</v>
      </c>
      <c r="X111">
        <v>8</v>
      </c>
      <c r="Y111" s="40">
        <v>0</v>
      </c>
      <c r="Z111">
        <v>9.73</v>
      </c>
      <c r="AA111" s="23">
        <f t="shared" si="13"/>
        <v>2.2097911111111115</v>
      </c>
      <c r="AB111" s="84">
        <v>0</v>
      </c>
      <c r="AC111" s="5">
        <v>5.1100000000000003</v>
      </c>
      <c r="AD111" s="37">
        <v>0</v>
      </c>
      <c r="AE111">
        <v>34.03</v>
      </c>
      <c r="AF111" s="5">
        <v>5.96</v>
      </c>
      <c r="AG111" s="37">
        <v>1</v>
      </c>
      <c r="AH111" s="5">
        <v>1.25</v>
      </c>
      <c r="AI111" s="37">
        <v>0</v>
      </c>
      <c r="AJ111" s="5">
        <v>4.25</v>
      </c>
      <c r="AK111" s="37">
        <v>1</v>
      </c>
      <c r="AL111" s="5">
        <v>1.1399999999999999</v>
      </c>
      <c r="AM111" s="37">
        <v>0</v>
      </c>
      <c r="AN111" s="4">
        <f t="shared" si="14"/>
        <v>5.2280701754385968</v>
      </c>
      <c r="AO111" s="37">
        <v>1</v>
      </c>
      <c r="AP111">
        <v>137</v>
      </c>
      <c r="AQ111" s="37">
        <v>1</v>
      </c>
      <c r="AR111">
        <v>90</v>
      </c>
      <c r="AS111" s="37">
        <v>1</v>
      </c>
      <c r="AT111">
        <v>79</v>
      </c>
      <c r="AU111">
        <v>47</v>
      </c>
      <c r="AV111">
        <v>6.8</v>
      </c>
      <c r="AW111" s="37">
        <v>1</v>
      </c>
      <c r="AX111">
        <v>1760</v>
      </c>
      <c r="AY111">
        <v>56.5</v>
      </c>
      <c r="AZ111">
        <v>42</v>
      </c>
      <c r="BA111">
        <v>307.89999999999998</v>
      </c>
      <c r="BB111">
        <v>7.4</v>
      </c>
      <c r="BC111">
        <v>232.1</v>
      </c>
      <c r="BD111">
        <v>54.2</v>
      </c>
      <c r="BE111">
        <v>41.7</v>
      </c>
      <c r="BF111">
        <v>35.700000000000003</v>
      </c>
      <c r="BG111">
        <v>21.5</v>
      </c>
      <c r="BH111">
        <v>12.8</v>
      </c>
      <c r="BI111">
        <v>65.599999999999994</v>
      </c>
      <c r="BJ111">
        <v>11.4</v>
      </c>
      <c r="BK111">
        <v>8.9</v>
      </c>
      <c r="BL111">
        <v>22.3</v>
      </c>
      <c r="BM111">
        <v>4.5999999999999996</v>
      </c>
      <c r="BN111">
        <v>3.1</v>
      </c>
      <c r="BO111">
        <v>2.5</v>
      </c>
      <c r="BP111">
        <v>0.15</v>
      </c>
      <c r="BQ111">
        <v>0.05</v>
      </c>
      <c r="BR111">
        <v>687</v>
      </c>
      <c r="BS111">
        <v>172.1</v>
      </c>
      <c r="BT111">
        <v>2844</v>
      </c>
      <c r="BU111">
        <v>1604</v>
      </c>
      <c r="BV111">
        <v>10.45</v>
      </c>
      <c r="BW111">
        <v>5.9</v>
      </c>
      <c r="BX111">
        <v>1.41</v>
      </c>
      <c r="BY111">
        <v>59.7</v>
      </c>
      <c r="BZ111">
        <v>49.2</v>
      </c>
      <c r="CA111">
        <v>0.79</v>
      </c>
      <c r="CB111">
        <v>0.81</v>
      </c>
      <c r="CC111">
        <v>17.399999999999999</v>
      </c>
      <c r="CD111">
        <v>0.9</v>
      </c>
      <c r="CE111">
        <v>1.03</v>
      </c>
      <c r="CF111">
        <v>197.1</v>
      </c>
      <c r="CG111">
        <v>39.700000000000003</v>
      </c>
      <c r="CH111">
        <v>490</v>
      </c>
      <c r="CI111">
        <v>1.75</v>
      </c>
      <c r="CJ111">
        <v>1</v>
      </c>
      <c r="CK111">
        <v>0</v>
      </c>
      <c r="CL111" s="42" t="str">
        <f t="shared" si="15"/>
        <v>1</v>
      </c>
      <c r="CM111">
        <v>0</v>
      </c>
      <c r="CN111" s="4">
        <v>0</v>
      </c>
      <c r="CO111">
        <v>3</v>
      </c>
      <c r="CP111" s="42" t="str">
        <f t="shared" si="16"/>
        <v>1</v>
      </c>
      <c r="CQ111" s="4">
        <v>27.333333333333332</v>
      </c>
      <c r="CR111" s="4">
        <v>0.70370370370370372</v>
      </c>
      <c r="CS111" s="43" t="str">
        <f t="shared" si="17"/>
        <v>1</v>
      </c>
      <c r="CT111" s="4">
        <f t="shared" si="18"/>
        <v>27.333333333333332</v>
      </c>
      <c r="CU111" s="4">
        <f t="shared" si="19"/>
        <v>0.70370370370370372</v>
      </c>
      <c r="CV111" s="4">
        <v>1</v>
      </c>
    </row>
    <row r="112" spans="1:100" x14ac:dyDescent="0.3">
      <c r="A112" s="15" t="s">
        <v>263</v>
      </c>
      <c r="B112" s="17">
        <v>0</v>
      </c>
      <c r="C112" s="3">
        <v>35</v>
      </c>
      <c r="D112">
        <v>1</v>
      </c>
      <c r="E112">
        <v>3</v>
      </c>
      <c r="F112">
        <v>2</v>
      </c>
      <c r="G112">
        <v>0</v>
      </c>
      <c r="H112">
        <v>0</v>
      </c>
      <c r="I112">
        <v>1</v>
      </c>
      <c r="J112" s="4">
        <v>60.9</v>
      </c>
      <c r="K112" s="4">
        <f t="shared" si="24"/>
        <v>1.71</v>
      </c>
      <c r="L112">
        <v>171</v>
      </c>
      <c r="M112" s="4">
        <f t="shared" si="21"/>
        <v>12.301799999999998</v>
      </c>
      <c r="N112" s="4">
        <v>46.1</v>
      </c>
      <c r="O112" s="4">
        <v>20.2</v>
      </c>
      <c r="P112" s="40">
        <v>0</v>
      </c>
      <c r="Q112">
        <v>82</v>
      </c>
      <c r="R112" s="37">
        <v>0</v>
      </c>
      <c r="S112">
        <v>93.3</v>
      </c>
      <c r="T112" s="5">
        <f t="shared" si="20"/>
        <v>0.87888531618435162</v>
      </c>
      <c r="U112" s="37">
        <v>0</v>
      </c>
      <c r="V112" s="4">
        <f t="shared" si="12"/>
        <v>20.826921103929415</v>
      </c>
      <c r="W112" s="39">
        <v>0</v>
      </c>
      <c r="X112">
        <v>6</v>
      </c>
      <c r="Y112" s="40">
        <v>0</v>
      </c>
      <c r="Z112">
        <v>20.21</v>
      </c>
      <c r="AA112" s="23">
        <f t="shared" si="13"/>
        <v>4.9761511111111112</v>
      </c>
      <c r="AB112" s="84">
        <v>1</v>
      </c>
      <c r="AC112" s="5">
        <v>5.54</v>
      </c>
      <c r="AD112" s="37">
        <v>0</v>
      </c>
      <c r="AE112">
        <v>3</v>
      </c>
      <c r="AF112" s="5">
        <v>6.34</v>
      </c>
      <c r="AG112" s="37">
        <v>1</v>
      </c>
      <c r="AH112" s="5">
        <v>2.86</v>
      </c>
      <c r="AI112" s="37">
        <v>1</v>
      </c>
      <c r="AJ112" s="5">
        <v>4.12</v>
      </c>
      <c r="AK112" s="37">
        <v>1</v>
      </c>
      <c r="AL112" s="5">
        <v>0.92</v>
      </c>
      <c r="AM112" s="37">
        <v>1</v>
      </c>
      <c r="AN112" s="4">
        <f t="shared" si="14"/>
        <v>6.8913043478260869</v>
      </c>
      <c r="AO112" s="37">
        <v>1</v>
      </c>
      <c r="AP112">
        <v>109</v>
      </c>
      <c r="AQ112" s="38">
        <v>0</v>
      </c>
      <c r="AR112">
        <v>75</v>
      </c>
      <c r="AS112" s="37">
        <v>0</v>
      </c>
      <c r="AT112">
        <v>76</v>
      </c>
      <c r="AU112">
        <v>35</v>
      </c>
      <c r="AV112">
        <v>5.3</v>
      </c>
      <c r="AW112" s="37">
        <v>1</v>
      </c>
      <c r="AX112">
        <v>1611</v>
      </c>
      <c r="AY112">
        <v>48.5</v>
      </c>
      <c r="AZ112">
        <v>50.9</v>
      </c>
      <c r="BA112">
        <v>254.4</v>
      </c>
      <c r="BB112">
        <v>4.9000000000000004</v>
      </c>
      <c r="BC112">
        <v>135.69999999999999</v>
      </c>
      <c r="BD112">
        <v>91.6</v>
      </c>
      <c r="BE112">
        <v>75.7</v>
      </c>
      <c r="BF112">
        <v>151.4</v>
      </c>
      <c r="BG112">
        <v>28.4</v>
      </c>
      <c r="BH112">
        <v>12.1</v>
      </c>
      <c r="BI112">
        <v>59.2</v>
      </c>
      <c r="BJ112">
        <v>16.899999999999999</v>
      </c>
      <c r="BK112">
        <v>17.600000000000001</v>
      </c>
      <c r="BL112">
        <v>30.3</v>
      </c>
      <c r="BM112">
        <v>8.4</v>
      </c>
      <c r="BN112">
        <v>3.2</v>
      </c>
      <c r="BO112">
        <v>2.76</v>
      </c>
      <c r="BP112">
        <v>0.34</v>
      </c>
      <c r="BQ112">
        <v>0.53</v>
      </c>
      <c r="BR112">
        <v>582</v>
      </c>
      <c r="BS112">
        <v>155.4</v>
      </c>
      <c r="BT112">
        <v>2017</v>
      </c>
      <c r="BU112">
        <v>1444</v>
      </c>
      <c r="BV112">
        <v>10.24</v>
      </c>
      <c r="BW112">
        <v>5.17</v>
      </c>
      <c r="BX112">
        <v>0.93</v>
      </c>
      <c r="BY112">
        <v>33.799999999999997</v>
      </c>
      <c r="BZ112">
        <v>103.4</v>
      </c>
      <c r="CA112">
        <v>0.81</v>
      </c>
      <c r="CB112">
        <v>1.0900000000000001</v>
      </c>
      <c r="CC112">
        <v>15.7</v>
      </c>
      <c r="CD112">
        <v>1.42</v>
      </c>
      <c r="CE112">
        <v>2.4</v>
      </c>
      <c r="CF112">
        <v>129.19999999999999</v>
      </c>
      <c r="CG112">
        <v>19.399999999999999</v>
      </c>
      <c r="CH112">
        <v>259</v>
      </c>
      <c r="CI112">
        <v>4.5199999999999996</v>
      </c>
      <c r="CJ112">
        <v>1.4</v>
      </c>
      <c r="CK112">
        <v>1</v>
      </c>
      <c r="CL112" s="42" t="str">
        <f t="shared" si="15"/>
        <v>1</v>
      </c>
      <c r="CM112">
        <v>13</v>
      </c>
      <c r="CN112" s="4">
        <v>0.26</v>
      </c>
      <c r="CO112">
        <v>5</v>
      </c>
      <c r="CP112" s="42" t="str">
        <f t="shared" si="16"/>
        <v>1</v>
      </c>
      <c r="CQ112" s="4">
        <v>59.666666666666664</v>
      </c>
      <c r="CR112" s="4">
        <v>0.58024691358024694</v>
      </c>
      <c r="CS112" s="43" t="str">
        <f t="shared" si="17"/>
        <v>1</v>
      </c>
      <c r="CT112" s="4">
        <f t="shared" si="18"/>
        <v>72.666666666666657</v>
      </c>
      <c r="CU112" s="4">
        <f t="shared" si="19"/>
        <v>0.84024691358024695</v>
      </c>
      <c r="CV112" s="4">
        <v>1</v>
      </c>
    </row>
    <row r="113" spans="1:100" x14ac:dyDescent="0.3">
      <c r="A113" s="15" t="s">
        <v>264</v>
      </c>
      <c r="B113" s="17">
        <v>0</v>
      </c>
      <c r="C113" s="3">
        <v>52</v>
      </c>
      <c r="D113">
        <v>1</v>
      </c>
      <c r="E113">
        <v>3</v>
      </c>
      <c r="F113">
        <v>2</v>
      </c>
      <c r="G113">
        <v>0</v>
      </c>
      <c r="H113">
        <v>1</v>
      </c>
      <c r="I113">
        <v>1</v>
      </c>
      <c r="J113" s="4">
        <v>64.8</v>
      </c>
      <c r="K113" s="4">
        <f t="shared" si="24"/>
        <v>1.75</v>
      </c>
      <c r="L113">
        <v>175</v>
      </c>
      <c r="M113" s="4">
        <f t="shared" si="21"/>
        <v>14.126399999999999</v>
      </c>
      <c r="N113" s="4">
        <v>48.1</v>
      </c>
      <c r="O113" s="4">
        <v>21.8</v>
      </c>
      <c r="P113" s="40">
        <v>0</v>
      </c>
      <c r="Q113">
        <v>88</v>
      </c>
      <c r="R113" s="37">
        <v>0</v>
      </c>
      <c r="S113">
        <v>98</v>
      </c>
      <c r="T113" s="5">
        <f t="shared" si="20"/>
        <v>0.89795918367346939</v>
      </c>
      <c r="U113" s="37">
        <v>0</v>
      </c>
      <c r="V113" s="4">
        <f t="shared" si="12"/>
        <v>21.159183673469386</v>
      </c>
      <c r="W113" s="39">
        <v>0</v>
      </c>
      <c r="X113">
        <v>11</v>
      </c>
      <c r="Y113" s="37">
        <v>1</v>
      </c>
      <c r="Z113">
        <v>9.7200000000000006</v>
      </c>
      <c r="AA113" s="23">
        <f t="shared" si="13"/>
        <v>2.1297600000000001</v>
      </c>
      <c r="AB113" s="84">
        <v>0</v>
      </c>
      <c r="AC113" s="5">
        <v>4.93</v>
      </c>
      <c r="AD113" s="37">
        <v>0</v>
      </c>
      <c r="AE113">
        <v>3</v>
      </c>
      <c r="AF113" s="5">
        <v>5.82</v>
      </c>
      <c r="AG113" s="37">
        <v>1</v>
      </c>
      <c r="AH113" s="5">
        <v>1.81</v>
      </c>
      <c r="AI113" s="37">
        <v>1</v>
      </c>
      <c r="AJ113" s="5">
        <v>4.17</v>
      </c>
      <c r="AK113" s="37">
        <v>1</v>
      </c>
      <c r="AL113" s="5">
        <v>0.83</v>
      </c>
      <c r="AM113" s="37">
        <v>1</v>
      </c>
      <c r="AN113" s="4">
        <f t="shared" si="14"/>
        <v>7.0120481927710854</v>
      </c>
      <c r="AO113" s="37">
        <v>1</v>
      </c>
      <c r="AP113">
        <v>143</v>
      </c>
      <c r="AQ113" s="37">
        <v>1</v>
      </c>
      <c r="AR113">
        <v>101</v>
      </c>
      <c r="AS113" s="37">
        <v>1</v>
      </c>
      <c r="AT113">
        <v>83</v>
      </c>
      <c r="AU113">
        <v>42</v>
      </c>
      <c r="AV113">
        <v>7.9</v>
      </c>
      <c r="AW113" s="37">
        <v>1</v>
      </c>
      <c r="AX113">
        <v>1705</v>
      </c>
      <c r="AY113">
        <v>61.5</v>
      </c>
      <c r="AZ113">
        <v>46.2</v>
      </c>
      <c r="BA113">
        <v>275.8</v>
      </c>
      <c r="BB113">
        <v>6.1</v>
      </c>
      <c r="BC113">
        <v>190.1</v>
      </c>
      <c r="BD113">
        <v>57.8</v>
      </c>
      <c r="BE113">
        <v>38.299999999999997</v>
      </c>
      <c r="BF113">
        <v>105.9</v>
      </c>
      <c r="BG113">
        <v>24.4</v>
      </c>
      <c r="BH113">
        <v>14.4</v>
      </c>
      <c r="BI113">
        <v>60.7</v>
      </c>
      <c r="BJ113">
        <v>15</v>
      </c>
      <c r="BK113">
        <v>8.4</v>
      </c>
      <c r="BL113">
        <v>28.4</v>
      </c>
      <c r="BM113">
        <v>6.5</v>
      </c>
      <c r="BN113">
        <v>3.7</v>
      </c>
      <c r="BO113">
        <v>2.76</v>
      </c>
      <c r="BP113">
        <v>0.56999999999999995</v>
      </c>
      <c r="BQ113">
        <v>0.28999999999999998</v>
      </c>
      <c r="BR113">
        <v>632</v>
      </c>
      <c r="BS113">
        <v>346.7</v>
      </c>
      <c r="BT113">
        <v>4992</v>
      </c>
      <c r="BU113">
        <v>2354</v>
      </c>
      <c r="BV113">
        <v>12.9</v>
      </c>
      <c r="BW113">
        <v>8.23</v>
      </c>
      <c r="BX113">
        <v>1.46</v>
      </c>
      <c r="BY113">
        <v>48.8</v>
      </c>
      <c r="BZ113">
        <v>94.5</v>
      </c>
      <c r="CA113">
        <v>0.94</v>
      </c>
      <c r="CB113">
        <v>1.29</v>
      </c>
      <c r="CC113">
        <v>19.7</v>
      </c>
      <c r="CD113">
        <v>0.97</v>
      </c>
      <c r="CE113">
        <v>2.52</v>
      </c>
      <c r="CF113">
        <v>463.2</v>
      </c>
      <c r="CG113">
        <v>43.4</v>
      </c>
      <c r="CH113">
        <v>546</v>
      </c>
      <c r="CI113">
        <v>2.83</v>
      </c>
      <c r="CJ113">
        <v>1.5</v>
      </c>
      <c r="CK113">
        <v>2</v>
      </c>
      <c r="CL113" s="42" t="str">
        <f t="shared" si="15"/>
        <v>1</v>
      </c>
      <c r="CM113" s="4">
        <v>98.666666666666671</v>
      </c>
      <c r="CN113" s="4">
        <v>1.9733333333333334</v>
      </c>
      <c r="CO113">
        <v>6</v>
      </c>
      <c r="CP113" s="42" t="str">
        <f t="shared" si="16"/>
        <v>1</v>
      </c>
      <c r="CQ113" s="4">
        <v>65.333333333333329</v>
      </c>
      <c r="CR113" s="4">
        <v>0.92592592592592582</v>
      </c>
      <c r="CS113" s="43" t="str">
        <f t="shared" si="17"/>
        <v>2</v>
      </c>
      <c r="CT113" s="4">
        <f t="shared" si="18"/>
        <v>164</v>
      </c>
      <c r="CU113" s="4">
        <f t="shared" si="19"/>
        <v>2.8992592592592592</v>
      </c>
      <c r="CV113" s="4">
        <v>2</v>
      </c>
    </row>
    <row r="114" spans="1:100" x14ac:dyDescent="0.3">
      <c r="A114" s="15" t="s">
        <v>265</v>
      </c>
      <c r="B114" s="17">
        <v>0</v>
      </c>
      <c r="C114" s="3">
        <v>46</v>
      </c>
      <c r="D114">
        <v>1</v>
      </c>
      <c r="E114">
        <v>3</v>
      </c>
      <c r="F114">
        <v>2</v>
      </c>
      <c r="G114">
        <v>0</v>
      </c>
      <c r="H114">
        <v>1</v>
      </c>
      <c r="I114">
        <v>0</v>
      </c>
      <c r="J114" s="4">
        <v>76.7</v>
      </c>
      <c r="K114" s="4">
        <f t="shared" si="24"/>
        <v>1.74</v>
      </c>
      <c r="L114">
        <v>174</v>
      </c>
      <c r="M114" s="4">
        <f t="shared" si="21"/>
        <v>19.098299999999998</v>
      </c>
      <c r="N114" s="4">
        <v>54.6</v>
      </c>
      <c r="O114" s="4">
        <v>24.9</v>
      </c>
      <c r="P114" s="40">
        <v>1</v>
      </c>
      <c r="Q114">
        <v>86.2</v>
      </c>
      <c r="R114" s="37">
        <v>0</v>
      </c>
      <c r="S114">
        <v>102.8</v>
      </c>
      <c r="T114" s="5">
        <f t="shared" si="20"/>
        <v>0.83852140077821014</v>
      </c>
      <c r="U114" s="37">
        <v>0</v>
      </c>
      <c r="V114" s="4">
        <f t="shared" si="12"/>
        <v>25.333597569031575</v>
      </c>
      <c r="W114" s="39">
        <v>1</v>
      </c>
      <c r="X114">
        <v>13</v>
      </c>
      <c r="Y114" s="37">
        <v>1</v>
      </c>
      <c r="Z114">
        <v>12.18</v>
      </c>
      <c r="AA114" s="23">
        <f t="shared" si="13"/>
        <v>2.2898400000000003</v>
      </c>
      <c r="AB114" s="84">
        <v>0</v>
      </c>
      <c r="AC114" s="5">
        <v>4.2300000000000004</v>
      </c>
      <c r="AD114" s="37">
        <v>0</v>
      </c>
      <c r="AE114">
        <v>19.8</v>
      </c>
      <c r="AF114" s="5">
        <v>6.03</v>
      </c>
      <c r="AG114" s="37">
        <v>1</v>
      </c>
      <c r="AH114" s="5">
        <v>1.91</v>
      </c>
      <c r="AI114" s="37">
        <v>1</v>
      </c>
      <c r="AJ114" s="5">
        <v>4.1900000000000004</v>
      </c>
      <c r="AK114" s="37">
        <v>1</v>
      </c>
      <c r="AL114" s="5">
        <v>0.96</v>
      </c>
      <c r="AM114" s="37">
        <v>1</v>
      </c>
      <c r="AN114" s="4">
        <f t="shared" si="14"/>
        <v>6.2812500000000009</v>
      </c>
      <c r="AO114" s="37">
        <v>1</v>
      </c>
      <c r="AP114">
        <v>125</v>
      </c>
      <c r="AQ114" s="38">
        <v>0</v>
      </c>
      <c r="AR114">
        <v>68</v>
      </c>
      <c r="AS114" s="37">
        <v>0</v>
      </c>
      <c r="AT114">
        <v>84</v>
      </c>
      <c r="AU114">
        <v>57</v>
      </c>
      <c r="AV114">
        <v>6.8</v>
      </c>
      <c r="AW114" s="37">
        <v>1</v>
      </c>
      <c r="AX114">
        <v>2177</v>
      </c>
      <c r="AY114">
        <v>64.5</v>
      </c>
      <c r="AZ114">
        <v>75</v>
      </c>
      <c r="BA114">
        <v>329.7</v>
      </c>
      <c r="BB114">
        <v>8.1999999999999993</v>
      </c>
      <c r="BC114">
        <v>215.7</v>
      </c>
      <c r="BD114">
        <v>70.400000000000006</v>
      </c>
      <c r="BE114">
        <v>53</v>
      </c>
      <c r="BF114">
        <v>105.9</v>
      </c>
      <c r="BG114">
        <v>31</v>
      </c>
      <c r="BH114">
        <v>11.8</v>
      </c>
      <c r="BI114">
        <v>56.8</v>
      </c>
      <c r="BJ114">
        <v>18</v>
      </c>
      <c r="BK114">
        <v>9.1</v>
      </c>
      <c r="BL114">
        <v>43.4</v>
      </c>
      <c r="BM114">
        <v>6.5</v>
      </c>
      <c r="BN114">
        <v>2.4</v>
      </c>
      <c r="BO114">
        <v>1.76</v>
      </c>
      <c r="BP114">
        <v>0.47</v>
      </c>
      <c r="BQ114">
        <v>0</v>
      </c>
      <c r="BR114">
        <v>784</v>
      </c>
      <c r="BS114">
        <v>354.2</v>
      </c>
      <c r="BT114">
        <v>4587</v>
      </c>
      <c r="BU114">
        <v>2348</v>
      </c>
      <c r="BV114">
        <v>16.72</v>
      </c>
      <c r="BW114">
        <v>8.39</v>
      </c>
      <c r="BX114">
        <v>1.96</v>
      </c>
      <c r="BY114">
        <v>39.799999999999997</v>
      </c>
      <c r="BZ114">
        <v>28.6</v>
      </c>
      <c r="CA114">
        <v>1.21</v>
      </c>
      <c r="CB114">
        <v>1.32</v>
      </c>
      <c r="CC114">
        <v>19.5</v>
      </c>
      <c r="CD114">
        <v>0.76</v>
      </c>
      <c r="CE114">
        <v>2.06</v>
      </c>
      <c r="CF114">
        <v>405.4</v>
      </c>
      <c r="CG114">
        <v>56</v>
      </c>
      <c r="CH114">
        <v>513</v>
      </c>
      <c r="CI114">
        <v>11.37</v>
      </c>
      <c r="CJ114">
        <v>1.3</v>
      </c>
      <c r="CK114">
        <v>2</v>
      </c>
      <c r="CL114" s="42" t="str">
        <f t="shared" si="15"/>
        <v>2</v>
      </c>
      <c r="CM114" s="4">
        <v>135.33333333333334</v>
      </c>
      <c r="CN114" s="4">
        <v>2.706666666666667</v>
      </c>
      <c r="CO114">
        <v>4</v>
      </c>
      <c r="CP114" s="42" t="str">
        <f t="shared" si="16"/>
        <v>1</v>
      </c>
      <c r="CQ114" s="4">
        <v>102</v>
      </c>
      <c r="CR114" s="4">
        <v>1.780246913580247</v>
      </c>
      <c r="CS114" s="43" t="str">
        <f t="shared" si="17"/>
        <v>2</v>
      </c>
      <c r="CT114" s="4">
        <f t="shared" si="18"/>
        <v>237.33333333333334</v>
      </c>
      <c r="CU114" s="4">
        <f t="shared" si="19"/>
        <v>4.486913580246914</v>
      </c>
      <c r="CV114" s="4">
        <v>4</v>
      </c>
    </row>
    <row r="115" spans="1:100" x14ac:dyDescent="0.3">
      <c r="A115" s="15" t="s">
        <v>266</v>
      </c>
      <c r="B115" s="17">
        <v>0</v>
      </c>
      <c r="C115" s="3">
        <v>35</v>
      </c>
      <c r="D115">
        <v>1</v>
      </c>
      <c r="E115">
        <v>3</v>
      </c>
      <c r="F115">
        <v>1</v>
      </c>
      <c r="G115">
        <v>0</v>
      </c>
      <c r="H115">
        <v>0</v>
      </c>
      <c r="I115">
        <v>1</v>
      </c>
      <c r="J115" s="4">
        <v>79.2</v>
      </c>
      <c r="K115" s="4">
        <f t="shared" si="24"/>
        <v>1.71</v>
      </c>
      <c r="L115">
        <v>171</v>
      </c>
      <c r="M115" s="4">
        <f t="shared" si="21"/>
        <v>25.819200000000002</v>
      </c>
      <c r="N115" s="4">
        <v>50.6</v>
      </c>
      <c r="O115" s="4">
        <v>32.6</v>
      </c>
      <c r="P115" s="40">
        <v>1</v>
      </c>
      <c r="Q115">
        <v>91.9</v>
      </c>
      <c r="R115" s="37">
        <v>1</v>
      </c>
      <c r="S115">
        <v>103.5</v>
      </c>
      <c r="T115" s="5">
        <f t="shared" si="20"/>
        <v>0.88792270531400974</v>
      </c>
      <c r="U115" s="37">
        <v>0</v>
      </c>
      <c r="V115" s="4">
        <f t="shared" si="12"/>
        <v>27.085257002154513</v>
      </c>
      <c r="W115" s="39">
        <v>1</v>
      </c>
      <c r="X115">
        <v>14</v>
      </c>
      <c r="Y115" s="37">
        <v>1</v>
      </c>
      <c r="Z115">
        <v>7.29</v>
      </c>
      <c r="AA115" s="23">
        <f t="shared" si="13"/>
        <v>1.5440868000000001</v>
      </c>
      <c r="AB115" s="84">
        <v>0</v>
      </c>
      <c r="AC115" s="5">
        <v>4.7656999999999998</v>
      </c>
      <c r="AD115" s="37">
        <v>0</v>
      </c>
      <c r="AE115" s="5">
        <v>17.896080000000001</v>
      </c>
      <c r="AF115" s="5">
        <v>4.4768800000000004</v>
      </c>
      <c r="AG115" s="37">
        <v>0</v>
      </c>
      <c r="AH115" s="5">
        <v>0.95259000000000005</v>
      </c>
      <c r="AI115" s="37">
        <v>0</v>
      </c>
      <c r="AJ115" s="5">
        <v>2.9155700000000002</v>
      </c>
      <c r="AK115" s="37">
        <v>0</v>
      </c>
      <c r="AL115" s="5">
        <v>1.1283099999999999</v>
      </c>
      <c r="AM115" s="37">
        <v>0</v>
      </c>
      <c r="AN115" s="4">
        <f t="shared" si="14"/>
        <v>3.9677748136593674</v>
      </c>
      <c r="AO115" s="37">
        <v>0</v>
      </c>
      <c r="AP115">
        <v>130</v>
      </c>
      <c r="AQ115" s="37">
        <v>1</v>
      </c>
      <c r="AR115">
        <v>86</v>
      </c>
      <c r="AS115" s="37">
        <v>1</v>
      </c>
      <c r="AT115">
        <v>68</v>
      </c>
      <c r="AU115">
        <v>44</v>
      </c>
      <c r="AV115">
        <v>6.1</v>
      </c>
      <c r="AW115" s="37">
        <v>1</v>
      </c>
      <c r="AX115">
        <v>1451</v>
      </c>
      <c r="AY115">
        <v>35.200000000000003</v>
      </c>
      <c r="AZ115">
        <v>41.3</v>
      </c>
      <c r="BA115">
        <v>249.9</v>
      </c>
      <c r="BB115">
        <v>5.4</v>
      </c>
      <c r="BC115">
        <v>149</v>
      </c>
      <c r="BD115">
        <v>82</v>
      </c>
      <c r="BE115">
        <v>63.2</v>
      </c>
      <c r="BF115">
        <v>19.2</v>
      </c>
      <c r="BG115">
        <v>25.6</v>
      </c>
      <c r="BH115">
        <v>9.6999999999999993</v>
      </c>
      <c r="BI115">
        <v>64.599999999999994</v>
      </c>
      <c r="BJ115">
        <v>16.7</v>
      </c>
      <c r="BK115">
        <v>16.3</v>
      </c>
      <c r="BL115">
        <v>26.9</v>
      </c>
      <c r="BM115">
        <v>3.7</v>
      </c>
      <c r="BN115">
        <v>1.7</v>
      </c>
      <c r="BO115">
        <v>1.5</v>
      </c>
      <c r="BP115">
        <v>7.0000000000000007E-2</v>
      </c>
      <c r="BQ115">
        <v>0</v>
      </c>
      <c r="BR115">
        <v>562</v>
      </c>
      <c r="BS115">
        <v>150.1</v>
      </c>
      <c r="BT115">
        <v>1679</v>
      </c>
      <c r="BU115">
        <v>1296</v>
      </c>
      <c r="BV115">
        <v>7.81</v>
      </c>
      <c r="BW115">
        <v>3.82</v>
      </c>
      <c r="BX115">
        <v>1.04</v>
      </c>
      <c r="BY115">
        <v>32.4</v>
      </c>
      <c r="BZ115">
        <v>19.899999999999999</v>
      </c>
      <c r="CA115">
        <v>0.71</v>
      </c>
      <c r="CB115">
        <v>0.63</v>
      </c>
      <c r="CC115">
        <v>9.6999999999999993</v>
      </c>
      <c r="CD115">
        <v>0.67</v>
      </c>
      <c r="CE115">
        <v>0.68</v>
      </c>
      <c r="CF115">
        <v>126.9</v>
      </c>
      <c r="CG115">
        <v>22.2</v>
      </c>
      <c r="CH115">
        <v>250</v>
      </c>
      <c r="CI115">
        <v>5.24</v>
      </c>
      <c r="CJ115">
        <v>1</v>
      </c>
      <c r="CK115">
        <v>3</v>
      </c>
      <c r="CL115" s="42" t="str">
        <f t="shared" si="15"/>
        <v>2</v>
      </c>
      <c r="CM115">
        <v>198</v>
      </c>
      <c r="CN115" s="4">
        <v>3.96</v>
      </c>
      <c r="CO115">
        <v>4</v>
      </c>
      <c r="CP115" s="42" t="str">
        <f t="shared" si="16"/>
        <v>1</v>
      </c>
      <c r="CQ115" s="4">
        <v>68</v>
      </c>
      <c r="CR115" s="4">
        <v>0.57654320987654317</v>
      </c>
      <c r="CS115" s="43" t="str">
        <f t="shared" si="17"/>
        <v>2</v>
      </c>
      <c r="CT115" s="4">
        <f t="shared" si="18"/>
        <v>266</v>
      </c>
      <c r="CU115" s="4">
        <f t="shared" si="19"/>
        <v>4.5365432098765428</v>
      </c>
      <c r="CV115" s="4">
        <v>4</v>
      </c>
    </row>
    <row r="116" spans="1:100" x14ac:dyDescent="0.3">
      <c r="A116" s="15" t="s">
        <v>267</v>
      </c>
      <c r="B116" s="17">
        <v>0</v>
      </c>
      <c r="C116" s="3">
        <v>38</v>
      </c>
      <c r="D116">
        <v>4</v>
      </c>
      <c r="E116">
        <v>1</v>
      </c>
      <c r="F116">
        <v>1</v>
      </c>
      <c r="G116">
        <v>0</v>
      </c>
      <c r="H116">
        <v>0</v>
      </c>
      <c r="I116">
        <v>1</v>
      </c>
      <c r="J116" s="4">
        <v>51.5</v>
      </c>
      <c r="K116" s="4">
        <f t="shared" si="24"/>
        <v>1.64</v>
      </c>
      <c r="L116">
        <v>164</v>
      </c>
      <c r="M116" s="4">
        <f t="shared" si="21"/>
        <v>6.0254999999999992</v>
      </c>
      <c r="N116" s="4">
        <v>43.1</v>
      </c>
      <c r="O116" s="4">
        <v>11.7</v>
      </c>
      <c r="P116" s="40">
        <v>0</v>
      </c>
      <c r="Q116">
        <v>71</v>
      </c>
      <c r="R116" s="37">
        <v>0</v>
      </c>
      <c r="S116">
        <v>87</v>
      </c>
      <c r="T116" s="5">
        <f t="shared" si="20"/>
        <v>0.81609195402298851</v>
      </c>
      <c r="U116" s="37">
        <v>0</v>
      </c>
      <c r="V116" s="4">
        <f t="shared" si="12"/>
        <v>19.147828673408689</v>
      </c>
      <c r="W116" s="39">
        <v>0</v>
      </c>
      <c r="X116">
        <v>3</v>
      </c>
      <c r="Y116" s="40">
        <v>0</v>
      </c>
      <c r="Z116">
        <v>5.2</v>
      </c>
      <c r="AA116" s="23">
        <f t="shared" si="13"/>
        <v>1.0839111111111113</v>
      </c>
      <c r="AB116" s="84">
        <v>0</v>
      </c>
      <c r="AC116" s="5">
        <v>4.6900000000000004</v>
      </c>
      <c r="AD116" s="37">
        <v>0</v>
      </c>
      <c r="AE116">
        <v>9.18</v>
      </c>
      <c r="AF116" s="5">
        <v>5.4</v>
      </c>
      <c r="AG116" s="37">
        <v>1</v>
      </c>
      <c r="AH116" s="5">
        <v>0.87</v>
      </c>
      <c r="AI116" s="37">
        <v>0</v>
      </c>
      <c r="AJ116" s="5">
        <v>3.59</v>
      </c>
      <c r="AK116" s="37">
        <v>1</v>
      </c>
      <c r="AL116" s="5">
        <v>1.42</v>
      </c>
      <c r="AM116" s="37">
        <v>0</v>
      </c>
      <c r="AN116" s="4">
        <f t="shared" si="14"/>
        <v>3.802816901408451</v>
      </c>
      <c r="AO116" s="37">
        <v>0</v>
      </c>
      <c r="AP116">
        <v>100</v>
      </c>
      <c r="AQ116" s="38">
        <v>0</v>
      </c>
      <c r="AR116">
        <v>71</v>
      </c>
      <c r="AS116" s="37">
        <v>0</v>
      </c>
      <c r="AT116">
        <v>55</v>
      </c>
      <c r="AU116">
        <v>29</v>
      </c>
      <c r="AV116">
        <v>5.3</v>
      </c>
      <c r="AW116" s="37">
        <v>1</v>
      </c>
      <c r="AX116">
        <v>2043</v>
      </c>
      <c r="AY116">
        <v>40.9</v>
      </c>
      <c r="AZ116">
        <v>68.099999999999994</v>
      </c>
      <c r="BA116">
        <v>336.7</v>
      </c>
      <c r="BB116">
        <v>11.8</v>
      </c>
      <c r="BC116">
        <v>269.10000000000002</v>
      </c>
      <c r="BD116">
        <v>44.2</v>
      </c>
      <c r="BE116">
        <v>35</v>
      </c>
      <c r="BF116">
        <v>13.6</v>
      </c>
      <c r="BG116">
        <v>30</v>
      </c>
      <c r="BH116">
        <v>8</v>
      </c>
      <c r="BI116">
        <v>61.8</v>
      </c>
      <c r="BJ116">
        <v>20.5</v>
      </c>
      <c r="BK116">
        <v>6.4</v>
      </c>
      <c r="BL116">
        <v>46.6</v>
      </c>
      <c r="BM116">
        <v>6.8</v>
      </c>
      <c r="BN116">
        <v>2.6</v>
      </c>
      <c r="BO116">
        <v>2.4</v>
      </c>
      <c r="BP116">
        <v>0.05</v>
      </c>
      <c r="BQ116">
        <v>0.05</v>
      </c>
      <c r="BR116">
        <v>629</v>
      </c>
      <c r="BS116">
        <v>161.4</v>
      </c>
      <c r="BT116">
        <v>2119</v>
      </c>
      <c r="BU116">
        <v>1389</v>
      </c>
      <c r="BV116">
        <v>10.19</v>
      </c>
      <c r="BW116">
        <v>5.96</v>
      </c>
      <c r="BX116">
        <v>1.21</v>
      </c>
      <c r="BY116">
        <v>49.3</v>
      </c>
      <c r="BZ116">
        <v>42.8</v>
      </c>
      <c r="CA116">
        <v>1.1499999999999999</v>
      </c>
      <c r="CB116">
        <v>0.96</v>
      </c>
      <c r="CC116">
        <v>11.9</v>
      </c>
      <c r="CD116">
        <v>0.66</v>
      </c>
      <c r="CE116">
        <v>0</v>
      </c>
      <c r="CF116">
        <v>140.1</v>
      </c>
      <c r="CG116">
        <v>34.4</v>
      </c>
      <c r="CH116">
        <v>359</v>
      </c>
      <c r="CI116">
        <v>0</v>
      </c>
      <c r="CJ116">
        <v>1.7</v>
      </c>
      <c r="CK116">
        <v>0</v>
      </c>
      <c r="CL116" s="42" t="str">
        <f t="shared" si="15"/>
        <v>1</v>
      </c>
      <c r="CM116">
        <v>0</v>
      </c>
      <c r="CN116" s="4">
        <v>0</v>
      </c>
      <c r="CO116">
        <v>10</v>
      </c>
      <c r="CP116" s="42" t="str">
        <f t="shared" si="16"/>
        <v>2</v>
      </c>
      <c r="CQ116" s="4">
        <v>181</v>
      </c>
      <c r="CR116" s="4">
        <v>2.9074074074074074</v>
      </c>
      <c r="CS116" s="43" t="str">
        <f t="shared" si="17"/>
        <v>2</v>
      </c>
      <c r="CT116" s="4">
        <f t="shared" si="18"/>
        <v>181</v>
      </c>
      <c r="CU116" s="4">
        <f t="shared" si="19"/>
        <v>2.9074074074074074</v>
      </c>
      <c r="CV116" s="4">
        <v>2</v>
      </c>
    </row>
    <row r="117" spans="1:100" x14ac:dyDescent="0.3">
      <c r="A117" s="15" t="s">
        <v>268</v>
      </c>
      <c r="B117" s="17">
        <v>0</v>
      </c>
      <c r="C117" s="3">
        <v>53</v>
      </c>
      <c r="D117">
        <v>2</v>
      </c>
      <c r="E117">
        <v>1</v>
      </c>
      <c r="F117">
        <v>2</v>
      </c>
      <c r="G117">
        <v>0</v>
      </c>
      <c r="H117">
        <v>1</v>
      </c>
      <c r="I117">
        <v>1</v>
      </c>
      <c r="J117" s="4">
        <v>87.1</v>
      </c>
      <c r="K117" s="4">
        <f t="shared" si="24"/>
        <v>1.7290000000000001</v>
      </c>
      <c r="L117">
        <v>172.9</v>
      </c>
      <c r="M117" s="4">
        <f t="shared" si="21"/>
        <v>19.249100000000002</v>
      </c>
      <c r="N117" s="4">
        <v>64.400000000000006</v>
      </c>
      <c r="O117" s="4">
        <v>22.1</v>
      </c>
      <c r="P117" s="40">
        <v>0</v>
      </c>
      <c r="Q117">
        <v>101</v>
      </c>
      <c r="R117" s="37">
        <v>1</v>
      </c>
      <c r="S117">
        <v>107</v>
      </c>
      <c r="T117" s="5">
        <f t="shared" si="20"/>
        <v>0.94392523364485981</v>
      </c>
      <c r="U117" s="37">
        <v>1</v>
      </c>
      <c r="V117" s="4">
        <f t="shared" si="12"/>
        <v>29.135881925751331</v>
      </c>
      <c r="W117" s="39">
        <v>1</v>
      </c>
      <c r="X117">
        <v>13</v>
      </c>
      <c r="Y117" s="37">
        <v>1</v>
      </c>
      <c r="Z117">
        <v>22.8</v>
      </c>
      <c r="AA117" s="23">
        <f t="shared" si="13"/>
        <v>6.4853333333333341</v>
      </c>
      <c r="AB117" s="84">
        <v>1</v>
      </c>
      <c r="AC117" s="5">
        <v>6.4</v>
      </c>
      <c r="AD117" s="37">
        <v>1</v>
      </c>
      <c r="AE117">
        <v>4.8499999999999996</v>
      </c>
      <c r="AF117" s="5">
        <v>5.82</v>
      </c>
      <c r="AG117" s="37">
        <v>1</v>
      </c>
      <c r="AH117" s="5">
        <v>1.21</v>
      </c>
      <c r="AI117" s="37">
        <v>0</v>
      </c>
      <c r="AJ117" s="5">
        <v>4.2</v>
      </c>
      <c r="AK117" s="37">
        <v>1</v>
      </c>
      <c r="AL117" s="5">
        <v>1.06</v>
      </c>
      <c r="AM117" s="37">
        <v>0</v>
      </c>
      <c r="AN117" s="4">
        <f t="shared" si="14"/>
        <v>5.4905660377358494</v>
      </c>
      <c r="AO117" s="37">
        <v>1</v>
      </c>
      <c r="AP117">
        <v>108</v>
      </c>
      <c r="AQ117" s="38">
        <v>0</v>
      </c>
      <c r="AR117">
        <v>77</v>
      </c>
      <c r="AS117" s="37">
        <v>0</v>
      </c>
      <c r="AT117">
        <v>63</v>
      </c>
      <c r="AU117">
        <v>32</v>
      </c>
      <c r="AV117">
        <v>7</v>
      </c>
      <c r="AW117" s="37">
        <v>1</v>
      </c>
      <c r="AX117">
        <v>1824</v>
      </c>
      <c r="AY117">
        <v>61.7</v>
      </c>
      <c r="AZ117">
        <v>48.1</v>
      </c>
      <c r="BA117">
        <v>303.89999999999998</v>
      </c>
      <c r="BB117">
        <v>4.9000000000000004</v>
      </c>
      <c r="BC117">
        <v>253.8</v>
      </c>
      <c r="BD117">
        <v>26.3</v>
      </c>
      <c r="BE117">
        <v>19.7</v>
      </c>
      <c r="BF117">
        <v>105.7</v>
      </c>
      <c r="BG117">
        <v>23.7</v>
      </c>
      <c r="BH117">
        <v>13.5</v>
      </c>
      <c r="BI117">
        <v>62.5</v>
      </c>
      <c r="BJ117">
        <v>18.600000000000001</v>
      </c>
      <c r="BK117">
        <v>4</v>
      </c>
      <c r="BL117">
        <v>37.799999999999997</v>
      </c>
      <c r="BM117">
        <v>3.2</v>
      </c>
      <c r="BN117">
        <v>1.3</v>
      </c>
      <c r="BO117">
        <v>1</v>
      </c>
      <c r="BP117">
        <v>0.12</v>
      </c>
      <c r="BQ117">
        <v>0</v>
      </c>
      <c r="BR117">
        <v>308</v>
      </c>
      <c r="BS117">
        <v>194.4</v>
      </c>
      <c r="BT117">
        <v>2858</v>
      </c>
      <c r="BU117">
        <v>2088</v>
      </c>
      <c r="BV117">
        <v>10.67</v>
      </c>
      <c r="BW117">
        <v>6.72</v>
      </c>
      <c r="BX117">
        <v>1.03</v>
      </c>
      <c r="BY117">
        <v>19.8</v>
      </c>
      <c r="BZ117">
        <v>13</v>
      </c>
      <c r="CA117">
        <v>0.41</v>
      </c>
      <c r="CB117">
        <v>0.44</v>
      </c>
      <c r="CC117">
        <v>24.4</v>
      </c>
      <c r="CD117">
        <v>0.84</v>
      </c>
      <c r="CE117">
        <v>1.34</v>
      </c>
      <c r="CF117">
        <v>188.8</v>
      </c>
      <c r="CG117">
        <v>43.9</v>
      </c>
      <c r="CH117">
        <v>483</v>
      </c>
      <c r="CI117">
        <v>5.25</v>
      </c>
      <c r="CJ117">
        <v>1.6</v>
      </c>
      <c r="CK117">
        <v>1</v>
      </c>
      <c r="CL117" s="42" t="str">
        <f t="shared" si="15"/>
        <v>1</v>
      </c>
      <c r="CM117">
        <v>40</v>
      </c>
      <c r="CN117" s="4">
        <v>0.8</v>
      </c>
      <c r="CO117">
        <v>5</v>
      </c>
      <c r="CP117" s="42" t="str">
        <f t="shared" si="16"/>
        <v>2</v>
      </c>
      <c r="CQ117" s="4">
        <v>210.66666666666666</v>
      </c>
      <c r="CR117" s="4">
        <v>3.0555555555555554</v>
      </c>
      <c r="CS117" s="43" t="str">
        <f t="shared" si="17"/>
        <v>2</v>
      </c>
      <c r="CT117" s="4">
        <f t="shared" si="18"/>
        <v>250.66666666666666</v>
      </c>
      <c r="CU117" s="4">
        <f t="shared" si="19"/>
        <v>3.8555555555555552</v>
      </c>
      <c r="CV117" s="4">
        <v>3</v>
      </c>
    </row>
    <row r="118" spans="1:100" x14ac:dyDescent="0.3">
      <c r="A118" s="15" t="s">
        <v>269</v>
      </c>
      <c r="B118" s="17">
        <v>0</v>
      </c>
      <c r="C118" s="3">
        <v>49</v>
      </c>
      <c r="D118">
        <v>2</v>
      </c>
      <c r="E118">
        <v>1</v>
      </c>
      <c r="F118">
        <v>0</v>
      </c>
      <c r="G118">
        <v>0</v>
      </c>
      <c r="H118">
        <v>1</v>
      </c>
      <c r="I118">
        <v>1</v>
      </c>
      <c r="J118" s="4">
        <v>74.3</v>
      </c>
      <c r="K118" s="4">
        <f t="shared" si="24"/>
        <v>1.7150000000000001</v>
      </c>
      <c r="L118">
        <v>171.5</v>
      </c>
      <c r="M118" s="4">
        <f t="shared" si="21"/>
        <v>15.4544</v>
      </c>
      <c r="N118" s="4">
        <v>55.8</v>
      </c>
      <c r="O118" s="4">
        <v>20.8</v>
      </c>
      <c r="P118" s="40">
        <v>0</v>
      </c>
      <c r="Q118">
        <v>91.1</v>
      </c>
      <c r="R118" s="37">
        <v>1</v>
      </c>
      <c r="S118">
        <v>102</v>
      </c>
      <c r="T118" s="5">
        <f t="shared" si="20"/>
        <v>0.89313725490196072</v>
      </c>
      <c r="U118" s="37">
        <v>0</v>
      </c>
      <c r="V118" s="4">
        <f t="shared" si="12"/>
        <v>25.261583183877462</v>
      </c>
      <c r="W118" s="39">
        <v>1</v>
      </c>
      <c r="X118">
        <v>11</v>
      </c>
      <c r="Y118" s="37">
        <v>1</v>
      </c>
      <c r="Z118">
        <v>6.28</v>
      </c>
      <c r="AA118" s="23">
        <f t="shared" si="13"/>
        <v>1.3816000000000002</v>
      </c>
      <c r="AB118" s="84">
        <v>0</v>
      </c>
      <c r="AC118" s="5">
        <v>4.95</v>
      </c>
      <c r="AD118" s="37">
        <v>0</v>
      </c>
      <c r="AE118">
        <v>39.630000000000003</v>
      </c>
      <c r="AF118" s="5">
        <v>6.37</v>
      </c>
      <c r="AG118" s="37">
        <v>1</v>
      </c>
      <c r="AH118" s="5">
        <v>1.8</v>
      </c>
      <c r="AI118" s="37">
        <v>1</v>
      </c>
      <c r="AJ118" s="5">
        <v>4.43</v>
      </c>
      <c r="AK118" s="37">
        <v>1</v>
      </c>
      <c r="AL118" s="5">
        <v>1.1200000000000001</v>
      </c>
      <c r="AM118" s="37">
        <v>0</v>
      </c>
      <c r="AN118" s="4">
        <f t="shared" si="14"/>
        <v>5.6874999999999991</v>
      </c>
      <c r="AO118" s="37">
        <v>1</v>
      </c>
      <c r="AP118">
        <v>126</v>
      </c>
      <c r="AQ118" s="38">
        <v>0</v>
      </c>
      <c r="AR118">
        <v>87</v>
      </c>
      <c r="AS118" s="37">
        <v>1</v>
      </c>
      <c r="AT118">
        <v>53</v>
      </c>
      <c r="AU118">
        <v>38</v>
      </c>
      <c r="AV118">
        <v>7.2</v>
      </c>
      <c r="AW118" s="37">
        <v>1</v>
      </c>
      <c r="AX118">
        <v>2352</v>
      </c>
      <c r="AY118">
        <v>100.6</v>
      </c>
      <c r="AZ118">
        <v>71</v>
      </c>
      <c r="BA118">
        <v>348</v>
      </c>
      <c r="BB118">
        <v>5</v>
      </c>
      <c r="BC118">
        <v>274.39999999999998</v>
      </c>
      <c r="BD118">
        <v>42.6</v>
      </c>
      <c r="BE118">
        <v>28.1</v>
      </c>
      <c r="BF118">
        <v>368</v>
      </c>
      <c r="BG118">
        <v>27.2</v>
      </c>
      <c r="BH118">
        <v>17.100000000000001</v>
      </c>
      <c r="BI118">
        <v>55.5</v>
      </c>
      <c r="BJ118">
        <v>16.899999999999999</v>
      </c>
      <c r="BK118">
        <v>4.5</v>
      </c>
      <c r="BL118">
        <v>44.2</v>
      </c>
      <c r="BM118">
        <v>10.9</v>
      </c>
      <c r="BN118">
        <v>5.4</v>
      </c>
      <c r="BO118">
        <v>1.96</v>
      </c>
      <c r="BP118">
        <v>1.85</v>
      </c>
      <c r="BQ118">
        <v>0.28999999999999998</v>
      </c>
      <c r="BR118">
        <v>567</v>
      </c>
      <c r="BS118">
        <v>293.2</v>
      </c>
      <c r="BT118">
        <v>28129</v>
      </c>
      <c r="BU118">
        <v>2769</v>
      </c>
      <c r="BV118">
        <v>20.16</v>
      </c>
      <c r="BW118">
        <v>8.77</v>
      </c>
      <c r="BX118">
        <v>1.28</v>
      </c>
      <c r="BY118">
        <v>74.400000000000006</v>
      </c>
      <c r="BZ118">
        <v>68.7</v>
      </c>
      <c r="CA118">
        <v>0.83</v>
      </c>
      <c r="CB118">
        <v>1.1499999999999999</v>
      </c>
      <c r="CC118">
        <v>30.9</v>
      </c>
      <c r="CD118">
        <v>1.46</v>
      </c>
      <c r="CE118">
        <v>14.7</v>
      </c>
      <c r="CF118">
        <v>172.9</v>
      </c>
      <c r="CG118">
        <v>26.5</v>
      </c>
      <c r="CH118">
        <v>398</v>
      </c>
      <c r="CI118">
        <v>15.52</v>
      </c>
      <c r="CJ118">
        <v>1.9</v>
      </c>
      <c r="CK118">
        <v>1</v>
      </c>
      <c r="CL118" s="42" t="str">
        <f t="shared" si="15"/>
        <v>1</v>
      </c>
      <c r="CM118">
        <v>26</v>
      </c>
      <c r="CN118" s="4">
        <v>0.52</v>
      </c>
      <c r="CO118">
        <v>6</v>
      </c>
      <c r="CP118" s="42" t="str">
        <f t="shared" si="16"/>
        <v>1</v>
      </c>
      <c r="CQ118" s="4">
        <v>115.66666666666667</v>
      </c>
      <c r="CR118" s="4">
        <v>1.5592592592592593</v>
      </c>
      <c r="CS118" s="43" t="str">
        <f t="shared" si="17"/>
        <v>1</v>
      </c>
      <c r="CT118" s="4">
        <f t="shared" si="18"/>
        <v>141.66666666666669</v>
      </c>
      <c r="CU118" s="4">
        <f t="shared" si="19"/>
        <v>2.0792592592592594</v>
      </c>
      <c r="CV118" s="4">
        <v>2</v>
      </c>
    </row>
    <row r="119" spans="1:100" x14ac:dyDescent="0.3">
      <c r="A119" s="15" t="s">
        <v>270</v>
      </c>
      <c r="B119" s="17">
        <v>0</v>
      </c>
      <c r="C119" s="3">
        <v>32</v>
      </c>
      <c r="D119">
        <v>1</v>
      </c>
      <c r="E119">
        <v>3</v>
      </c>
      <c r="F119">
        <v>2</v>
      </c>
      <c r="G119">
        <v>0</v>
      </c>
      <c r="H119">
        <v>1</v>
      </c>
      <c r="I119">
        <v>1</v>
      </c>
      <c r="J119" s="4">
        <v>75.900000000000006</v>
      </c>
      <c r="K119" s="4">
        <f t="shared" si="24"/>
        <v>1.72</v>
      </c>
      <c r="L119">
        <v>172</v>
      </c>
      <c r="M119" s="4">
        <f t="shared" si="21"/>
        <v>16.242599999999999</v>
      </c>
      <c r="N119" s="4">
        <v>56.6</v>
      </c>
      <c r="O119" s="4">
        <v>21.4</v>
      </c>
      <c r="P119" s="40">
        <v>0</v>
      </c>
      <c r="Q119">
        <v>83</v>
      </c>
      <c r="R119" s="37">
        <v>0</v>
      </c>
      <c r="S119">
        <v>96</v>
      </c>
      <c r="T119" s="5">
        <f t="shared" si="20"/>
        <v>0.86458333333333337</v>
      </c>
      <c r="U119" s="37">
        <v>0</v>
      </c>
      <c r="V119" s="4">
        <f t="shared" si="12"/>
        <v>25.655759870200114</v>
      </c>
      <c r="W119" s="39">
        <v>1</v>
      </c>
      <c r="X119">
        <v>10</v>
      </c>
      <c r="Y119" s="37">
        <v>1</v>
      </c>
      <c r="Z119">
        <v>9.67</v>
      </c>
      <c r="AA119" s="23">
        <f t="shared" si="13"/>
        <v>2.0285511111111107</v>
      </c>
      <c r="AB119" s="84">
        <v>0</v>
      </c>
      <c r="AC119" s="5">
        <v>4.72</v>
      </c>
      <c r="AD119" s="37">
        <v>0</v>
      </c>
      <c r="AE119">
        <v>3</v>
      </c>
      <c r="AF119" s="5">
        <v>4.87</v>
      </c>
      <c r="AG119" s="37">
        <v>0</v>
      </c>
      <c r="AH119" s="5">
        <v>0.91</v>
      </c>
      <c r="AI119" s="37">
        <v>0</v>
      </c>
      <c r="AJ119" s="5">
        <v>3.44</v>
      </c>
      <c r="AK119" s="37">
        <v>1</v>
      </c>
      <c r="AL119" s="5">
        <v>1.02</v>
      </c>
      <c r="AM119" s="37">
        <v>0</v>
      </c>
      <c r="AN119" s="4">
        <f t="shared" si="14"/>
        <v>4.7745098039215685</v>
      </c>
      <c r="AO119" s="37">
        <v>1</v>
      </c>
      <c r="AP119">
        <v>116</v>
      </c>
      <c r="AQ119" s="38">
        <v>0</v>
      </c>
      <c r="AR119">
        <v>71</v>
      </c>
      <c r="AS119" s="37">
        <v>0</v>
      </c>
      <c r="AT119">
        <v>60</v>
      </c>
      <c r="AU119">
        <v>45</v>
      </c>
      <c r="AV119">
        <v>5.4</v>
      </c>
      <c r="AW119" s="37">
        <v>1</v>
      </c>
      <c r="AX119">
        <v>2143</v>
      </c>
      <c r="AY119">
        <v>109.1</v>
      </c>
      <c r="AZ119">
        <v>63.8</v>
      </c>
      <c r="BA119">
        <v>355.8</v>
      </c>
      <c r="BB119">
        <v>10</v>
      </c>
      <c r="BC119">
        <v>274.5</v>
      </c>
      <c r="BD119">
        <v>64.400000000000006</v>
      </c>
      <c r="BE119">
        <v>44.9</v>
      </c>
      <c r="BF119">
        <v>100.8</v>
      </c>
      <c r="BG119">
        <v>26.8</v>
      </c>
      <c r="BH119">
        <v>20.399999999999999</v>
      </c>
      <c r="BI119">
        <v>62.3</v>
      </c>
      <c r="BJ119">
        <v>18.899999999999999</v>
      </c>
      <c r="BK119">
        <v>7.8</v>
      </c>
      <c r="BL119">
        <v>44.9</v>
      </c>
      <c r="BM119">
        <v>6.9</v>
      </c>
      <c r="BN119">
        <v>3.6</v>
      </c>
      <c r="BO119">
        <v>2.9</v>
      </c>
      <c r="BP119">
        <v>0.53</v>
      </c>
      <c r="BQ119">
        <v>0</v>
      </c>
      <c r="BR119">
        <v>556</v>
      </c>
      <c r="BS119">
        <v>216.4</v>
      </c>
      <c r="BT119">
        <v>3364</v>
      </c>
      <c r="BU119">
        <v>1903</v>
      </c>
      <c r="BV119">
        <v>12.68</v>
      </c>
      <c r="BW119">
        <v>6.84</v>
      </c>
      <c r="BX119">
        <v>1.55</v>
      </c>
      <c r="BY119">
        <v>87.5</v>
      </c>
      <c r="BZ119">
        <v>50</v>
      </c>
      <c r="CA119">
        <v>0.81</v>
      </c>
      <c r="CB119">
        <v>0.64</v>
      </c>
      <c r="CC119">
        <v>23.6</v>
      </c>
      <c r="CD119">
        <v>1.08</v>
      </c>
      <c r="CE119">
        <v>1.96</v>
      </c>
      <c r="CF119">
        <v>169.9</v>
      </c>
      <c r="CG119">
        <v>19.2</v>
      </c>
      <c r="CH119">
        <v>142</v>
      </c>
      <c r="CI119">
        <v>5.0999999999999996</v>
      </c>
      <c r="CJ119">
        <v>1.2</v>
      </c>
      <c r="CK119">
        <v>2</v>
      </c>
      <c r="CL119" s="42" t="str">
        <f t="shared" si="15"/>
        <v>1</v>
      </c>
      <c r="CM119">
        <v>46</v>
      </c>
      <c r="CN119" s="4">
        <v>0.92</v>
      </c>
      <c r="CO119">
        <v>3</v>
      </c>
      <c r="CP119" s="42" t="str">
        <f t="shared" si="16"/>
        <v>1</v>
      </c>
      <c r="CQ119" s="4">
        <v>59</v>
      </c>
      <c r="CR119" s="4">
        <v>0.43580246913580245</v>
      </c>
      <c r="CS119" s="43" t="str">
        <f t="shared" si="17"/>
        <v>1</v>
      </c>
      <c r="CT119" s="4">
        <f t="shared" si="18"/>
        <v>105</v>
      </c>
      <c r="CU119" s="4">
        <f t="shared" si="19"/>
        <v>1.3558024691358024</v>
      </c>
      <c r="CV119" s="4">
        <v>1</v>
      </c>
    </row>
    <row r="120" spans="1:100" x14ac:dyDescent="0.3">
      <c r="A120" s="15" t="s">
        <v>271</v>
      </c>
      <c r="B120" s="17">
        <v>0</v>
      </c>
      <c r="C120" s="3">
        <v>34</v>
      </c>
      <c r="D120">
        <v>1</v>
      </c>
      <c r="E120">
        <v>3</v>
      </c>
      <c r="F120">
        <v>1</v>
      </c>
      <c r="G120">
        <v>0</v>
      </c>
      <c r="H120">
        <v>1</v>
      </c>
      <c r="I120">
        <v>1</v>
      </c>
      <c r="J120">
        <v>76.900000000000006</v>
      </c>
      <c r="K120" s="4">
        <f t="shared" si="24"/>
        <v>1.72</v>
      </c>
      <c r="L120">
        <v>172</v>
      </c>
      <c r="M120" s="4">
        <f t="shared" si="21"/>
        <v>16.302800000000001</v>
      </c>
      <c r="N120" s="4">
        <v>57.6</v>
      </c>
      <c r="O120">
        <v>21.2</v>
      </c>
      <c r="P120" s="40">
        <v>0</v>
      </c>
      <c r="Q120">
        <v>92</v>
      </c>
      <c r="R120" s="37">
        <v>1</v>
      </c>
      <c r="S120">
        <v>103</v>
      </c>
      <c r="T120" s="5">
        <f t="shared" si="20"/>
        <v>0.89320388349514568</v>
      </c>
      <c r="U120" s="37">
        <v>0</v>
      </c>
      <c r="V120" s="4">
        <f t="shared" si="12"/>
        <v>25.993780421849653</v>
      </c>
      <c r="W120" s="39">
        <v>1</v>
      </c>
      <c r="X120">
        <v>10</v>
      </c>
      <c r="Y120" s="37">
        <v>1</v>
      </c>
      <c r="AA120" s="23"/>
      <c r="AB120" s="84"/>
      <c r="AC120" s="5">
        <v>3.88</v>
      </c>
      <c r="AD120" s="37">
        <v>0</v>
      </c>
      <c r="AE120">
        <v>17.22</v>
      </c>
      <c r="AF120" s="5">
        <v>6.75</v>
      </c>
      <c r="AG120" s="37">
        <v>1</v>
      </c>
      <c r="AH120" s="5">
        <v>1.91</v>
      </c>
      <c r="AI120" s="37">
        <v>1</v>
      </c>
      <c r="AJ120" s="5">
        <v>4.17</v>
      </c>
      <c r="AK120" s="37">
        <v>1</v>
      </c>
      <c r="AL120" s="5">
        <v>1.72</v>
      </c>
      <c r="AM120" s="37">
        <v>0</v>
      </c>
      <c r="AN120" s="4">
        <f t="shared" si="14"/>
        <v>3.9244186046511627</v>
      </c>
      <c r="AO120" s="37">
        <v>0</v>
      </c>
      <c r="AP120">
        <v>137</v>
      </c>
      <c r="AQ120" s="37">
        <v>1</v>
      </c>
      <c r="AR120">
        <v>89</v>
      </c>
      <c r="AS120" s="37">
        <v>1</v>
      </c>
      <c r="AT120">
        <v>84</v>
      </c>
      <c r="AU120">
        <v>48</v>
      </c>
      <c r="AV120">
        <v>6.1</v>
      </c>
      <c r="AW120" s="37">
        <v>0</v>
      </c>
      <c r="AX120">
        <v>1321</v>
      </c>
      <c r="AY120">
        <v>39.4</v>
      </c>
      <c r="AZ120">
        <v>28.4</v>
      </c>
      <c r="BA120">
        <v>241</v>
      </c>
      <c r="BB120">
        <v>4.0999999999999996</v>
      </c>
      <c r="BC120">
        <v>187.8</v>
      </c>
      <c r="BD120">
        <v>46.1</v>
      </c>
      <c r="BE120">
        <v>39.200000000000003</v>
      </c>
      <c r="BF120">
        <v>64.599999999999994</v>
      </c>
      <c r="BG120">
        <v>19.399999999999999</v>
      </c>
      <c r="BH120">
        <v>11.9</v>
      </c>
      <c r="BI120">
        <v>68.400000000000006</v>
      </c>
      <c r="BJ120">
        <v>13.9</v>
      </c>
      <c r="BK120">
        <v>11.1</v>
      </c>
      <c r="BL120">
        <v>20.399999999999999</v>
      </c>
      <c r="BM120">
        <v>4</v>
      </c>
      <c r="BN120">
        <v>1.7</v>
      </c>
      <c r="BO120">
        <v>1.5</v>
      </c>
      <c r="BP120">
        <v>0.06</v>
      </c>
      <c r="BQ120">
        <v>0</v>
      </c>
      <c r="BR120">
        <v>120</v>
      </c>
      <c r="BS120">
        <v>120.4</v>
      </c>
      <c r="BT120">
        <v>2262</v>
      </c>
      <c r="BU120">
        <v>1202</v>
      </c>
      <c r="BV120">
        <v>6.34</v>
      </c>
      <c r="BW120">
        <v>4.99</v>
      </c>
      <c r="BX120">
        <v>0.89</v>
      </c>
      <c r="BY120">
        <v>30.7</v>
      </c>
      <c r="BZ120">
        <v>35.6</v>
      </c>
      <c r="CA120">
        <v>0.25</v>
      </c>
      <c r="CB120">
        <v>0.28000000000000003</v>
      </c>
      <c r="CC120">
        <v>18</v>
      </c>
      <c r="CD120">
        <v>0.98</v>
      </c>
      <c r="CE120">
        <v>1.1200000000000001</v>
      </c>
      <c r="CF120">
        <v>108.3</v>
      </c>
      <c r="CG120">
        <v>17.7</v>
      </c>
      <c r="CH120">
        <v>325</v>
      </c>
      <c r="CI120">
        <v>0.71</v>
      </c>
      <c r="CJ120">
        <v>0.7</v>
      </c>
      <c r="CK120">
        <v>0</v>
      </c>
      <c r="CL120" s="42" t="str">
        <f t="shared" si="15"/>
        <v>1</v>
      </c>
      <c r="CM120">
        <v>0</v>
      </c>
      <c r="CN120" s="4">
        <v>0</v>
      </c>
      <c r="CO120">
        <v>7</v>
      </c>
      <c r="CP120" s="42" t="str">
        <f t="shared" si="16"/>
        <v>1</v>
      </c>
      <c r="CQ120" s="4">
        <v>144.66666666666666</v>
      </c>
      <c r="CR120" s="4">
        <v>2.6790123456790123</v>
      </c>
      <c r="CS120" s="43" t="str">
        <f t="shared" si="17"/>
        <v>1</v>
      </c>
      <c r="CT120" s="4">
        <f t="shared" si="18"/>
        <v>144.66666666666666</v>
      </c>
      <c r="CU120" s="4">
        <f t="shared" si="19"/>
        <v>2.6790123456790123</v>
      </c>
      <c r="CV120" s="4">
        <v>2</v>
      </c>
    </row>
    <row r="121" spans="1:100" x14ac:dyDescent="0.3">
      <c r="A121" s="15" t="s">
        <v>272</v>
      </c>
      <c r="B121" s="17">
        <v>0</v>
      </c>
      <c r="C121" s="3">
        <v>57</v>
      </c>
      <c r="D121">
        <v>2</v>
      </c>
      <c r="E121">
        <v>1</v>
      </c>
      <c r="F121">
        <v>1</v>
      </c>
      <c r="G121">
        <v>0</v>
      </c>
      <c r="H121">
        <v>1</v>
      </c>
      <c r="I121">
        <v>0</v>
      </c>
      <c r="J121" s="4">
        <v>68</v>
      </c>
      <c r="K121" s="4">
        <f t="shared" si="24"/>
        <v>1.65</v>
      </c>
      <c r="L121">
        <v>165</v>
      </c>
      <c r="M121" s="4">
        <f t="shared" si="21"/>
        <v>16.66</v>
      </c>
      <c r="N121" s="4">
        <v>41.6</v>
      </c>
      <c r="O121" s="4">
        <v>24.5</v>
      </c>
      <c r="P121" s="40">
        <v>1</v>
      </c>
      <c r="Q121">
        <v>88.5</v>
      </c>
      <c r="R121" s="37">
        <v>0</v>
      </c>
      <c r="S121">
        <v>96</v>
      </c>
      <c r="T121" s="5">
        <f t="shared" si="20"/>
        <v>0.921875</v>
      </c>
      <c r="U121" s="37">
        <v>1</v>
      </c>
      <c r="V121" s="4">
        <f t="shared" si="12"/>
        <v>24.977043158861342</v>
      </c>
      <c r="W121" s="39">
        <v>1</v>
      </c>
      <c r="X121">
        <v>13</v>
      </c>
      <c r="Y121" s="37">
        <v>1</v>
      </c>
      <c r="Z121">
        <v>6.16</v>
      </c>
      <c r="AA121" s="23">
        <f t="shared" si="13"/>
        <v>1.4017422222222222</v>
      </c>
      <c r="AB121" s="84">
        <v>0</v>
      </c>
      <c r="AC121" s="5">
        <v>5.12</v>
      </c>
      <c r="AD121" s="37">
        <v>0</v>
      </c>
      <c r="AE121">
        <v>35.1</v>
      </c>
      <c r="AF121" s="5">
        <v>6.09</v>
      </c>
      <c r="AG121" s="37">
        <v>1</v>
      </c>
      <c r="AH121" s="5">
        <v>0.99</v>
      </c>
      <c r="AI121" s="37">
        <v>0</v>
      </c>
      <c r="AJ121" s="5">
        <v>4.12</v>
      </c>
      <c r="AK121" s="37">
        <v>1</v>
      </c>
      <c r="AL121" s="5">
        <v>1.53</v>
      </c>
      <c r="AM121" s="37">
        <v>0</v>
      </c>
      <c r="AN121" s="4">
        <f t="shared" si="14"/>
        <v>3.9803921568627447</v>
      </c>
      <c r="AO121" s="37">
        <v>0</v>
      </c>
      <c r="AP121">
        <v>120</v>
      </c>
      <c r="AQ121" s="38">
        <v>0</v>
      </c>
      <c r="AR121">
        <v>57</v>
      </c>
      <c r="AS121" s="37">
        <v>0</v>
      </c>
      <c r="AT121">
        <v>59</v>
      </c>
      <c r="AU121">
        <v>62</v>
      </c>
      <c r="AV121">
        <v>7.6</v>
      </c>
      <c r="AW121" s="37">
        <v>1</v>
      </c>
      <c r="AX121">
        <v>2000</v>
      </c>
      <c r="AY121">
        <v>52.2</v>
      </c>
      <c r="AZ121">
        <v>67</v>
      </c>
      <c r="BA121">
        <v>316.2</v>
      </c>
      <c r="BB121">
        <v>8.4</v>
      </c>
      <c r="BC121">
        <v>235.5</v>
      </c>
      <c r="BD121">
        <v>40.799999999999997</v>
      </c>
      <c r="BE121">
        <v>26.6</v>
      </c>
      <c r="BF121">
        <v>88.7</v>
      </c>
      <c r="BG121">
        <v>30.2</v>
      </c>
      <c r="BH121">
        <v>10.4</v>
      </c>
      <c r="BI121">
        <v>59.3</v>
      </c>
      <c r="BJ121">
        <v>20.3</v>
      </c>
      <c r="BK121">
        <v>5</v>
      </c>
      <c r="BL121">
        <v>45.2</v>
      </c>
      <c r="BM121">
        <v>7.6</v>
      </c>
      <c r="BN121">
        <v>2.6</v>
      </c>
      <c r="BO121">
        <v>1.56</v>
      </c>
      <c r="BP121">
        <v>0.87</v>
      </c>
      <c r="BQ121">
        <v>0</v>
      </c>
      <c r="BR121">
        <v>591</v>
      </c>
      <c r="BS121">
        <v>232</v>
      </c>
      <c r="BT121">
        <v>3245</v>
      </c>
      <c r="BU121">
        <v>1675</v>
      </c>
      <c r="BV121">
        <v>13.09</v>
      </c>
      <c r="BW121">
        <v>6.28</v>
      </c>
      <c r="BX121">
        <v>1.61</v>
      </c>
      <c r="BY121">
        <v>31</v>
      </c>
      <c r="BZ121">
        <v>35.1</v>
      </c>
      <c r="CA121">
        <v>0.54</v>
      </c>
      <c r="CB121">
        <v>0.69</v>
      </c>
      <c r="CC121">
        <v>16.8</v>
      </c>
      <c r="CD121">
        <v>0.55000000000000004</v>
      </c>
      <c r="CE121">
        <v>6.08</v>
      </c>
      <c r="CF121">
        <v>164.9</v>
      </c>
      <c r="CG121">
        <v>121.2</v>
      </c>
      <c r="CH121">
        <v>316</v>
      </c>
      <c r="CI121">
        <v>5.85</v>
      </c>
      <c r="CJ121">
        <v>1.7</v>
      </c>
      <c r="CK121">
        <v>3</v>
      </c>
      <c r="CL121" s="42" t="str">
        <f t="shared" si="15"/>
        <v>2</v>
      </c>
      <c r="CM121">
        <v>107</v>
      </c>
      <c r="CN121" s="4">
        <v>2.14</v>
      </c>
      <c r="CO121">
        <v>4</v>
      </c>
      <c r="CP121" s="42" t="str">
        <f t="shared" si="16"/>
        <v>1</v>
      </c>
      <c r="CQ121" s="4">
        <v>78</v>
      </c>
      <c r="CR121" s="4">
        <v>1.9876543209876543</v>
      </c>
      <c r="CS121" s="43" t="str">
        <f t="shared" si="17"/>
        <v>2</v>
      </c>
      <c r="CT121" s="4">
        <f t="shared" si="18"/>
        <v>185</v>
      </c>
      <c r="CU121" s="4">
        <f t="shared" si="19"/>
        <v>4.1276543209876539</v>
      </c>
      <c r="CV121" s="4">
        <v>4</v>
      </c>
    </row>
    <row r="122" spans="1:100" x14ac:dyDescent="0.3">
      <c r="A122" s="15" t="s">
        <v>273</v>
      </c>
      <c r="B122" s="17">
        <v>0</v>
      </c>
      <c r="C122" s="3">
        <v>42</v>
      </c>
      <c r="D122">
        <v>2</v>
      </c>
      <c r="E122">
        <v>1</v>
      </c>
      <c r="F122">
        <v>2</v>
      </c>
      <c r="G122">
        <v>2</v>
      </c>
      <c r="H122">
        <v>1</v>
      </c>
      <c r="I122">
        <v>1</v>
      </c>
      <c r="J122" s="4">
        <v>73.400000000000006</v>
      </c>
      <c r="K122" s="4">
        <f t="shared" si="24"/>
        <v>1.7</v>
      </c>
      <c r="L122">
        <v>170</v>
      </c>
      <c r="M122" s="4">
        <f t="shared" si="21"/>
        <v>18.203200000000002</v>
      </c>
      <c r="N122" s="4">
        <v>52.3</v>
      </c>
      <c r="O122" s="4">
        <v>24.8</v>
      </c>
      <c r="P122" s="40">
        <v>1</v>
      </c>
      <c r="Q122">
        <v>92.7</v>
      </c>
      <c r="R122" s="37">
        <v>1</v>
      </c>
      <c r="S122">
        <v>98.6</v>
      </c>
      <c r="T122" s="5">
        <f t="shared" si="20"/>
        <v>0.9401622718052739</v>
      </c>
      <c r="U122" s="37">
        <v>1</v>
      </c>
      <c r="V122" s="4">
        <f t="shared" si="12"/>
        <v>25.397923875432532</v>
      </c>
      <c r="W122" s="39">
        <v>1</v>
      </c>
      <c r="X122">
        <v>12</v>
      </c>
      <c r="Y122" s="37">
        <v>1</v>
      </c>
      <c r="Z122">
        <v>17.02</v>
      </c>
      <c r="AA122" s="23">
        <f t="shared" si="13"/>
        <v>3.6384977777777774</v>
      </c>
      <c r="AB122" s="84">
        <v>1</v>
      </c>
      <c r="AC122" s="5">
        <v>4.8099999999999996</v>
      </c>
      <c r="AD122" s="37">
        <v>0</v>
      </c>
      <c r="AE122">
        <v>26.13</v>
      </c>
      <c r="AF122" s="5">
        <v>5.73</v>
      </c>
      <c r="AG122" s="37">
        <v>1</v>
      </c>
      <c r="AH122" s="5">
        <v>1.94</v>
      </c>
      <c r="AI122" s="37">
        <v>1</v>
      </c>
      <c r="AJ122" s="5">
        <v>3.97</v>
      </c>
      <c r="AK122" s="37">
        <v>1</v>
      </c>
      <c r="AL122" s="5">
        <v>0.88</v>
      </c>
      <c r="AM122" s="37">
        <v>1</v>
      </c>
      <c r="AN122" s="4">
        <f t="shared" si="14"/>
        <v>6.5113636363636367</v>
      </c>
      <c r="AO122" s="37">
        <v>1</v>
      </c>
      <c r="AP122">
        <v>126</v>
      </c>
      <c r="AQ122" s="38">
        <v>0</v>
      </c>
      <c r="AR122">
        <v>67</v>
      </c>
      <c r="AS122" s="37">
        <v>0</v>
      </c>
      <c r="AT122">
        <v>54</v>
      </c>
      <c r="AU122">
        <v>59</v>
      </c>
      <c r="AV122">
        <v>6.6</v>
      </c>
      <c r="AW122" s="37">
        <v>1</v>
      </c>
      <c r="AX122">
        <v>2687</v>
      </c>
      <c r="AY122">
        <v>71.599999999999994</v>
      </c>
      <c r="AZ122">
        <v>65.7</v>
      </c>
      <c r="BA122">
        <v>480.6</v>
      </c>
      <c r="BB122">
        <v>9.1999999999999993</v>
      </c>
      <c r="BC122">
        <v>328.9</v>
      </c>
      <c r="BD122">
        <v>120</v>
      </c>
      <c r="BE122">
        <v>99.6</v>
      </c>
      <c r="BF122">
        <v>171.7</v>
      </c>
      <c r="BG122">
        <v>22</v>
      </c>
      <c r="BH122">
        <v>10.7</v>
      </c>
      <c r="BI122">
        <v>67.099999999999994</v>
      </c>
      <c r="BJ122">
        <v>14.1</v>
      </c>
      <c r="BK122">
        <v>13.9</v>
      </c>
      <c r="BL122">
        <v>42.2</v>
      </c>
      <c r="BM122">
        <v>11.7</v>
      </c>
      <c r="BN122">
        <v>4</v>
      </c>
      <c r="BO122">
        <v>3.11</v>
      </c>
      <c r="BP122">
        <v>0.5</v>
      </c>
      <c r="BQ122">
        <v>0.36</v>
      </c>
      <c r="BR122">
        <v>699</v>
      </c>
      <c r="BS122">
        <v>243.3</v>
      </c>
      <c r="BT122">
        <v>3992</v>
      </c>
      <c r="BU122">
        <v>2282</v>
      </c>
      <c r="BV122">
        <v>14.45</v>
      </c>
      <c r="BW122">
        <v>9.8800000000000008</v>
      </c>
      <c r="BX122">
        <v>2.04</v>
      </c>
      <c r="BY122">
        <v>51</v>
      </c>
      <c r="BZ122">
        <v>127.8</v>
      </c>
      <c r="CA122">
        <v>0.66</v>
      </c>
      <c r="CB122">
        <v>0.92</v>
      </c>
      <c r="CC122">
        <v>19</v>
      </c>
      <c r="CD122">
        <v>1.1399999999999999</v>
      </c>
      <c r="CE122">
        <v>3.05</v>
      </c>
      <c r="CF122">
        <v>231.9</v>
      </c>
      <c r="CG122">
        <v>15.4</v>
      </c>
      <c r="CH122">
        <v>303</v>
      </c>
      <c r="CI122">
        <v>2.88</v>
      </c>
      <c r="CJ122">
        <v>3</v>
      </c>
      <c r="CK122">
        <v>2</v>
      </c>
      <c r="CL122" s="42" t="str">
        <f t="shared" si="15"/>
        <v>1</v>
      </c>
      <c r="CM122">
        <v>42</v>
      </c>
      <c r="CN122" s="4">
        <v>0.84</v>
      </c>
      <c r="CO122">
        <v>4</v>
      </c>
      <c r="CP122" s="42" t="str">
        <f t="shared" si="16"/>
        <v>2</v>
      </c>
      <c r="CQ122" s="4">
        <v>171</v>
      </c>
      <c r="CR122" s="4">
        <v>2.4456790123456793</v>
      </c>
      <c r="CS122" s="43" t="str">
        <f t="shared" si="17"/>
        <v>2</v>
      </c>
      <c r="CT122" s="4">
        <f t="shared" si="18"/>
        <v>213</v>
      </c>
      <c r="CU122" s="4">
        <f t="shared" si="19"/>
        <v>3.2856790123456792</v>
      </c>
      <c r="CV122" s="4">
        <v>3</v>
      </c>
    </row>
    <row r="123" spans="1:100" x14ac:dyDescent="0.3">
      <c r="A123" s="15" t="s">
        <v>274</v>
      </c>
      <c r="B123" s="17">
        <v>0</v>
      </c>
      <c r="C123">
        <v>44</v>
      </c>
      <c r="D123">
        <v>2</v>
      </c>
      <c r="E123">
        <v>1</v>
      </c>
      <c r="F123">
        <v>2</v>
      </c>
      <c r="G123">
        <v>2</v>
      </c>
      <c r="H123">
        <v>1</v>
      </c>
      <c r="I123">
        <v>1</v>
      </c>
      <c r="J123">
        <v>54.4</v>
      </c>
      <c r="K123">
        <v>1.6</v>
      </c>
      <c r="L123">
        <v>160</v>
      </c>
      <c r="M123" s="4">
        <f t="shared" si="21"/>
        <v>7.2351999999999999</v>
      </c>
      <c r="N123" s="4">
        <v>44.4</v>
      </c>
      <c r="O123" s="4">
        <v>13.3</v>
      </c>
      <c r="P123" s="40">
        <v>0</v>
      </c>
      <c r="Q123">
        <v>89</v>
      </c>
      <c r="R123" s="37">
        <v>0</v>
      </c>
      <c r="S123">
        <v>73</v>
      </c>
      <c r="T123" s="5">
        <f t="shared" si="20"/>
        <v>1.2191780821917808</v>
      </c>
      <c r="U123" s="37">
        <v>1</v>
      </c>
      <c r="V123" s="4">
        <f t="shared" si="12"/>
        <v>21.249999999999996</v>
      </c>
      <c r="W123" s="39">
        <v>0</v>
      </c>
      <c r="X123">
        <v>6</v>
      </c>
      <c r="Y123" s="40">
        <v>0</v>
      </c>
      <c r="AA123" s="23"/>
      <c r="AB123" s="84"/>
      <c r="AC123" s="5">
        <v>4.33</v>
      </c>
      <c r="AD123" s="37">
        <v>0</v>
      </c>
      <c r="AE123">
        <v>51.22</v>
      </c>
      <c r="AF123" s="5">
        <v>6.23</v>
      </c>
      <c r="AG123" s="37">
        <v>1</v>
      </c>
      <c r="AH123" s="5">
        <v>1.33</v>
      </c>
      <c r="AI123" s="37">
        <v>0</v>
      </c>
      <c r="AJ123" s="5">
        <v>4.74</v>
      </c>
      <c r="AK123" s="37">
        <v>1</v>
      </c>
      <c r="AL123" s="5">
        <v>0.87</v>
      </c>
      <c r="AM123" s="37">
        <v>1</v>
      </c>
      <c r="AN123" s="4">
        <f t="shared" si="14"/>
        <v>7.1609195402298855</v>
      </c>
      <c r="AO123" s="37">
        <v>1</v>
      </c>
      <c r="AP123">
        <v>95</v>
      </c>
      <c r="AQ123" s="38">
        <v>0</v>
      </c>
      <c r="AR123">
        <v>68</v>
      </c>
      <c r="AS123" s="37">
        <v>0</v>
      </c>
      <c r="AT123">
        <v>64</v>
      </c>
      <c r="AU123">
        <v>27</v>
      </c>
      <c r="AV123">
        <v>5.7</v>
      </c>
      <c r="AW123" s="37">
        <v>1</v>
      </c>
      <c r="AX123">
        <v>2092</v>
      </c>
      <c r="AY123">
        <v>50.6</v>
      </c>
      <c r="AZ123">
        <v>34.200000000000003</v>
      </c>
      <c r="BA123">
        <v>420</v>
      </c>
      <c r="BB123">
        <v>7</v>
      </c>
      <c r="BC123">
        <v>377</v>
      </c>
      <c r="BD123">
        <v>30</v>
      </c>
      <c r="BE123">
        <v>22.5</v>
      </c>
      <c r="BF123">
        <v>62.9</v>
      </c>
      <c r="BG123">
        <v>14.7</v>
      </c>
      <c r="BH123">
        <v>9.6999999999999993</v>
      </c>
      <c r="BI123">
        <v>75.3</v>
      </c>
      <c r="BJ123">
        <v>10.9</v>
      </c>
      <c r="BK123">
        <v>4</v>
      </c>
      <c r="BL123">
        <v>25.3</v>
      </c>
      <c r="BM123">
        <v>3.5</v>
      </c>
      <c r="BN123">
        <v>2.5</v>
      </c>
      <c r="BO123">
        <v>2.19</v>
      </c>
      <c r="BP123">
        <v>0.13</v>
      </c>
      <c r="BQ123">
        <v>0</v>
      </c>
      <c r="BR123">
        <v>212</v>
      </c>
      <c r="BS123">
        <v>170.3</v>
      </c>
      <c r="BT123">
        <v>3150</v>
      </c>
      <c r="BU123">
        <v>1728</v>
      </c>
      <c r="BV123">
        <v>9.6999999999999993</v>
      </c>
      <c r="BW123">
        <v>8.57</v>
      </c>
      <c r="BX123">
        <v>1.64</v>
      </c>
      <c r="BY123">
        <v>65.7</v>
      </c>
      <c r="BZ123">
        <v>72.2</v>
      </c>
      <c r="CA123">
        <v>0.56999999999999995</v>
      </c>
      <c r="CB123">
        <v>0.36</v>
      </c>
      <c r="CC123">
        <v>16.100000000000001</v>
      </c>
      <c r="CD123">
        <v>1.06</v>
      </c>
      <c r="CE123">
        <v>0.75</v>
      </c>
      <c r="CF123">
        <v>209.3</v>
      </c>
      <c r="CG123">
        <v>9.1999999999999993</v>
      </c>
      <c r="CH123">
        <v>101</v>
      </c>
      <c r="CI123">
        <v>0.28999999999999998</v>
      </c>
      <c r="CJ123">
        <v>0.7</v>
      </c>
      <c r="CK123">
        <v>0</v>
      </c>
      <c r="CL123" s="42" t="str">
        <f t="shared" si="15"/>
        <v>1</v>
      </c>
      <c r="CM123">
        <v>0</v>
      </c>
      <c r="CN123" s="4">
        <v>0</v>
      </c>
      <c r="CO123">
        <v>4</v>
      </c>
      <c r="CP123" s="42" t="str">
        <f t="shared" si="16"/>
        <v>2</v>
      </c>
      <c r="CQ123" s="4">
        <v>150</v>
      </c>
      <c r="CR123" s="4">
        <v>0.85185185185185186</v>
      </c>
      <c r="CS123" s="43" t="str">
        <f t="shared" si="17"/>
        <v>2</v>
      </c>
      <c r="CT123" s="4">
        <f t="shared" si="18"/>
        <v>150</v>
      </c>
      <c r="CU123" s="4">
        <f t="shared" si="19"/>
        <v>0.85185185185185186</v>
      </c>
      <c r="CV123" s="4">
        <v>1</v>
      </c>
    </row>
    <row r="124" spans="1:100" x14ac:dyDescent="0.3">
      <c r="A124" s="15" t="s">
        <v>275</v>
      </c>
      <c r="B124" s="17">
        <v>0</v>
      </c>
      <c r="C124" s="3">
        <v>55</v>
      </c>
      <c r="D124">
        <v>2</v>
      </c>
      <c r="E124">
        <v>1</v>
      </c>
      <c r="F124">
        <v>2</v>
      </c>
      <c r="G124">
        <v>0</v>
      </c>
      <c r="H124">
        <v>0</v>
      </c>
      <c r="I124">
        <v>0</v>
      </c>
      <c r="J124" s="4">
        <v>46.3</v>
      </c>
      <c r="K124" s="4">
        <f>L124/100</f>
        <v>1.62</v>
      </c>
      <c r="L124">
        <v>162</v>
      </c>
      <c r="M124" s="4">
        <f t="shared" si="21"/>
        <v>5.3244999999999996</v>
      </c>
      <c r="N124" s="4">
        <v>38.799999999999997</v>
      </c>
      <c r="O124" s="4">
        <v>11.5</v>
      </c>
      <c r="P124" s="40">
        <v>0</v>
      </c>
      <c r="Q124">
        <v>75.2</v>
      </c>
      <c r="R124" s="37">
        <v>0</v>
      </c>
      <c r="S124">
        <v>82.2</v>
      </c>
      <c r="T124" s="5">
        <f t="shared" si="20"/>
        <v>0.91484184914841848</v>
      </c>
      <c r="U124" s="37">
        <v>1</v>
      </c>
      <c r="V124" s="4">
        <f t="shared" si="12"/>
        <v>17.642127724432246</v>
      </c>
      <c r="W124" s="39">
        <v>0</v>
      </c>
      <c r="X124">
        <v>4</v>
      </c>
      <c r="Y124" s="40">
        <v>0</v>
      </c>
      <c r="Z124">
        <v>4.5599999999999996</v>
      </c>
      <c r="AA124" s="23">
        <f t="shared" si="13"/>
        <v>1.08832</v>
      </c>
      <c r="AB124" s="84">
        <v>0</v>
      </c>
      <c r="AC124" s="5">
        <v>5.37</v>
      </c>
      <c r="AD124" s="37">
        <v>0</v>
      </c>
      <c r="AE124">
        <v>19.96</v>
      </c>
      <c r="AF124" s="5">
        <v>3.66</v>
      </c>
      <c r="AG124" s="37">
        <v>0</v>
      </c>
      <c r="AH124" s="5">
        <v>0.88</v>
      </c>
      <c r="AI124" s="37">
        <v>0</v>
      </c>
      <c r="AJ124" s="5">
        <v>2.2799999999999998</v>
      </c>
      <c r="AK124" s="37">
        <v>0</v>
      </c>
      <c r="AL124" s="5">
        <v>0.99</v>
      </c>
      <c r="AM124" s="37">
        <v>1</v>
      </c>
      <c r="AN124" s="4">
        <f t="shared" si="14"/>
        <v>3.6969696969696972</v>
      </c>
      <c r="AO124" s="37">
        <v>0</v>
      </c>
      <c r="AP124">
        <v>123</v>
      </c>
      <c r="AQ124" s="38">
        <v>0</v>
      </c>
      <c r="AR124">
        <v>84</v>
      </c>
      <c r="AS124" s="37">
        <v>0</v>
      </c>
      <c r="AT124">
        <v>64</v>
      </c>
      <c r="AU124">
        <v>39</v>
      </c>
      <c r="AV124">
        <v>7.6</v>
      </c>
      <c r="AW124" s="37">
        <v>1</v>
      </c>
      <c r="AX124">
        <v>2166</v>
      </c>
      <c r="AY124">
        <v>53.5</v>
      </c>
      <c r="AZ124">
        <v>45.6</v>
      </c>
      <c r="BA124">
        <v>409</v>
      </c>
      <c r="BB124">
        <v>3</v>
      </c>
      <c r="BC124">
        <v>261.39999999999998</v>
      </c>
      <c r="BD124">
        <v>111</v>
      </c>
      <c r="BE124">
        <v>92.7</v>
      </c>
      <c r="BF124">
        <v>223.1</v>
      </c>
      <c r="BG124">
        <v>19</v>
      </c>
      <c r="BH124">
        <v>9.9</v>
      </c>
      <c r="BI124">
        <v>70.8</v>
      </c>
      <c r="BJ124">
        <v>11.6</v>
      </c>
      <c r="BK124">
        <v>16</v>
      </c>
      <c r="BL124">
        <v>27.8</v>
      </c>
      <c r="BM124">
        <v>7.8</v>
      </c>
      <c r="BN124">
        <v>2.9</v>
      </c>
      <c r="BO124">
        <v>2</v>
      </c>
      <c r="BP124">
        <v>0.49</v>
      </c>
      <c r="BQ124">
        <v>0.09</v>
      </c>
      <c r="BR124">
        <v>420</v>
      </c>
      <c r="BS124">
        <v>238.5</v>
      </c>
      <c r="BT124">
        <v>2127</v>
      </c>
      <c r="BU124">
        <v>1734</v>
      </c>
      <c r="BV124">
        <v>9.6</v>
      </c>
      <c r="BW124">
        <v>6.57</v>
      </c>
      <c r="BX124">
        <v>1.24</v>
      </c>
      <c r="BY124">
        <v>8.4</v>
      </c>
      <c r="BZ124">
        <v>73.599999999999994</v>
      </c>
      <c r="CA124">
        <v>0.75</v>
      </c>
      <c r="CB124">
        <v>1.33</v>
      </c>
      <c r="CC124">
        <v>20.5</v>
      </c>
      <c r="CD124">
        <v>0.76</v>
      </c>
      <c r="CE124">
        <v>2.8</v>
      </c>
      <c r="CF124">
        <v>169.2</v>
      </c>
      <c r="CG124">
        <v>17.5</v>
      </c>
      <c r="CH124">
        <v>344</v>
      </c>
      <c r="CI124">
        <v>4.91</v>
      </c>
      <c r="CJ124">
        <v>1.5</v>
      </c>
      <c r="CK124">
        <v>2</v>
      </c>
      <c r="CL124" s="42" t="str">
        <f t="shared" si="15"/>
        <v>1</v>
      </c>
      <c r="CM124">
        <v>65</v>
      </c>
      <c r="CN124" s="4">
        <v>1.3</v>
      </c>
      <c r="CO124">
        <v>6</v>
      </c>
      <c r="CP124" s="42" t="str">
        <f t="shared" si="16"/>
        <v>1</v>
      </c>
      <c r="CQ124" s="4">
        <v>57</v>
      </c>
      <c r="CR124" s="4">
        <v>0.87037037037037035</v>
      </c>
      <c r="CS124" s="43" t="str">
        <f t="shared" si="17"/>
        <v>1</v>
      </c>
      <c r="CT124" s="4">
        <f t="shared" si="18"/>
        <v>122</v>
      </c>
      <c r="CU124" s="4">
        <f t="shared" si="19"/>
        <v>2.1703703703703705</v>
      </c>
      <c r="CV124" s="4">
        <v>2</v>
      </c>
    </row>
    <row r="125" spans="1:100" x14ac:dyDescent="0.3">
      <c r="A125" s="15" t="s">
        <v>276</v>
      </c>
      <c r="B125" s="17">
        <v>0</v>
      </c>
      <c r="C125">
        <v>36</v>
      </c>
      <c r="D125">
        <v>2</v>
      </c>
      <c r="E125">
        <v>2</v>
      </c>
      <c r="F125">
        <v>2</v>
      </c>
      <c r="G125">
        <v>0</v>
      </c>
      <c r="H125">
        <v>0</v>
      </c>
      <c r="I125">
        <v>1</v>
      </c>
      <c r="J125">
        <v>64.2</v>
      </c>
      <c r="K125">
        <v>1.63</v>
      </c>
      <c r="L125">
        <v>163</v>
      </c>
      <c r="M125" s="4">
        <f t="shared" si="21"/>
        <v>11.620200000000002</v>
      </c>
      <c r="N125" s="4">
        <v>49.9</v>
      </c>
      <c r="O125" s="4">
        <v>18.100000000000001</v>
      </c>
      <c r="P125" s="40">
        <v>0</v>
      </c>
      <c r="Q125">
        <v>86.5</v>
      </c>
      <c r="R125" s="37">
        <v>0</v>
      </c>
      <c r="S125">
        <v>91.2</v>
      </c>
      <c r="T125" s="5">
        <f t="shared" si="20"/>
        <v>0.94846491228070173</v>
      </c>
      <c r="U125" s="37">
        <v>1</v>
      </c>
      <c r="V125" s="4">
        <f t="shared" si="12"/>
        <v>24.16349881440777</v>
      </c>
      <c r="W125" s="39">
        <v>1</v>
      </c>
      <c r="X125">
        <v>8</v>
      </c>
      <c r="Y125" s="40">
        <v>0</v>
      </c>
      <c r="AA125" s="23"/>
      <c r="AB125" s="84"/>
      <c r="AC125" s="5">
        <v>5.56</v>
      </c>
      <c r="AD125" s="37">
        <v>1</v>
      </c>
      <c r="AE125">
        <v>32.86</v>
      </c>
      <c r="AF125" s="5">
        <v>7.7</v>
      </c>
      <c r="AG125" s="37">
        <v>1</v>
      </c>
      <c r="AH125" s="5">
        <v>1.39</v>
      </c>
      <c r="AI125" s="37">
        <v>0</v>
      </c>
      <c r="AJ125" s="5">
        <v>5.3</v>
      </c>
      <c r="AK125" s="37">
        <v>1</v>
      </c>
      <c r="AL125" s="5">
        <v>1.77</v>
      </c>
      <c r="AM125" s="37">
        <v>0</v>
      </c>
      <c r="AN125" s="4">
        <f t="shared" si="14"/>
        <v>4.3502824858757059</v>
      </c>
      <c r="AO125" s="37">
        <v>1</v>
      </c>
      <c r="AP125">
        <v>123</v>
      </c>
      <c r="AQ125" s="38">
        <v>0</v>
      </c>
      <c r="AR125">
        <v>76</v>
      </c>
      <c r="AS125" s="37">
        <v>0</v>
      </c>
      <c r="AT125">
        <v>70</v>
      </c>
      <c r="AU125">
        <v>48</v>
      </c>
      <c r="AV125">
        <v>6</v>
      </c>
      <c r="AW125" s="37">
        <v>1</v>
      </c>
      <c r="AX125">
        <v>2368</v>
      </c>
      <c r="AY125">
        <v>75.7</v>
      </c>
      <c r="AZ125">
        <v>59.2</v>
      </c>
      <c r="BA125">
        <v>405.7</v>
      </c>
      <c r="BB125">
        <v>7.1</v>
      </c>
      <c r="BC125">
        <v>305.10000000000002</v>
      </c>
      <c r="BD125">
        <v>60.2</v>
      </c>
      <c r="BE125">
        <v>35.700000000000003</v>
      </c>
      <c r="BF125">
        <v>95.7</v>
      </c>
      <c r="BG125">
        <v>22.5</v>
      </c>
      <c r="BH125">
        <v>12.8</v>
      </c>
      <c r="BI125">
        <v>64.3</v>
      </c>
      <c r="BJ125">
        <v>14.7</v>
      </c>
      <c r="BK125">
        <v>5.7</v>
      </c>
      <c r="BL125">
        <v>38.6</v>
      </c>
      <c r="BM125">
        <v>6.4</v>
      </c>
      <c r="BN125">
        <v>3</v>
      </c>
      <c r="BO125">
        <v>2.06</v>
      </c>
      <c r="BP125">
        <v>0.24</v>
      </c>
      <c r="BQ125">
        <v>0</v>
      </c>
      <c r="BR125">
        <v>435</v>
      </c>
      <c r="BS125">
        <v>287.60000000000002</v>
      </c>
      <c r="BT125">
        <v>5670</v>
      </c>
      <c r="BU125">
        <v>2575</v>
      </c>
      <c r="BV125">
        <v>14.37</v>
      </c>
      <c r="BW125">
        <v>8.8699999999999992</v>
      </c>
      <c r="BX125">
        <v>1.71</v>
      </c>
      <c r="BY125">
        <v>36.4</v>
      </c>
      <c r="BZ125">
        <v>10.9</v>
      </c>
      <c r="CA125">
        <v>0.8</v>
      </c>
      <c r="CB125">
        <v>0.78</v>
      </c>
      <c r="CC125">
        <v>22.9</v>
      </c>
      <c r="CD125">
        <v>0.92</v>
      </c>
      <c r="CE125">
        <v>2.35</v>
      </c>
      <c r="CF125">
        <v>259.89999999999998</v>
      </c>
      <c r="CG125">
        <v>37.5</v>
      </c>
      <c r="CH125">
        <v>498</v>
      </c>
      <c r="CI125">
        <v>2.4900000000000002</v>
      </c>
      <c r="CJ125">
        <v>1.7</v>
      </c>
      <c r="CK125">
        <v>2</v>
      </c>
      <c r="CL125" s="42" t="str">
        <f t="shared" si="15"/>
        <v>1</v>
      </c>
      <c r="CM125" s="4">
        <v>50.333333333333336</v>
      </c>
      <c r="CN125" s="4">
        <v>1.0066666666666668</v>
      </c>
      <c r="CO125">
        <v>8</v>
      </c>
      <c r="CP125" s="42" t="str">
        <f t="shared" si="16"/>
        <v>1</v>
      </c>
      <c r="CQ125" s="4">
        <v>144.66666666666666</v>
      </c>
      <c r="CR125" s="4">
        <v>1.849382716049383</v>
      </c>
      <c r="CS125" s="43" t="str">
        <f t="shared" si="17"/>
        <v>2</v>
      </c>
      <c r="CT125" s="4">
        <f t="shared" si="18"/>
        <v>195</v>
      </c>
      <c r="CU125" s="4">
        <f t="shared" si="19"/>
        <v>2.8560493827160496</v>
      </c>
      <c r="CV125" s="4">
        <v>2</v>
      </c>
    </row>
    <row r="126" spans="1:100" x14ac:dyDescent="0.3">
      <c r="A126" s="15" t="s">
        <v>277</v>
      </c>
      <c r="B126" s="17">
        <v>0</v>
      </c>
      <c r="C126">
        <v>32</v>
      </c>
      <c r="D126">
        <v>1</v>
      </c>
      <c r="E126">
        <v>3</v>
      </c>
      <c r="F126">
        <v>2</v>
      </c>
      <c r="G126">
        <v>0</v>
      </c>
      <c r="H126">
        <v>1</v>
      </c>
      <c r="I126">
        <v>1</v>
      </c>
      <c r="J126" s="4">
        <v>103.2</v>
      </c>
      <c r="K126" s="4">
        <f t="shared" ref="K126:K131" si="25">L126/100</f>
        <v>1.81</v>
      </c>
      <c r="L126">
        <v>181</v>
      </c>
      <c r="M126" s="4">
        <f t="shared" si="21"/>
        <v>32.095200000000006</v>
      </c>
      <c r="N126" s="4">
        <v>67.3</v>
      </c>
      <c r="O126">
        <v>31.1</v>
      </c>
      <c r="P126" s="40">
        <v>1</v>
      </c>
      <c r="Q126">
        <v>118</v>
      </c>
      <c r="R126" s="37">
        <v>1</v>
      </c>
      <c r="S126">
        <v>101</v>
      </c>
      <c r="T126" s="5">
        <f t="shared" si="20"/>
        <v>1.1683168316831682</v>
      </c>
      <c r="U126" s="37">
        <v>1</v>
      </c>
      <c r="V126" s="4">
        <f t="shared" si="12"/>
        <v>31.500869936815118</v>
      </c>
      <c r="W126" s="39">
        <v>1</v>
      </c>
      <c r="X126">
        <v>17</v>
      </c>
      <c r="Y126" s="37">
        <v>1</v>
      </c>
      <c r="AA126" s="23"/>
      <c r="AB126" s="84"/>
      <c r="AC126" s="5">
        <v>5.32</v>
      </c>
      <c r="AD126" s="37">
        <v>0</v>
      </c>
      <c r="AE126">
        <v>49.37</v>
      </c>
      <c r="AF126" s="5">
        <v>5.66</v>
      </c>
      <c r="AG126" s="37">
        <v>1</v>
      </c>
      <c r="AH126" s="5">
        <v>1.47</v>
      </c>
      <c r="AI126" s="37">
        <v>0</v>
      </c>
      <c r="AJ126" s="5">
        <v>4.0999999999999996</v>
      </c>
      <c r="AK126" s="37">
        <v>1</v>
      </c>
      <c r="AL126" s="5">
        <v>0.89</v>
      </c>
      <c r="AM126" s="37">
        <v>1</v>
      </c>
      <c r="AN126" s="4">
        <f t="shared" si="14"/>
        <v>6.3595505617977528</v>
      </c>
      <c r="AO126" s="37">
        <v>1</v>
      </c>
      <c r="AP126">
        <v>137</v>
      </c>
      <c r="AQ126" s="37">
        <v>1</v>
      </c>
      <c r="AR126">
        <v>81</v>
      </c>
      <c r="AS126" s="37">
        <v>0</v>
      </c>
      <c r="AT126">
        <v>64</v>
      </c>
      <c r="AU126">
        <v>57</v>
      </c>
      <c r="AV126">
        <v>6.1</v>
      </c>
      <c r="AW126" s="37">
        <v>0</v>
      </c>
      <c r="AX126">
        <v>1613</v>
      </c>
      <c r="AY126">
        <v>52.4</v>
      </c>
      <c r="AZ126">
        <v>50.2</v>
      </c>
      <c r="BA126">
        <v>253.4</v>
      </c>
      <c r="BB126">
        <v>7.5</v>
      </c>
      <c r="BC126">
        <v>194.2</v>
      </c>
      <c r="BD126">
        <v>46.6</v>
      </c>
      <c r="BE126">
        <v>34.4</v>
      </c>
      <c r="BF126">
        <v>183.2</v>
      </c>
      <c r="BG126">
        <v>28</v>
      </c>
      <c r="BH126">
        <v>13</v>
      </c>
      <c r="BI126">
        <v>58.9</v>
      </c>
      <c r="BJ126">
        <v>15</v>
      </c>
      <c r="BK126">
        <v>8</v>
      </c>
      <c r="BL126">
        <v>27</v>
      </c>
      <c r="BM126">
        <v>6.9</v>
      </c>
      <c r="BN126">
        <v>3.7</v>
      </c>
      <c r="BO126">
        <v>3.48</v>
      </c>
      <c r="BP126">
        <v>0.21</v>
      </c>
      <c r="BQ126">
        <v>0.15</v>
      </c>
      <c r="BR126">
        <v>424</v>
      </c>
      <c r="BS126">
        <v>153.4</v>
      </c>
      <c r="BT126">
        <v>2534</v>
      </c>
      <c r="BU126">
        <v>1477</v>
      </c>
      <c r="BV126">
        <v>9.89</v>
      </c>
      <c r="BW126">
        <v>6.7</v>
      </c>
      <c r="BX126">
        <v>1.31</v>
      </c>
      <c r="BY126">
        <v>47.6</v>
      </c>
      <c r="BZ126">
        <v>73.400000000000006</v>
      </c>
      <c r="CA126">
        <v>0.47</v>
      </c>
      <c r="CB126">
        <v>0.55000000000000004</v>
      </c>
      <c r="CC126">
        <v>18</v>
      </c>
      <c r="CD126">
        <v>0.79</v>
      </c>
      <c r="CE126">
        <v>0.79</v>
      </c>
      <c r="CF126">
        <v>139.30000000000001</v>
      </c>
      <c r="CG126">
        <v>28.6</v>
      </c>
      <c r="CH126">
        <v>354</v>
      </c>
      <c r="CI126">
        <v>1.22</v>
      </c>
      <c r="CJ126">
        <v>1.8</v>
      </c>
      <c r="CK126">
        <v>2</v>
      </c>
      <c r="CL126" s="42" t="str">
        <f t="shared" si="15"/>
        <v>1</v>
      </c>
      <c r="CM126">
        <v>33</v>
      </c>
      <c r="CN126" s="4">
        <v>0.66</v>
      </c>
      <c r="CO126">
        <v>4</v>
      </c>
      <c r="CP126" s="42" t="str">
        <f t="shared" si="16"/>
        <v>1</v>
      </c>
      <c r="CQ126" s="4">
        <v>68</v>
      </c>
      <c r="CR126" s="4">
        <v>1.1012345679012348</v>
      </c>
      <c r="CS126" s="43" t="str">
        <f t="shared" si="17"/>
        <v>1</v>
      </c>
      <c r="CT126" s="4">
        <f t="shared" si="18"/>
        <v>101</v>
      </c>
      <c r="CU126" s="4">
        <f t="shared" si="19"/>
        <v>1.7612345679012349</v>
      </c>
      <c r="CV126" s="4">
        <v>1</v>
      </c>
    </row>
    <row r="127" spans="1:100" x14ac:dyDescent="0.3">
      <c r="A127" s="15" t="s">
        <v>278</v>
      </c>
      <c r="B127" s="17">
        <v>0</v>
      </c>
      <c r="C127" s="3">
        <v>56</v>
      </c>
      <c r="D127">
        <v>2</v>
      </c>
      <c r="E127">
        <v>1</v>
      </c>
      <c r="F127">
        <v>2</v>
      </c>
      <c r="G127">
        <v>0</v>
      </c>
      <c r="H127">
        <v>2</v>
      </c>
      <c r="I127">
        <v>0</v>
      </c>
      <c r="J127" s="4">
        <v>58.5</v>
      </c>
      <c r="K127" s="4">
        <f t="shared" si="25"/>
        <v>1.67</v>
      </c>
      <c r="L127">
        <v>167</v>
      </c>
      <c r="M127" s="4">
        <f t="shared" si="21"/>
        <v>8.2484999999999999</v>
      </c>
      <c r="N127" s="4">
        <v>47.7</v>
      </c>
      <c r="O127" s="4">
        <v>14.1</v>
      </c>
      <c r="P127" s="40">
        <v>0</v>
      </c>
      <c r="Q127">
        <v>81.2</v>
      </c>
      <c r="R127" s="37">
        <v>0</v>
      </c>
      <c r="S127">
        <v>91.3</v>
      </c>
      <c r="T127" s="5">
        <f t="shared" si="20"/>
        <v>0.88937568455640748</v>
      </c>
      <c r="U127" s="37">
        <v>0</v>
      </c>
      <c r="V127" s="4">
        <f t="shared" si="12"/>
        <v>20.976012047760765</v>
      </c>
      <c r="W127" s="39">
        <v>0</v>
      </c>
      <c r="X127">
        <v>8</v>
      </c>
      <c r="Y127" s="40">
        <v>0</v>
      </c>
      <c r="Z127">
        <v>7.51</v>
      </c>
      <c r="AA127" s="23">
        <f t="shared" si="13"/>
        <v>2.0660844444444444</v>
      </c>
      <c r="AB127" s="84">
        <v>0</v>
      </c>
      <c r="AC127" s="5">
        <v>6.19</v>
      </c>
      <c r="AD127" s="37">
        <v>1</v>
      </c>
      <c r="AE127">
        <v>16.38</v>
      </c>
      <c r="AF127" s="5">
        <v>5</v>
      </c>
      <c r="AG127" s="37">
        <v>1</v>
      </c>
      <c r="AH127" s="5">
        <v>0.61</v>
      </c>
      <c r="AI127" s="37">
        <v>0</v>
      </c>
      <c r="AJ127" s="5">
        <v>3.5</v>
      </c>
      <c r="AK127" s="37">
        <v>1</v>
      </c>
      <c r="AL127" s="5">
        <v>1.19</v>
      </c>
      <c r="AM127" s="37">
        <v>0</v>
      </c>
      <c r="AN127" s="4">
        <f t="shared" si="14"/>
        <v>4.2016806722689077</v>
      </c>
      <c r="AO127" s="37">
        <v>1</v>
      </c>
      <c r="AP127">
        <v>109</v>
      </c>
      <c r="AQ127" s="38">
        <v>0</v>
      </c>
      <c r="AR127">
        <v>71</v>
      </c>
      <c r="AS127" s="37">
        <v>0</v>
      </c>
      <c r="AT127">
        <v>62</v>
      </c>
      <c r="AU127">
        <v>38</v>
      </c>
      <c r="AV127">
        <v>7.4</v>
      </c>
      <c r="AW127" s="37">
        <v>1</v>
      </c>
      <c r="AX127">
        <v>2643</v>
      </c>
      <c r="AY127">
        <v>89.1</v>
      </c>
      <c r="AZ127">
        <v>51.8</v>
      </c>
      <c r="BA127">
        <v>482.4</v>
      </c>
      <c r="BB127">
        <v>4.4000000000000004</v>
      </c>
      <c r="BC127">
        <v>432.1</v>
      </c>
      <c r="BD127">
        <v>17.399999999999999</v>
      </c>
      <c r="BE127">
        <v>11.3</v>
      </c>
      <c r="BF127">
        <v>144.4</v>
      </c>
      <c r="BG127">
        <v>17.7</v>
      </c>
      <c r="BH127">
        <v>13.5</v>
      </c>
      <c r="BI127">
        <v>68.5</v>
      </c>
      <c r="BJ127">
        <v>12.6</v>
      </c>
      <c r="BK127">
        <v>1.6</v>
      </c>
      <c r="BL127">
        <v>37</v>
      </c>
      <c r="BM127">
        <v>3.4</v>
      </c>
      <c r="BN127">
        <v>1.6</v>
      </c>
      <c r="BO127">
        <v>1.32</v>
      </c>
      <c r="BP127">
        <v>0.11</v>
      </c>
      <c r="BQ127">
        <v>0.03</v>
      </c>
      <c r="BR127">
        <v>267</v>
      </c>
      <c r="BS127">
        <v>273.7</v>
      </c>
      <c r="BT127">
        <v>3547</v>
      </c>
      <c r="BU127">
        <v>2598</v>
      </c>
      <c r="BV127">
        <v>15.96</v>
      </c>
      <c r="BW127">
        <v>10.56</v>
      </c>
      <c r="BX127">
        <v>1.66</v>
      </c>
      <c r="BY127">
        <v>28.3</v>
      </c>
      <c r="BZ127">
        <v>15.1</v>
      </c>
      <c r="CA127">
        <v>1.19</v>
      </c>
      <c r="CB127">
        <v>0.78</v>
      </c>
      <c r="CC127">
        <v>27.2</v>
      </c>
      <c r="CD127">
        <v>0.98</v>
      </c>
      <c r="CE127">
        <v>1.19</v>
      </c>
      <c r="CF127">
        <v>338.8</v>
      </c>
      <c r="CG127">
        <v>21.4</v>
      </c>
      <c r="CH127">
        <v>157</v>
      </c>
      <c r="CI127">
        <v>0.54</v>
      </c>
      <c r="CJ127">
        <v>1.5</v>
      </c>
      <c r="CK127">
        <v>0</v>
      </c>
      <c r="CL127" s="42" t="str">
        <f t="shared" si="15"/>
        <v>1</v>
      </c>
      <c r="CM127">
        <v>0</v>
      </c>
      <c r="CN127" s="4">
        <v>0</v>
      </c>
      <c r="CO127">
        <v>3</v>
      </c>
      <c r="CP127" s="42" t="str">
        <f t="shared" si="16"/>
        <v>2</v>
      </c>
      <c r="CQ127" s="4">
        <v>182.66666666666666</v>
      </c>
      <c r="CR127" s="4">
        <v>2.6419753086419751</v>
      </c>
      <c r="CS127" s="43" t="str">
        <f t="shared" si="17"/>
        <v>2</v>
      </c>
      <c r="CT127" s="4">
        <f t="shared" si="18"/>
        <v>182.66666666666666</v>
      </c>
      <c r="CU127" s="4">
        <f t="shared" si="19"/>
        <v>2.6419753086419751</v>
      </c>
      <c r="CV127" s="4">
        <v>2</v>
      </c>
    </row>
    <row r="128" spans="1:100" x14ac:dyDescent="0.3">
      <c r="A128" s="15" t="s">
        <v>279</v>
      </c>
      <c r="B128" s="17">
        <v>0</v>
      </c>
      <c r="C128" s="3">
        <v>50</v>
      </c>
      <c r="D128">
        <v>2</v>
      </c>
      <c r="E128">
        <v>1</v>
      </c>
      <c r="F128">
        <v>2</v>
      </c>
      <c r="G128">
        <v>2</v>
      </c>
      <c r="H128">
        <v>2</v>
      </c>
      <c r="I128">
        <v>0</v>
      </c>
      <c r="J128" s="4">
        <v>61.4</v>
      </c>
      <c r="K128" s="4">
        <f t="shared" si="25"/>
        <v>1.67</v>
      </c>
      <c r="L128">
        <v>167</v>
      </c>
      <c r="M128" s="4">
        <f t="shared" si="21"/>
        <v>11.236200000000002</v>
      </c>
      <c r="N128" s="4">
        <v>47.6</v>
      </c>
      <c r="O128" s="4">
        <v>18.3</v>
      </c>
      <c r="P128" s="40">
        <v>0</v>
      </c>
      <c r="Q128">
        <v>83.4</v>
      </c>
      <c r="R128" s="37">
        <v>0</v>
      </c>
      <c r="S128">
        <v>91.3</v>
      </c>
      <c r="T128" s="5">
        <f t="shared" si="20"/>
        <v>0.91347207009857623</v>
      </c>
      <c r="U128" s="37">
        <v>1</v>
      </c>
      <c r="V128" s="4">
        <f t="shared" si="12"/>
        <v>22.015848542436085</v>
      </c>
      <c r="W128" s="39">
        <v>0</v>
      </c>
      <c r="X128">
        <v>9</v>
      </c>
      <c r="Y128" s="40">
        <v>0</v>
      </c>
      <c r="AA128" s="23"/>
      <c r="AB128" s="84"/>
      <c r="AC128" s="5">
        <v>7.54</v>
      </c>
      <c r="AD128" s="37">
        <v>1</v>
      </c>
      <c r="AE128">
        <v>3</v>
      </c>
      <c r="AF128" s="5">
        <v>5.98</v>
      </c>
      <c r="AG128" s="37">
        <v>1</v>
      </c>
      <c r="AH128" s="5">
        <v>1.43</v>
      </c>
      <c r="AI128" s="37">
        <v>0</v>
      </c>
      <c r="AJ128" s="5">
        <v>4.2</v>
      </c>
      <c r="AK128" s="37">
        <v>1</v>
      </c>
      <c r="AL128" s="5">
        <v>1.1299999999999999</v>
      </c>
      <c r="AM128" s="37">
        <v>0</v>
      </c>
      <c r="AN128" s="4">
        <f t="shared" si="14"/>
        <v>5.2920353982300892</v>
      </c>
      <c r="AO128" s="37">
        <v>1</v>
      </c>
      <c r="AP128">
        <v>127</v>
      </c>
      <c r="AQ128" s="38">
        <v>0</v>
      </c>
      <c r="AR128">
        <v>90</v>
      </c>
      <c r="AS128" s="37">
        <v>1</v>
      </c>
      <c r="AT128">
        <v>75</v>
      </c>
      <c r="AU128">
        <v>36</v>
      </c>
      <c r="AV128">
        <v>7.2</v>
      </c>
      <c r="AW128" s="37">
        <v>1</v>
      </c>
      <c r="AX128">
        <v>2234</v>
      </c>
      <c r="AY128">
        <v>61.2</v>
      </c>
      <c r="AZ128">
        <v>52.4</v>
      </c>
      <c r="BA128">
        <v>402.7</v>
      </c>
      <c r="BB128">
        <v>7.4</v>
      </c>
      <c r="BC128">
        <v>357.8</v>
      </c>
      <c r="BD128">
        <v>27.1</v>
      </c>
      <c r="BE128">
        <v>13.6</v>
      </c>
      <c r="BF128">
        <v>208.5</v>
      </c>
      <c r="BG128">
        <v>21.1</v>
      </c>
      <c r="BH128">
        <v>11</v>
      </c>
      <c r="BI128">
        <v>67.599999999999994</v>
      </c>
      <c r="BJ128">
        <v>15.7</v>
      </c>
      <c r="BK128">
        <v>2.2999999999999998</v>
      </c>
      <c r="BL128">
        <v>39</v>
      </c>
      <c r="BM128">
        <v>6.1</v>
      </c>
      <c r="BN128">
        <v>3</v>
      </c>
      <c r="BO128">
        <v>2.4500000000000002</v>
      </c>
      <c r="BP128">
        <v>0.24</v>
      </c>
      <c r="BQ128">
        <v>0.08</v>
      </c>
      <c r="BR128">
        <v>417</v>
      </c>
      <c r="BS128">
        <v>198.5</v>
      </c>
      <c r="BT128">
        <v>4291</v>
      </c>
      <c r="BU128">
        <v>1873</v>
      </c>
      <c r="BV128">
        <v>11.61</v>
      </c>
      <c r="BW128">
        <v>9.91</v>
      </c>
      <c r="BX128">
        <v>1.98</v>
      </c>
      <c r="BY128">
        <v>56.3</v>
      </c>
      <c r="BZ128">
        <v>96.1</v>
      </c>
      <c r="CA128">
        <v>0.64</v>
      </c>
      <c r="CB128">
        <v>0.6</v>
      </c>
      <c r="CC128">
        <v>18.100000000000001</v>
      </c>
      <c r="CD128">
        <v>1.0900000000000001</v>
      </c>
      <c r="CE128">
        <v>1.3</v>
      </c>
      <c r="CF128">
        <v>200.8</v>
      </c>
      <c r="CG128">
        <v>25.4</v>
      </c>
      <c r="CH128">
        <v>688</v>
      </c>
      <c r="CI128">
        <v>0.88</v>
      </c>
      <c r="CJ128">
        <v>1.4</v>
      </c>
      <c r="CK128">
        <v>1</v>
      </c>
      <c r="CL128" s="42" t="str">
        <f t="shared" si="15"/>
        <v>1</v>
      </c>
      <c r="CM128" s="4">
        <v>13.333333333333334</v>
      </c>
      <c r="CN128" s="4">
        <v>0.26666666666666666</v>
      </c>
      <c r="CO128">
        <v>8</v>
      </c>
      <c r="CP128" s="42" t="str">
        <f t="shared" si="16"/>
        <v>2</v>
      </c>
      <c r="CQ128" s="4">
        <v>191</v>
      </c>
      <c r="CR128" s="4">
        <v>3.8580246913580245</v>
      </c>
      <c r="CS128" s="43" t="str">
        <f t="shared" si="17"/>
        <v>2</v>
      </c>
      <c r="CT128" s="4">
        <f t="shared" si="18"/>
        <v>204.33333333333334</v>
      </c>
      <c r="CU128" s="4">
        <f t="shared" si="19"/>
        <v>4.1246913580246911</v>
      </c>
      <c r="CV128" s="4">
        <v>4</v>
      </c>
    </row>
    <row r="129" spans="1:100" x14ac:dyDescent="0.3">
      <c r="A129" s="15" t="s">
        <v>280</v>
      </c>
      <c r="B129" s="17">
        <v>0</v>
      </c>
      <c r="C129" s="3">
        <v>38</v>
      </c>
      <c r="D129">
        <v>2</v>
      </c>
      <c r="E129">
        <v>2</v>
      </c>
      <c r="F129">
        <v>0</v>
      </c>
      <c r="G129">
        <v>0</v>
      </c>
      <c r="H129">
        <v>0</v>
      </c>
      <c r="I129">
        <v>1</v>
      </c>
      <c r="J129" s="4">
        <v>59.6</v>
      </c>
      <c r="K129" s="4">
        <f t="shared" si="25"/>
        <v>1.6</v>
      </c>
      <c r="L129">
        <v>160</v>
      </c>
      <c r="M129" s="4">
        <f t="shared" si="21"/>
        <v>11.5624</v>
      </c>
      <c r="N129" s="4">
        <v>45.5</v>
      </c>
      <c r="O129" s="4">
        <v>19.399999999999999</v>
      </c>
      <c r="P129" s="40">
        <v>0</v>
      </c>
      <c r="Q129">
        <v>83.2</v>
      </c>
      <c r="R129" s="37">
        <v>0</v>
      </c>
      <c r="S129" s="19">
        <v>82.7</v>
      </c>
      <c r="T129" s="5">
        <f t="shared" si="20"/>
        <v>1.0060459492140266</v>
      </c>
      <c r="U129" s="37">
        <v>1</v>
      </c>
      <c r="V129" s="4">
        <f t="shared" si="12"/>
        <v>23.281249999999996</v>
      </c>
      <c r="W129" s="39">
        <v>1</v>
      </c>
      <c r="X129">
        <v>8</v>
      </c>
      <c r="Y129" s="40">
        <v>0</v>
      </c>
      <c r="Z129">
        <v>5.04</v>
      </c>
      <c r="AA129" s="23">
        <f t="shared" si="13"/>
        <v>1.0528000000000002</v>
      </c>
      <c r="AB129" s="84">
        <v>0</v>
      </c>
      <c r="AC129" s="5">
        <v>4.7</v>
      </c>
      <c r="AD129" s="37">
        <v>0</v>
      </c>
      <c r="AE129">
        <v>3</v>
      </c>
      <c r="AF129" s="5">
        <v>5.7</v>
      </c>
      <c r="AG129" s="37">
        <v>1</v>
      </c>
      <c r="AH129" s="5">
        <v>1.33</v>
      </c>
      <c r="AI129" s="37">
        <v>0</v>
      </c>
      <c r="AJ129" s="5">
        <v>3.8</v>
      </c>
      <c r="AK129" s="37">
        <v>1</v>
      </c>
      <c r="AL129" s="5">
        <v>1.27</v>
      </c>
      <c r="AM129" s="37">
        <v>0</v>
      </c>
      <c r="AN129" s="4">
        <f t="shared" si="14"/>
        <v>4.4881889763779528</v>
      </c>
      <c r="AO129" s="37">
        <v>1</v>
      </c>
      <c r="AP129">
        <v>117</v>
      </c>
      <c r="AQ129" s="38">
        <v>0</v>
      </c>
      <c r="AR129">
        <v>73</v>
      </c>
      <c r="AS129" s="37">
        <v>0</v>
      </c>
      <c r="AT129">
        <v>58</v>
      </c>
      <c r="AU129">
        <v>43</v>
      </c>
      <c r="AV129">
        <v>5.7</v>
      </c>
      <c r="AW129" s="37">
        <v>1</v>
      </c>
      <c r="AX129">
        <v>1476</v>
      </c>
      <c r="AY129">
        <v>30.4</v>
      </c>
      <c r="AZ129">
        <v>44.5</v>
      </c>
      <c r="BA129">
        <v>253.2</v>
      </c>
      <c r="BB129">
        <v>4.3</v>
      </c>
      <c r="BC129">
        <v>202.3</v>
      </c>
      <c r="BD129">
        <v>31.6</v>
      </c>
      <c r="BE129">
        <v>24.5</v>
      </c>
      <c r="BF129">
        <v>6.8</v>
      </c>
      <c r="BG129">
        <v>27.1</v>
      </c>
      <c r="BH129">
        <v>8.1999999999999993</v>
      </c>
      <c r="BI129">
        <v>64.3</v>
      </c>
      <c r="BJ129">
        <v>21.1</v>
      </c>
      <c r="BK129">
        <v>6.2</v>
      </c>
      <c r="BL129">
        <v>34.700000000000003</v>
      </c>
      <c r="BM129">
        <v>4.0999999999999996</v>
      </c>
      <c r="BN129">
        <v>1.2</v>
      </c>
      <c r="BO129">
        <v>0.98</v>
      </c>
      <c r="BP129">
        <v>0.03</v>
      </c>
      <c r="BQ129">
        <v>0.04</v>
      </c>
      <c r="BR129">
        <v>159</v>
      </c>
      <c r="BS129">
        <v>139.80000000000001</v>
      </c>
      <c r="BT129">
        <v>1931</v>
      </c>
      <c r="BU129">
        <v>1269</v>
      </c>
      <c r="BV129">
        <v>8.11</v>
      </c>
      <c r="BW129">
        <v>5.0599999999999996</v>
      </c>
      <c r="BX129">
        <v>1.02</v>
      </c>
      <c r="BY129">
        <v>7.6</v>
      </c>
      <c r="BZ129">
        <v>9.9</v>
      </c>
      <c r="CA129">
        <v>0.34</v>
      </c>
      <c r="CB129">
        <v>0.27</v>
      </c>
      <c r="CC129">
        <v>8.1999999999999993</v>
      </c>
      <c r="CD129">
        <v>0.3</v>
      </c>
      <c r="CE129">
        <v>0.31</v>
      </c>
      <c r="CF129">
        <v>198.2</v>
      </c>
      <c r="CG129">
        <v>5.9</v>
      </c>
      <c r="CH129">
        <v>56</v>
      </c>
      <c r="CI129">
        <v>0</v>
      </c>
      <c r="CJ129">
        <v>0.7</v>
      </c>
      <c r="CK129">
        <v>0</v>
      </c>
      <c r="CL129" s="42" t="str">
        <f t="shared" si="15"/>
        <v>1</v>
      </c>
      <c r="CM129">
        <v>0</v>
      </c>
      <c r="CN129" s="4">
        <v>0</v>
      </c>
      <c r="CO129">
        <v>4</v>
      </c>
      <c r="CP129" s="42" t="str">
        <f t="shared" si="16"/>
        <v>1</v>
      </c>
      <c r="CQ129" s="4">
        <v>83.666666666666671</v>
      </c>
      <c r="CR129" s="4">
        <v>1.4012345679012346</v>
      </c>
      <c r="CS129" s="43" t="str">
        <f t="shared" si="17"/>
        <v>1</v>
      </c>
      <c r="CT129" s="4">
        <f t="shared" si="18"/>
        <v>83.666666666666671</v>
      </c>
      <c r="CU129" s="4">
        <f t="shared" si="19"/>
        <v>1.4012345679012346</v>
      </c>
      <c r="CV129" s="4">
        <v>1</v>
      </c>
    </row>
    <row r="130" spans="1:100" x14ac:dyDescent="0.3">
      <c r="A130" s="15" t="s">
        <v>281</v>
      </c>
      <c r="B130" s="17">
        <v>0</v>
      </c>
      <c r="C130" s="3">
        <v>30</v>
      </c>
      <c r="D130">
        <v>2</v>
      </c>
      <c r="E130">
        <v>2</v>
      </c>
      <c r="F130">
        <v>2</v>
      </c>
      <c r="G130">
        <v>0</v>
      </c>
      <c r="H130">
        <v>0</v>
      </c>
      <c r="I130">
        <v>0</v>
      </c>
      <c r="J130" s="4">
        <v>72.599999999999994</v>
      </c>
      <c r="K130" s="4">
        <f t="shared" si="25"/>
        <v>1.72</v>
      </c>
      <c r="L130">
        <v>172</v>
      </c>
      <c r="M130" s="4">
        <f t="shared" si="21"/>
        <v>14.52</v>
      </c>
      <c r="N130" s="4">
        <v>55.1</v>
      </c>
      <c r="O130" s="4">
        <v>20</v>
      </c>
      <c r="P130" s="40">
        <v>0</v>
      </c>
      <c r="Q130">
        <v>85.4</v>
      </c>
      <c r="R130" s="37">
        <v>0</v>
      </c>
      <c r="S130">
        <v>98.9</v>
      </c>
      <c r="T130" s="5">
        <f t="shared" si="20"/>
        <v>0.86349848331648127</v>
      </c>
      <c r="U130" s="37">
        <v>0</v>
      </c>
      <c r="V130" s="4">
        <f t="shared" si="12"/>
        <v>24.540292049756626</v>
      </c>
      <c r="W130" s="39">
        <v>1</v>
      </c>
      <c r="X130">
        <v>8</v>
      </c>
      <c r="Y130" s="40">
        <v>0</v>
      </c>
      <c r="Z130">
        <v>7.48</v>
      </c>
      <c r="AA130" s="23">
        <f t="shared" si="13"/>
        <v>1.7752533333333336</v>
      </c>
      <c r="AB130" s="84">
        <v>0</v>
      </c>
      <c r="AC130" s="5">
        <v>5.34</v>
      </c>
      <c r="AD130" s="37">
        <v>0</v>
      </c>
      <c r="AE130">
        <v>20.61</v>
      </c>
      <c r="AF130" s="5">
        <v>6.61</v>
      </c>
      <c r="AG130" s="37">
        <v>1</v>
      </c>
      <c r="AH130" s="5">
        <v>0.98</v>
      </c>
      <c r="AI130" s="37">
        <v>0</v>
      </c>
      <c r="AJ130" s="5">
        <v>4.7</v>
      </c>
      <c r="AK130" s="37">
        <v>1</v>
      </c>
      <c r="AL130" s="5">
        <v>1.44</v>
      </c>
      <c r="AM130" s="37">
        <v>0</v>
      </c>
      <c r="AN130" s="4">
        <f t="shared" si="14"/>
        <v>4.5902777777777786</v>
      </c>
      <c r="AO130" s="37">
        <v>1</v>
      </c>
      <c r="AP130">
        <v>150</v>
      </c>
      <c r="AQ130" s="37">
        <v>1</v>
      </c>
      <c r="AR130">
        <v>81</v>
      </c>
      <c r="AS130" s="37">
        <v>0</v>
      </c>
      <c r="AT130">
        <v>79</v>
      </c>
      <c r="AU130">
        <v>70</v>
      </c>
      <c r="AV130">
        <v>6.4</v>
      </c>
      <c r="AW130" s="37">
        <v>0</v>
      </c>
      <c r="AX130">
        <v>1628</v>
      </c>
      <c r="AY130">
        <v>74.400000000000006</v>
      </c>
      <c r="AZ130">
        <v>52.8</v>
      </c>
      <c r="BA130">
        <v>227.2</v>
      </c>
      <c r="BB130">
        <v>4.0999999999999996</v>
      </c>
      <c r="BC130">
        <v>164.1</v>
      </c>
      <c r="BD130">
        <v>37.1</v>
      </c>
      <c r="BE130">
        <v>25.9</v>
      </c>
      <c r="BF130">
        <v>582.6</v>
      </c>
      <c r="BG130">
        <v>29.2</v>
      </c>
      <c r="BH130">
        <v>18.3</v>
      </c>
      <c r="BI130">
        <v>52.3</v>
      </c>
      <c r="BJ130">
        <v>17</v>
      </c>
      <c r="BK130">
        <v>6</v>
      </c>
      <c r="BL130">
        <v>30.8</v>
      </c>
      <c r="BM130">
        <v>10.199999999999999</v>
      </c>
      <c r="BN130">
        <v>3.2</v>
      </c>
      <c r="BO130">
        <v>2.65</v>
      </c>
      <c r="BP130">
        <v>0.36</v>
      </c>
      <c r="BQ130">
        <v>0.12</v>
      </c>
      <c r="BR130">
        <v>362</v>
      </c>
      <c r="BS130">
        <v>206.8</v>
      </c>
      <c r="BT130">
        <v>2982</v>
      </c>
      <c r="BU130">
        <v>2163</v>
      </c>
      <c r="BV130">
        <v>12.26</v>
      </c>
      <c r="BW130">
        <v>8.64</v>
      </c>
      <c r="BX130">
        <v>1.1599999999999999</v>
      </c>
      <c r="BY130">
        <v>31.7</v>
      </c>
      <c r="BZ130">
        <v>83.3</v>
      </c>
      <c r="CA130">
        <v>0.6</v>
      </c>
      <c r="CB130">
        <v>1.02</v>
      </c>
      <c r="CC130">
        <v>24.3</v>
      </c>
      <c r="CD130">
        <v>0.78</v>
      </c>
      <c r="CE130">
        <v>2.74</v>
      </c>
      <c r="CF130">
        <v>207.6</v>
      </c>
      <c r="CG130">
        <v>15</v>
      </c>
      <c r="CH130">
        <v>728</v>
      </c>
      <c r="CI130">
        <v>2.27</v>
      </c>
      <c r="CJ130">
        <v>2.6</v>
      </c>
      <c r="CK130">
        <v>2</v>
      </c>
      <c r="CL130" s="42" t="str">
        <f t="shared" si="15"/>
        <v>1</v>
      </c>
      <c r="CM130">
        <v>63</v>
      </c>
      <c r="CN130" s="4">
        <v>1.26</v>
      </c>
      <c r="CO130">
        <v>4</v>
      </c>
      <c r="CP130" s="42" t="str">
        <f t="shared" si="16"/>
        <v>1</v>
      </c>
      <c r="CQ130" s="4">
        <v>124</v>
      </c>
      <c r="CR130" s="4">
        <v>1.6358024691358026</v>
      </c>
      <c r="CS130" s="43" t="str">
        <f t="shared" si="17"/>
        <v>2</v>
      </c>
      <c r="CT130" s="4">
        <f t="shared" si="18"/>
        <v>187</v>
      </c>
      <c r="CU130" s="4">
        <f t="shared" si="19"/>
        <v>2.8958024691358029</v>
      </c>
      <c r="CV130" s="4">
        <v>2</v>
      </c>
    </row>
    <row r="131" spans="1:100" x14ac:dyDescent="0.3">
      <c r="A131" s="15" t="s">
        <v>282</v>
      </c>
      <c r="B131" s="17">
        <v>0</v>
      </c>
      <c r="C131" s="3">
        <v>34</v>
      </c>
      <c r="D131">
        <v>1</v>
      </c>
      <c r="E131">
        <v>3</v>
      </c>
      <c r="F131">
        <v>1</v>
      </c>
      <c r="G131">
        <v>0</v>
      </c>
      <c r="H131">
        <v>1</v>
      </c>
      <c r="I131">
        <v>1</v>
      </c>
      <c r="J131" s="4">
        <v>77.3</v>
      </c>
      <c r="K131" s="4">
        <f t="shared" si="25"/>
        <v>1.78</v>
      </c>
      <c r="L131">
        <v>178</v>
      </c>
      <c r="M131" s="4">
        <f t="shared" si="21"/>
        <v>18.474699999999999</v>
      </c>
      <c r="N131" s="4">
        <v>55.8</v>
      </c>
      <c r="O131" s="4">
        <v>23.9</v>
      </c>
      <c r="P131" s="40">
        <v>1</v>
      </c>
      <c r="Q131" s="4">
        <v>94</v>
      </c>
      <c r="R131" s="37">
        <v>1</v>
      </c>
      <c r="S131">
        <v>99</v>
      </c>
      <c r="T131" s="5">
        <f t="shared" si="20"/>
        <v>0.9494949494949495</v>
      </c>
      <c r="U131" s="37">
        <v>1</v>
      </c>
      <c r="V131" s="4">
        <f t="shared" si="12"/>
        <v>24.397172074233051</v>
      </c>
      <c r="W131" s="39">
        <v>1</v>
      </c>
      <c r="X131">
        <v>11</v>
      </c>
      <c r="Y131" s="37">
        <v>1</v>
      </c>
      <c r="Z131">
        <v>12.9</v>
      </c>
      <c r="AA131" s="23">
        <f t="shared" si="13"/>
        <v>2.2302666666666671</v>
      </c>
      <c r="AB131" s="84">
        <v>0</v>
      </c>
      <c r="AC131" s="5">
        <v>3.89</v>
      </c>
      <c r="AD131" s="37">
        <v>0</v>
      </c>
      <c r="AE131">
        <v>3</v>
      </c>
      <c r="AF131" s="5">
        <v>5.78</v>
      </c>
      <c r="AG131" s="37">
        <v>1</v>
      </c>
      <c r="AH131" s="5">
        <v>1.32</v>
      </c>
      <c r="AI131" s="37">
        <v>0</v>
      </c>
      <c r="AJ131" s="5">
        <v>4.04</v>
      </c>
      <c r="AK131" s="37">
        <v>1</v>
      </c>
      <c r="AL131" s="5">
        <v>1.1399999999999999</v>
      </c>
      <c r="AM131" s="37">
        <v>0</v>
      </c>
      <c r="AN131" s="4">
        <f t="shared" si="14"/>
        <v>5.0701754385964914</v>
      </c>
      <c r="AO131" s="37">
        <v>1</v>
      </c>
      <c r="AP131">
        <v>116</v>
      </c>
      <c r="AQ131" s="38">
        <v>0</v>
      </c>
      <c r="AR131">
        <v>74</v>
      </c>
      <c r="AS131" s="37">
        <v>0</v>
      </c>
      <c r="AT131">
        <v>81</v>
      </c>
      <c r="AU131">
        <v>42</v>
      </c>
      <c r="AV131">
        <v>5.5</v>
      </c>
      <c r="AW131" s="37">
        <v>1</v>
      </c>
      <c r="AX131">
        <v>1931</v>
      </c>
      <c r="AY131">
        <v>72.8</v>
      </c>
      <c r="AZ131">
        <v>58</v>
      </c>
      <c r="BA131">
        <v>297.10000000000002</v>
      </c>
      <c r="BB131">
        <v>8.5</v>
      </c>
      <c r="BC131">
        <v>216.3</v>
      </c>
      <c r="BD131">
        <v>58.1</v>
      </c>
      <c r="BE131">
        <v>42.1</v>
      </c>
      <c r="BF131">
        <v>129.69999999999999</v>
      </c>
      <c r="BG131">
        <v>27</v>
      </c>
      <c r="BH131">
        <v>15.1</v>
      </c>
      <c r="BI131">
        <v>57.7</v>
      </c>
      <c r="BJ131">
        <v>17.7</v>
      </c>
      <c r="BK131">
        <v>8.1999999999999993</v>
      </c>
      <c r="BL131">
        <v>38</v>
      </c>
      <c r="BM131">
        <v>8.3000000000000007</v>
      </c>
      <c r="BN131">
        <v>3.7</v>
      </c>
      <c r="BO131">
        <v>2.56</v>
      </c>
      <c r="BP131">
        <v>1.05</v>
      </c>
      <c r="BQ131">
        <v>0.25</v>
      </c>
      <c r="BR131">
        <v>497</v>
      </c>
      <c r="BS131">
        <v>234.2</v>
      </c>
      <c r="BT131">
        <v>4199</v>
      </c>
      <c r="BU131">
        <v>2300</v>
      </c>
      <c r="BV131">
        <v>26.4</v>
      </c>
      <c r="BW131">
        <v>7.99</v>
      </c>
      <c r="BX131">
        <v>1.41</v>
      </c>
      <c r="BY131">
        <v>60.3</v>
      </c>
      <c r="BZ131">
        <v>56.9</v>
      </c>
      <c r="CA131">
        <v>0.68</v>
      </c>
      <c r="CB131">
        <v>0.87</v>
      </c>
      <c r="CC131">
        <v>30.4</v>
      </c>
      <c r="CD131">
        <v>1.74</v>
      </c>
      <c r="CE131">
        <v>6.6</v>
      </c>
      <c r="CF131">
        <v>166.3</v>
      </c>
      <c r="CG131">
        <v>66.5</v>
      </c>
      <c r="CH131">
        <v>773</v>
      </c>
      <c r="CI131">
        <v>7.54</v>
      </c>
      <c r="CJ131">
        <v>1.8</v>
      </c>
      <c r="CK131">
        <v>1</v>
      </c>
      <c r="CL131" s="42" t="str">
        <f t="shared" si="15"/>
        <v>1</v>
      </c>
      <c r="CM131">
        <v>26</v>
      </c>
      <c r="CN131" s="4">
        <v>0.52</v>
      </c>
      <c r="CO131">
        <v>9</v>
      </c>
      <c r="CP131" s="42" t="str">
        <f t="shared" si="16"/>
        <v>2</v>
      </c>
      <c r="CQ131" s="4">
        <v>227.33333333333334</v>
      </c>
      <c r="CR131" s="4">
        <v>3.5333333333333332</v>
      </c>
      <c r="CS131" s="43" t="str">
        <f t="shared" si="17"/>
        <v>2</v>
      </c>
      <c r="CT131" s="4">
        <f t="shared" si="18"/>
        <v>253.33333333333334</v>
      </c>
      <c r="CU131" s="4">
        <f t="shared" si="19"/>
        <v>4.0533333333333328</v>
      </c>
      <c r="CV131" s="4">
        <v>4</v>
      </c>
    </row>
    <row r="132" spans="1:100" x14ac:dyDescent="0.3">
      <c r="A132" s="15" t="s">
        <v>283</v>
      </c>
      <c r="B132" s="17">
        <v>0</v>
      </c>
      <c r="C132" s="3">
        <v>43</v>
      </c>
      <c r="D132">
        <v>2</v>
      </c>
      <c r="E132">
        <v>2</v>
      </c>
      <c r="F132">
        <v>0</v>
      </c>
      <c r="G132">
        <v>1</v>
      </c>
      <c r="H132">
        <v>2</v>
      </c>
      <c r="I132">
        <v>1</v>
      </c>
      <c r="J132">
        <v>68.900000000000006</v>
      </c>
      <c r="K132">
        <v>1.66</v>
      </c>
      <c r="L132">
        <v>166</v>
      </c>
      <c r="M132" s="4">
        <f t="shared" si="21"/>
        <v>18.327400000000001</v>
      </c>
      <c r="N132" s="4">
        <v>48.8</v>
      </c>
      <c r="O132">
        <v>26.6</v>
      </c>
      <c r="P132" s="40">
        <v>1</v>
      </c>
      <c r="Q132">
        <v>83.8</v>
      </c>
      <c r="R132" s="37">
        <v>0</v>
      </c>
      <c r="S132">
        <v>99.5</v>
      </c>
      <c r="T132" s="5">
        <f t="shared" si="20"/>
        <v>0.84221105527638185</v>
      </c>
      <c r="U132" s="37">
        <v>0</v>
      </c>
      <c r="V132" s="4">
        <f t="shared" ref="V132:V195" si="26">J132/(K132*K132)</f>
        <v>25.003628973726233</v>
      </c>
      <c r="W132" s="39">
        <v>1</v>
      </c>
      <c r="X132">
        <v>12</v>
      </c>
      <c r="Y132" s="37">
        <v>1</v>
      </c>
      <c r="AA132" s="23"/>
      <c r="AB132" s="84"/>
      <c r="AC132" s="5">
        <v>5.04</v>
      </c>
      <c r="AD132" s="37">
        <v>0</v>
      </c>
      <c r="AE132">
        <v>13.85</v>
      </c>
      <c r="AF132" s="5">
        <v>6.39</v>
      </c>
      <c r="AG132" s="37">
        <v>1</v>
      </c>
      <c r="AH132" s="5">
        <v>1.56</v>
      </c>
      <c r="AI132" s="37">
        <v>0</v>
      </c>
      <c r="AJ132" s="5">
        <v>4.78</v>
      </c>
      <c r="AK132" s="37">
        <v>1</v>
      </c>
      <c r="AL132" s="5">
        <v>0.9</v>
      </c>
      <c r="AM132" s="37">
        <v>1</v>
      </c>
      <c r="AN132" s="4">
        <f t="shared" ref="AN132:AN195" si="27">AF132/AL132</f>
        <v>7.1</v>
      </c>
      <c r="AO132" s="37">
        <v>1</v>
      </c>
      <c r="AP132">
        <v>110</v>
      </c>
      <c r="AQ132" s="38">
        <v>0</v>
      </c>
      <c r="AR132">
        <v>82</v>
      </c>
      <c r="AS132" s="37">
        <v>0</v>
      </c>
      <c r="AT132">
        <v>45</v>
      </c>
      <c r="AU132">
        <v>27</v>
      </c>
      <c r="AV132">
        <v>5.8</v>
      </c>
      <c r="AW132" s="37">
        <v>1</v>
      </c>
      <c r="AX132">
        <v>1701</v>
      </c>
      <c r="AY132">
        <v>57.2</v>
      </c>
      <c r="AZ132">
        <v>65.8</v>
      </c>
      <c r="BA132">
        <v>233.9</v>
      </c>
      <c r="BB132">
        <v>8.5</v>
      </c>
      <c r="BC132">
        <v>159.4</v>
      </c>
      <c r="BD132">
        <v>41.6</v>
      </c>
      <c r="BE132">
        <v>35.1</v>
      </c>
      <c r="BF132">
        <v>126.1</v>
      </c>
      <c r="BG132">
        <v>34.799999999999997</v>
      </c>
      <c r="BH132">
        <v>13.4</v>
      </c>
      <c r="BI132">
        <v>51.6</v>
      </c>
      <c r="BJ132">
        <v>18.100000000000001</v>
      </c>
      <c r="BK132">
        <v>7.7</v>
      </c>
      <c r="BL132">
        <v>34.1</v>
      </c>
      <c r="BM132">
        <v>10.3</v>
      </c>
      <c r="BN132">
        <v>3.4</v>
      </c>
      <c r="BO132">
        <v>2.12</v>
      </c>
      <c r="BP132">
        <v>0.12</v>
      </c>
      <c r="BQ132">
        <v>0</v>
      </c>
      <c r="BR132">
        <v>893</v>
      </c>
      <c r="BS132">
        <v>192.5</v>
      </c>
      <c r="BT132">
        <v>2335</v>
      </c>
      <c r="BU132">
        <v>1746</v>
      </c>
      <c r="BV132">
        <v>12.83</v>
      </c>
      <c r="BW132">
        <v>6.73</v>
      </c>
      <c r="BX132">
        <v>1.74</v>
      </c>
      <c r="BY132">
        <v>43</v>
      </c>
      <c r="BZ132">
        <v>38.799999999999997</v>
      </c>
      <c r="CA132">
        <v>0.63</v>
      </c>
      <c r="CB132">
        <v>1.07</v>
      </c>
      <c r="CC132">
        <v>10.1</v>
      </c>
      <c r="CD132">
        <v>0.9</v>
      </c>
      <c r="CE132">
        <v>1.74</v>
      </c>
      <c r="CF132">
        <v>216.2</v>
      </c>
      <c r="CG132">
        <v>36.700000000000003</v>
      </c>
      <c r="CH132">
        <v>585</v>
      </c>
      <c r="CI132">
        <v>5.84</v>
      </c>
      <c r="CJ132">
        <v>1.7</v>
      </c>
      <c r="CK132">
        <v>2</v>
      </c>
      <c r="CL132" s="42" t="str">
        <f t="shared" si="15"/>
        <v>1</v>
      </c>
      <c r="CM132">
        <v>79</v>
      </c>
      <c r="CN132" s="4">
        <v>1.58</v>
      </c>
      <c r="CO132">
        <v>1</v>
      </c>
      <c r="CP132" s="42" t="str">
        <f t="shared" si="16"/>
        <v>1</v>
      </c>
      <c r="CQ132" s="4">
        <v>56.666666666666664</v>
      </c>
      <c r="CR132" s="4">
        <v>1.8888888888888891</v>
      </c>
      <c r="CS132" s="43" t="str">
        <f t="shared" si="17"/>
        <v>1</v>
      </c>
      <c r="CT132" s="4">
        <f t="shared" si="18"/>
        <v>135.66666666666666</v>
      </c>
      <c r="CU132" s="4">
        <f t="shared" si="19"/>
        <v>3.4688888888888894</v>
      </c>
      <c r="CV132" s="4">
        <v>3</v>
      </c>
    </row>
    <row r="133" spans="1:100" x14ac:dyDescent="0.3">
      <c r="A133" s="15" t="s">
        <v>284</v>
      </c>
      <c r="B133" s="17">
        <v>0</v>
      </c>
      <c r="C133" s="3">
        <v>49</v>
      </c>
      <c r="D133">
        <v>3</v>
      </c>
      <c r="E133">
        <v>1</v>
      </c>
      <c r="F133">
        <v>2</v>
      </c>
      <c r="G133">
        <v>0</v>
      </c>
      <c r="H133">
        <v>1</v>
      </c>
      <c r="I133">
        <v>1</v>
      </c>
      <c r="J133">
        <v>71.3</v>
      </c>
      <c r="K133" s="4">
        <f>L133/100</f>
        <v>1.6480000000000001</v>
      </c>
      <c r="L133">
        <v>164.8</v>
      </c>
      <c r="M133" s="4">
        <f t="shared" si="21"/>
        <v>19.037099999999999</v>
      </c>
      <c r="N133" s="4">
        <v>49.4</v>
      </c>
      <c r="O133">
        <v>26.7</v>
      </c>
      <c r="P133" s="40">
        <v>1</v>
      </c>
      <c r="Q133" s="5">
        <v>93.4</v>
      </c>
      <c r="R133" s="37">
        <v>1</v>
      </c>
      <c r="S133">
        <v>100.2</v>
      </c>
      <c r="T133" s="5">
        <f t="shared" si="20"/>
        <v>0.93213572854291415</v>
      </c>
      <c r="U133" s="37">
        <v>1</v>
      </c>
      <c r="V133" s="4">
        <f t="shared" si="26"/>
        <v>26.252768875483074</v>
      </c>
      <c r="W133" s="39">
        <v>1</v>
      </c>
      <c r="X133">
        <v>14</v>
      </c>
      <c r="Y133" s="37">
        <v>1</v>
      </c>
      <c r="Z133">
        <v>34.14</v>
      </c>
      <c r="AA133" s="23">
        <f t="shared" ref="AA133:AA195" si="28">(AC133*Z133)/22.5</f>
        <v>8.8460533333333338</v>
      </c>
      <c r="AB133" s="84">
        <v>1</v>
      </c>
      <c r="AC133" s="5">
        <v>5.83</v>
      </c>
      <c r="AD133" s="37">
        <v>1</v>
      </c>
      <c r="AE133">
        <v>3</v>
      </c>
      <c r="AF133" s="5">
        <v>5.9</v>
      </c>
      <c r="AG133" s="37">
        <v>1</v>
      </c>
      <c r="AH133" s="5">
        <v>1.83</v>
      </c>
      <c r="AI133" s="37">
        <v>1</v>
      </c>
      <c r="AJ133" s="5">
        <v>3.85</v>
      </c>
      <c r="AK133" s="37">
        <v>1</v>
      </c>
      <c r="AL133" s="5">
        <v>1.21</v>
      </c>
      <c r="AM133" s="37">
        <v>0</v>
      </c>
      <c r="AN133" s="4">
        <f t="shared" si="27"/>
        <v>4.8760330578512399</v>
      </c>
      <c r="AO133" s="37">
        <v>1</v>
      </c>
      <c r="AP133">
        <v>139</v>
      </c>
      <c r="AQ133" s="37">
        <v>1</v>
      </c>
      <c r="AR133">
        <v>81</v>
      </c>
      <c r="AS133" s="37">
        <v>0</v>
      </c>
      <c r="AT133">
        <v>91</v>
      </c>
      <c r="AU133">
        <v>58</v>
      </c>
      <c r="AV133">
        <v>7.6</v>
      </c>
      <c r="AW133" s="37">
        <v>0</v>
      </c>
      <c r="AX133">
        <v>1631</v>
      </c>
      <c r="AY133">
        <v>47.1</v>
      </c>
      <c r="AZ133">
        <v>46.5</v>
      </c>
      <c r="BA133">
        <v>273</v>
      </c>
      <c r="BB133">
        <v>10.199999999999999</v>
      </c>
      <c r="BC133">
        <v>211.5</v>
      </c>
      <c r="BD133">
        <v>44.2</v>
      </c>
      <c r="BE133">
        <v>23.7</v>
      </c>
      <c r="BF133">
        <v>149</v>
      </c>
      <c r="BG133">
        <v>25.7</v>
      </c>
      <c r="BH133">
        <v>11.5</v>
      </c>
      <c r="BI133">
        <v>62.8</v>
      </c>
      <c r="BJ133">
        <v>16.100000000000001</v>
      </c>
      <c r="BK133">
        <v>5.4</v>
      </c>
      <c r="BL133">
        <v>29.2</v>
      </c>
      <c r="BM133">
        <v>6.6</v>
      </c>
      <c r="BN133">
        <v>2.7</v>
      </c>
      <c r="BO133">
        <v>2.2400000000000002</v>
      </c>
      <c r="BP133">
        <v>0.22</v>
      </c>
      <c r="BQ133">
        <v>0</v>
      </c>
      <c r="BR133">
        <v>459</v>
      </c>
      <c r="BS133">
        <v>167.3</v>
      </c>
      <c r="BT133">
        <v>3012</v>
      </c>
      <c r="BU133">
        <v>1806</v>
      </c>
      <c r="BV133">
        <v>10.76</v>
      </c>
      <c r="BW133">
        <v>5.24</v>
      </c>
      <c r="BX133">
        <v>1.1100000000000001</v>
      </c>
      <c r="BY133">
        <v>23.7</v>
      </c>
      <c r="BZ133">
        <v>46.1</v>
      </c>
      <c r="CA133">
        <v>0.67</v>
      </c>
      <c r="CB133">
        <v>0.57999999999999996</v>
      </c>
      <c r="CC133">
        <v>18.2</v>
      </c>
      <c r="CD133">
        <v>1.02</v>
      </c>
      <c r="CE133">
        <v>1.39</v>
      </c>
      <c r="CF133">
        <v>164.8</v>
      </c>
      <c r="CG133">
        <v>36.799999999999997</v>
      </c>
      <c r="CH133">
        <v>542</v>
      </c>
      <c r="CI133">
        <v>6.86</v>
      </c>
      <c r="CJ133">
        <v>3.2</v>
      </c>
      <c r="CK133">
        <v>1</v>
      </c>
      <c r="CL133" s="42" t="str">
        <f t="shared" ref="CL133:CL196" si="29">IF(CM133&lt;=99,"1",IF(CM133&lt;=199,"2",IF(CM133&lt;=299,"3","4")))</f>
        <v>1</v>
      </c>
      <c r="CM133">
        <v>51</v>
      </c>
      <c r="CN133" s="4">
        <v>1.02</v>
      </c>
      <c r="CO133">
        <v>2</v>
      </c>
      <c r="CP133" s="42" t="str">
        <f t="shared" ref="CP133:CP196" si="30">IF(CQ133&lt;=149,"1",IF(CQ133&lt;=299,"2",IF(CQ133&lt;=399,"3","4")))</f>
        <v>1</v>
      </c>
      <c r="CQ133" s="4">
        <v>105.33333333333333</v>
      </c>
      <c r="CR133" s="4">
        <v>1.0222222222222224</v>
      </c>
      <c r="CS133" s="43" t="str">
        <f t="shared" ref="CS133:CS196" si="31">IF(CT133&lt;=149,"1",IF(CT133&lt;=299,"2",IF(CT133&lt;=399,"3","4")))</f>
        <v>2</v>
      </c>
      <c r="CT133" s="4">
        <f t="shared" ref="CT133:CT196" si="32">(CM133+CQ133)</f>
        <v>156.33333333333331</v>
      </c>
      <c r="CU133" s="4">
        <f t="shared" ref="CU133:CU196" si="33">(CN133+CR133)</f>
        <v>2.0422222222222226</v>
      </c>
      <c r="CV133" s="4">
        <v>2</v>
      </c>
    </row>
    <row r="134" spans="1:100" x14ac:dyDescent="0.3">
      <c r="A134" s="15" t="s">
        <v>285</v>
      </c>
      <c r="B134" s="17">
        <v>0</v>
      </c>
      <c r="C134">
        <v>32</v>
      </c>
      <c r="D134">
        <v>2</v>
      </c>
      <c r="E134">
        <v>3</v>
      </c>
      <c r="F134">
        <v>1</v>
      </c>
      <c r="G134">
        <v>0</v>
      </c>
      <c r="H134">
        <v>2</v>
      </c>
      <c r="I134">
        <v>0</v>
      </c>
      <c r="J134">
        <v>56.6</v>
      </c>
      <c r="K134">
        <v>1.61</v>
      </c>
      <c r="L134">
        <v>161</v>
      </c>
      <c r="M134" s="4">
        <f t="shared" si="21"/>
        <v>12.734999999999999</v>
      </c>
      <c r="N134" s="4">
        <v>41.6</v>
      </c>
      <c r="O134" s="4">
        <v>22.5</v>
      </c>
      <c r="P134" s="40">
        <v>0</v>
      </c>
      <c r="Q134">
        <v>76.2</v>
      </c>
      <c r="R134" s="37">
        <v>0</v>
      </c>
      <c r="S134">
        <v>93.2</v>
      </c>
      <c r="T134" s="5">
        <f t="shared" si="20"/>
        <v>0.81759656652360513</v>
      </c>
      <c r="U134" s="37">
        <v>0</v>
      </c>
      <c r="V134" s="4">
        <f t="shared" si="26"/>
        <v>21.835577331121481</v>
      </c>
      <c r="W134" s="39">
        <v>0</v>
      </c>
      <c r="X134">
        <v>8</v>
      </c>
      <c r="Y134" s="40">
        <v>0</v>
      </c>
      <c r="Z134">
        <v>5.54</v>
      </c>
      <c r="AA134" s="23">
        <f t="shared" si="28"/>
        <v>1.1153866666666667</v>
      </c>
      <c r="AB134" s="84">
        <v>0</v>
      </c>
      <c r="AC134" s="5">
        <v>4.53</v>
      </c>
      <c r="AD134" s="37">
        <v>0</v>
      </c>
      <c r="AE134" s="5">
        <v>17.760000000000002</v>
      </c>
      <c r="AF134" s="5">
        <v>5.23</v>
      </c>
      <c r="AG134" s="37">
        <v>1</v>
      </c>
      <c r="AH134" s="5">
        <v>0.95</v>
      </c>
      <c r="AI134" s="37">
        <v>0</v>
      </c>
      <c r="AJ134" s="5">
        <v>3.71</v>
      </c>
      <c r="AK134" s="37">
        <v>1</v>
      </c>
      <c r="AL134" s="5">
        <v>1.0900000000000001</v>
      </c>
      <c r="AM134" s="37">
        <v>0</v>
      </c>
      <c r="AN134" s="4">
        <f t="shared" si="27"/>
        <v>4.7981651376146788</v>
      </c>
      <c r="AO134" s="37">
        <v>1</v>
      </c>
      <c r="AP134">
        <v>119</v>
      </c>
      <c r="AQ134" s="38">
        <v>0</v>
      </c>
      <c r="AR134">
        <v>80</v>
      </c>
      <c r="AS134" s="37">
        <v>0</v>
      </c>
      <c r="AT134">
        <v>83</v>
      </c>
      <c r="AU134">
        <v>39</v>
      </c>
      <c r="AV134">
        <v>5.5</v>
      </c>
      <c r="AW134" s="37">
        <v>1</v>
      </c>
      <c r="AX134">
        <v>1809</v>
      </c>
      <c r="AY134">
        <v>52.7</v>
      </c>
      <c r="AZ134">
        <v>55.5</v>
      </c>
      <c r="BA134">
        <v>291.60000000000002</v>
      </c>
      <c r="BB134">
        <v>6.4</v>
      </c>
      <c r="BC134">
        <v>236.9</v>
      </c>
      <c r="BD134">
        <v>31.3</v>
      </c>
      <c r="BE134">
        <v>18</v>
      </c>
      <c r="BF134">
        <v>184.5</v>
      </c>
      <c r="BG134">
        <v>27.6</v>
      </c>
      <c r="BH134">
        <v>11.7</v>
      </c>
      <c r="BI134">
        <v>60.4</v>
      </c>
      <c r="BJ134">
        <v>16</v>
      </c>
      <c r="BK134">
        <v>3.7</v>
      </c>
      <c r="BL134">
        <v>32.1</v>
      </c>
      <c r="BM134">
        <v>9.5</v>
      </c>
      <c r="BN134">
        <v>3.5</v>
      </c>
      <c r="BO134">
        <v>2.87</v>
      </c>
      <c r="BP134">
        <v>0.36</v>
      </c>
      <c r="BQ134">
        <v>0.28000000000000003</v>
      </c>
      <c r="BR134">
        <v>500</v>
      </c>
      <c r="BS134">
        <v>174</v>
      </c>
      <c r="BT134">
        <v>3117</v>
      </c>
      <c r="BU134">
        <v>1632</v>
      </c>
      <c r="BV134">
        <v>10.029999999999999</v>
      </c>
      <c r="BW134">
        <v>6.56</v>
      </c>
      <c r="BX134">
        <v>1.35</v>
      </c>
      <c r="BY134">
        <v>36.5</v>
      </c>
      <c r="BZ134">
        <v>51.9</v>
      </c>
      <c r="CA134">
        <v>0.59</v>
      </c>
      <c r="CB134">
        <v>0.68</v>
      </c>
      <c r="CC134">
        <v>14.8</v>
      </c>
      <c r="CD134">
        <v>0.82</v>
      </c>
      <c r="CE134">
        <v>2.2200000000000002</v>
      </c>
      <c r="CF134">
        <v>244.4</v>
      </c>
      <c r="CG134">
        <v>31.3</v>
      </c>
      <c r="CH134">
        <v>593</v>
      </c>
      <c r="CI134">
        <v>3.79</v>
      </c>
      <c r="CJ134">
        <v>3.3</v>
      </c>
      <c r="CK134">
        <v>1</v>
      </c>
      <c r="CL134" s="42" t="str">
        <f t="shared" si="29"/>
        <v>1</v>
      </c>
      <c r="CM134">
        <v>20</v>
      </c>
      <c r="CN134" s="4">
        <v>0.4</v>
      </c>
      <c r="CO134">
        <v>6</v>
      </c>
      <c r="CP134" s="42" t="str">
        <f t="shared" si="30"/>
        <v>1</v>
      </c>
      <c r="CQ134" s="4">
        <v>112.33333333333333</v>
      </c>
      <c r="CR134" s="4">
        <v>1.925925925925926</v>
      </c>
      <c r="CS134" s="43" t="str">
        <f t="shared" si="31"/>
        <v>1</v>
      </c>
      <c r="CT134" s="4">
        <f t="shared" si="32"/>
        <v>132.33333333333331</v>
      </c>
      <c r="CU134" s="4">
        <f t="shared" si="33"/>
        <v>2.325925925925926</v>
      </c>
      <c r="CV134" s="4">
        <v>2</v>
      </c>
    </row>
    <row r="135" spans="1:100" x14ac:dyDescent="0.3">
      <c r="A135" s="15" t="s">
        <v>286</v>
      </c>
      <c r="B135" s="17">
        <v>0</v>
      </c>
      <c r="C135">
        <v>31</v>
      </c>
      <c r="D135">
        <v>3</v>
      </c>
      <c r="E135">
        <v>2</v>
      </c>
      <c r="F135">
        <v>1</v>
      </c>
      <c r="G135">
        <v>2</v>
      </c>
      <c r="H135">
        <v>1</v>
      </c>
      <c r="I135">
        <v>1</v>
      </c>
      <c r="J135">
        <v>62.5</v>
      </c>
      <c r="K135">
        <v>1.72</v>
      </c>
      <c r="L135">
        <v>172</v>
      </c>
      <c r="M135" s="4">
        <f t="shared" si="21"/>
        <v>12.3125</v>
      </c>
      <c r="N135" s="4">
        <v>48.2</v>
      </c>
      <c r="O135" s="4">
        <v>19.7</v>
      </c>
      <c r="P135" s="40">
        <v>0</v>
      </c>
      <c r="Q135">
        <v>77.2</v>
      </c>
      <c r="R135" s="37">
        <v>0</v>
      </c>
      <c r="S135">
        <v>94.6</v>
      </c>
      <c r="T135" s="5">
        <f>Q135/S135</f>
        <v>0.81606765327695563</v>
      </c>
      <c r="U135" s="37">
        <v>0</v>
      </c>
      <c r="V135" s="4">
        <f t="shared" si="26"/>
        <v>21.12628447809627</v>
      </c>
      <c r="W135" s="39">
        <v>0</v>
      </c>
      <c r="X135">
        <v>7</v>
      </c>
      <c r="Y135" s="40">
        <v>0</v>
      </c>
      <c r="AA135" s="23"/>
      <c r="AB135" s="84"/>
      <c r="AC135" s="5">
        <v>4.3499999999999996</v>
      </c>
      <c r="AD135" s="37">
        <v>0</v>
      </c>
      <c r="AE135" s="5">
        <v>3</v>
      </c>
      <c r="AF135" s="5">
        <v>7.29</v>
      </c>
      <c r="AG135" s="37">
        <v>1</v>
      </c>
      <c r="AH135" s="5">
        <v>1.45</v>
      </c>
      <c r="AI135" s="37">
        <v>0</v>
      </c>
      <c r="AJ135" s="5">
        <v>5.42</v>
      </c>
      <c r="AK135" s="37">
        <v>1</v>
      </c>
      <c r="AL135" s="5">
        <v>1.21</v>
      </c>
      <c r="AM135" s="37">
        <v>0</v>
      </c>
      <c r="AN135" s="4">
        <f t="shared" si="27"/>
        <v>6.0247933884297522</v>
      </c>
      <c r="AO135" s="37">
        <v>1</v>
      </c>
      <c r="AP135">
        <v>130</v>
      </c>
      <c r="AQ135" s="37">
        <v>1</v>
      </c>
      <c r="AR135">
        <v>86</v>
      </c>
      <c r="AS135" s="37">
        <v>1</v>
      </c>
      <c r="AT135">
        <v>90</v>
      </c>
      <c r="AU135">
        <v>44</v>
      </c>
      <c r="AV135">
        <v>5.8</v>
      </c>
      <c r="AW135" s="37">
        <v>1</v>
      </c>
      <c r="AX135">
        <v>3000</v>
      </c>
      <c r="AY135">
        <v>87.4</v>
      </c>
      <c r="AZ135">
        <v>103.1</v>
      </c>
      <c r="BA135">
        <v>458.7</v>
      </c>
      <c r="BB135">
        <v>15.3</v>
      </c>
      <c r="BC135">
        <v>359.5</v>
      </c>
      <c r="BD135">
        <v>61.6</v>
      </c>
      <c r="BE135">
        <v>46.5</v>
      </c>
      <c r="BF135">
        <v>130.6</v>
      </c>
      <c r="BG135">
        <v>30.9</v>
      </c>
      <c r="BH135">
        <v>11.6</v>
      </c>
      <c r="BI135">
        <v>57.3</v>
      </c>
      <c r="BJ135">
        <v>19.399999999999999</v>
      </c>
      <c r="BK135">
        <v>5.8</v>
      </c>
      <c r="BL135">
        <v>64.599999999999994</v>
      </c>
      <c r="BM135">
        <v>8.6999999999999993</v>
      </c>
      <c r="BN135">
        <v>4.0999999999999996</v>
      </c>
      <c r="BO135">
        <v>3.42</v>
      </c>
      <c r="BP135">
        <v>0.53</v>
      </c>
      <c r="BQ135">
        <v>0.53</v>
      </c>
      <c r="BR135">
        <v>1003</v>
      </c>
      <c r="BS135">
        <v>248.1</v>
      </c>
      <c r="BT135">
        <v>5500</v>
      </c>
      <c r="BU135">
        <v>2371</v>
      </c>
      <c r="BV135">
        <v>15.86</v>
      </c>
      <c r="BW135">
        <v>9.35</v>
      </c>
      <c r="BX135">
        <v>2.14</v>
      </c>
      <c r="BY135">
        <v>76.8</v>
      </c>
      <c r="BZ135">
        <v>76</v>
      </c>
      <c r="CA135">
        <v>1.07</v>
      </c>
      <c r="CB135">
        <v>1.53</v>
      </c>
      <c r="CC135">
        <v>27.4</v>
      </c>
      <c r="CD135">
        <v>1.52</v>
      </c>
      <c r="CE135">
        <v>2.87</v>
      </c>
      <c r="CF135">
        <v>266</v>
      </c>
      <c r="CG135">
        <v>17.600000000000001</v>
      </c>
      <c r="CH135">
        <v>823</v>
      </c>
      <c r="CI135">
        <v>2.42</v>
      </c>
      <c r="CJ135">
        <v>2.8</v>
      </c>
      <c r="CK135">
        <v>0</v>
      </c>
      <c r="CL135" s="42" t="str">
        <f t="shared" si="29"/>
        <v>1</v>
      </c>
      <c r="CM135">
        <v>0</v>
      </c>
      <c r="CN135" s="4">
        <v>0</v>
      </c>
      <c r="CO135">
        <v>5</v>
      </c>
      <c r="CP135" s="42" t="str">
        <f t="shared" si="30"/>
        <v>1</v>
      </c>
      <c r="CQ135" s="4">
        <v>118.33333333333333</v>
      </c>
      <c r="CR135" s="4">
        <v>1.6592592592592592</v>
      </c>
      <c r="CS135" s="43" t="str">
        <f t="shared" si="31"/>
        <v>1</v>
      </c>
      <c r="CT135" s="4">
        <f t="shared" si="32"/>
        <v>118.33333333333333</v>
      </c>
      <c r="CU135" s="4">
        <f t="shared" si="33"/>
        <v>1.6592592592592592</v>
      </c>
      <c r="CV135" s="4">
        <v>1</v>
      </c>
    </row>
    <row r="136" spans="1:100" x14ac:dyDescent="0.3">
      <c r="A136" s="15" t="s">
        <v>287</v>
      </c>
      <c r="B136" s="17">
        <v>0</v>
      </c>
      <c r="C136">
        <v>30</v>
      </c>
      <c r="D136">
        <v>3</v>
      </c>
      <c r="E136">
        <v>2</v>
      </c>
      <c r="F136">
        <v>1</v>
      </c>
      <c r="G136">
        <v>0</v>
      </c>
      <c r="H136">
        <v>2</v>
      </c>
      <c r="I136">
        <v>1</v>
      </c>
      <c r="J136">
        <v>73.8</v>
      </c>
      <c r="K136">
        <v>1.69</v>
      </c>
      <c r="L136">
        <v>169</v>
      </c>
      <c r="M136" s="4">
        <f t="shared" si="21"/>
        <v>14.686199999999999</v>
      </c>
      <c r="N136" s="4">
        <v>57.2</v>
      </c>
      <c r="O136">
        <v>19.899999999999999</v>
      </c>
      <c r="P136" s="40">
        <v>0</v>
      </c>
      <c r="Q136">
        <v>88.8</v>
      </c>
      <c r="R136" s="37">
        <v>0</v>
      </c>
      <c r="S136">
        <v>101.2</v>
      </c>
      <c r="T136" s="5">
        <f>Q136/S136</f>
        <v>0.87747035573122523</v>
      </c>
      <c r="U136" s="37">
        <v>0</v>
      </c>
      <c r="V136" s="4">
        <f t="shared" si="26"/>
        <v>25.839431392458248</v>
      </c>
      <c r="W136" s="39">
        <v>1</v>
      </c>
      <c r="X136">
        <v>7</v>
      </c>
      <c r="Y136" s="40">
        <v>0</v>
      </c>
      <c r="AA136" s="23"/>
      <c r="AB136" s="84"/>
      <c r="AC136" s="5">
        <v>4.84</v>
      </c>
      <c r="AD136" s="37">
        <v>0</v>
      </c>
      <c r="AE136">
        <v>3</v>
      </c>
      <c r="AF136" s="5">
        <v>5.56</v>
      </c>
      <c r="AG136" s="37">
        <v>1</v>
      </c>
      <c r="AH136" s="5">
        <v>1.73</v>
      </c>
      <c r="AI136" s="37">
        <v>1</v>
      </c>
      <c r="AJ136" s="5">
        <v>3.49</v>
      </c>
      <c r="AK136" s="37">
        <v>1</v>
      </c>
      <c r="AL136" s="5">
        <v>1.29</v>
      </c>
      <c r="AM136" s="37">
        <v>0</v>
      </c>
      <c r="AN136" s="4">
        <f t="shared" si="27"/>
        <v>4.3100775193798446</v>
      </c>
      <c r="AO136" s="37">
        <v>1</v>
      </c>
      <c r="AP136">
        <v>127</v>
      </c>
      <c r="AQ136" s="38">
        <v>0</v>
      </c>
      <c r="AR136">
        <v>75</v>
      </c>
      <c r="AS136" s="37">
        <v>0</v>
      </c>
      <c r="AT136">
        <v>76</v>
      </c>
      <c r="AU136">
        <v>52</v>
      </c>
      <c r="AV136">
        <v>5.7</v>
      </c>
      <c r="AW136" s="37">
        <v>1</v>
      </c>
      <c r="AX136">
        <v>3365</v>
      </c>
      <c r="AY136">
        <v>89</v>
      </c>
      <c r="AZ136">
        <v>77.3</v>
      </c>
      <c r="BA136">
        <v>614.70000000000005</v>
      </c>
      <c r="BB136">
        <v>11.6</v>
      </c>
      <c r="BC136">
        <v>440.3</v>
      </c>
      <c r="BD136">
        <v>134</v>
      </c>
      <c r="BE136">
        <v>122.6</v>
      </c>
      <c r="BF136">
        <v>228.1</v>
      </c>
      <c r="BG136">
        <v>20.7</v>
      </c>
      <c r="BH136">
        <v>10.6</v>
      </c>
      <c r="BI136">
        <v>68.5</v>
      </c>
      <c r="BJ136">
        <v>14.3</v>
      </c>
      <c r="BK136">
        <v>13.7</v>
      </c>
      <c r="BL136">
        <v>53.3</v>
      </c>
      <c r="BM136">
        <v>12</v>
      </c>
      <c r="BN136">
        <v>4.9000000000000004</v>
      </c>
      <c r="BO136">
        <v>3.8</v>
      </c>
      <c r="BP136">
        <v>0.26</v>
      </c>
      <c r="BQ136">
        <v>0</v>
      </c>
      <c r="BR136">
        <v>384</v>
      </c>
      <c r="BS136">
        <v>335.5</v>
      </c>
      <c r="BT136">
        <v>4245</v>
      </c>
      <c r="BU136">
        <v>2812</v>
      </c>
      <c r="BV136">
        <v>17.61</v>
      </c>
      <c r="BW136">
        <v>11.99</v>
      </c>
      <c r="BX136">
        <v>2.44</v>
      </c>
      <c r="BY136">
        <v>77.5</v>
      </c>
      <c r="BZ136">
        <v>83.1</v>
      </c>
      <c r="CA136">
        <v>0.97</v>
      </c>
      <c r="CB136">
        <v>0.82</v>
      </c>
      <c r="CC136">
        <v>26.4</v>
      </c>
      <c r="CD136">
        <v>1.58</v>
      </c>
      <c r="CE136">
        <v>1.73</v>
      </c>
      <c r="CF136">
        <v>278.39999999999998</v>
      </c>
      <c r="CG136">
        <v>30.8</v>
      </c>
      <c r="CH136">
        <v>272</v>
      </c>
      <c r="CI136">
        <v>3.5</v>
      </c>
      <c r="CJ136">
        <v>1.9</v>
      </c>
      <c r="CK136">
        <v>1</v>
      </c>
      <c r="CL136" s="42" t="str">
        <f t="shared" si="29"/>
        <v>1</v>
      </c>
      <c r="CM136">
        <v>78</v>
      </c>
      <c r="CN136" s="4">
        <v>1.56</v>
      </c>
      <c r="CO136">
        <v>4</v>
      </c>
      <c r="CP136" s="42" t="str">
        <f t="shared" si="30"/>
        <v>1</v>
      </c>
      <c r="CQ136" s="4">
        <v>78</v>
      </c>
      <c r="CR136" s="4">
        <v>0.64197530864197527</v>
      </c>
      <c r="CS136" s="43" t="str">
        <f t="shared" si="31"/>
        <v>2</v>
      </c>
      <c r="CT136" s="4">
        <f t="shared" si="32"/>
        <v>156</v>
      </c>
      <c r="CU136" s="4">
        <f t="shared" si="33"/>
        <v>2.2019753086419751</v>
      </c>
      <c r="CV136" s="4">
        <v>2</v>
      </c>
    </row>
    <row r="137" spans="1:100" x14ac:dyDescent="0.3">
      <c r="A137" s="15" t="s">
        <v>288</v>
      </c>
      <c r="B137" s="17">
        <v>0</v>
      </c>
      <c r="C137" s="3">
        <v>33</v>
      </c>
      <c r="D137">
        <v>1</v>
      </c>
      <c r="E137">
        <v>3</v>
      </c>
      <c r="F137">
        <v>2</v>
      </c>
      <c r="G137">
        <v>0</v>
      </c>
      <c r="H137">
        <v>2</v>
      </c>
      <c r="I137">
        <v>0</v>
      </c>
      <c r="J137">
        <v>79.400000000000006</v>
      </c>
      <c r="K137">
        <v>1.68</v>
      </c>
      <c r="L137">
        <v>168</v>
      </c>
      <c r="M137" s="4">
        <f t="shared" si="21"/>
        <v>21.596800000000002</v>
      </c>
      <c r="N137">
        <v>52.9</v>
      </c>
      <c r="O137" s="4">
        <v>27.2</v>
      </c>
      <c r="P137" s="40">
        <v>1</v>
      </c>
      <c r="Q137">
        <v>95</v>
      </c>
      <c r="R137" s="37">
        <v>1</v>
      </c>
      <c r="S137">
        <v>100</v>
      </c>
      <c r="T137" s="5">
        <f>Q137/S137</f>
        <v>0.95</v>
      </c>
      <c r="U137" s="37">
        <v>1</v>
      </c>
      <c r="V137" s="4">
        <f t="shared" si="26"/>
        <v>28.132086167800459</v>
      </c>
      <c r="W137" s="39">
        <v>1</v>
      </c>
      <c r="X137">
        <v>12</v>
      </c>
      <c r="Y137" s="37">
        <v>1</v>
      </c>
      <c r="Z137">
        <v>8.0399999999999991</v>
      </c>
      <c r="AA137" s="23">
        <f t="shared" si="28"/>
        <v>1.6044266666666664</v>
      </c>
      <c r="AB137" s="84">
        <v>0</v>
      </c>
      <c r="AC137" s="5">
        <v>4.49</v>
      </c>
      <c r="AD137" s="37">
        <v>0</v>
      </c>
      <c r="AE137" s="5">
        <v>18.47</v>
      </c>
      <c r="AF137" s="5">
        <v>4.47</v>
      </c>
      <c r="AG137" s="37">
        <v>0</v>
      </c>
      <c r="AH137" s="5">
        <v>1</v>
      </c>
      <c r="AI137" s="37">
        <v>0</v>
      </c>
      <c r="AJ137" s="5">
        <v>3.04</v>
      </c>
      <c r="AK137" s="37">
        <v>0</v>
      </c>
      <c r="AL137" s="5">
        <v>0.97</v>
      </c>
      <c r="AM137" s="37">
        <v>1</v>
      </c>
      <c r="AN137" s="4">
        <f t="shared" si="27"/>
        <v>4.608247422680412</v>
      </c>
      <c r="AO137" s="37">
        <v>1</v>
      </c>
      <c r="AP137">
        <v>118</v>
      </c>
      <c r="AQ137" s="38">
        <v>0</v>
      </c>
      <c r="AR137">
        <v>62</v>
      </c>
      <c r="AS137" s="37">
        <v>0</v>
      </c>
      <c r="AT137">
        <v>73</v>
      </c>
      <c r="AU137">
        <v>56</v>
      </c>
      <c r="AV137">
        <v>5.6</v>
      </c>
      <c r="AW137" s="37">
        <v>1</v>
      </c>
      <c r="AX137">
        <v>2145</v>
      </c>
      <c r="AY137">
        <v>54.2</v>
      </c>
      <c r="AZ137">
        <v>58.8</v>
      </c>
      <c r="BA137">
        <v>370.1</v>
      </c>
      <c r="BB137">
        <v>8.8000000000000007</v>
      </c>
      <c r="BC137">
        <v>270.8</v>
      </c>
      <c r="BD137">
        <v>76.099999999999994</v>
      </c>
      <c r="BE137">
        <v>36.5</v>
      </c>
      <c r="BF137">
        <v>127.4</v>
      </c>
      <c r="BG137">
        <v>24.7</v>
      </c>
      <c r="BH137">
        <v>10.1</v>
      </c>
      <c r="BI137">
        <v>64.7</v>
      </c>
      <c r="BJ137">
        <v>18.5</v>
      </c>
      <c r="BK137">
        <v>6.4</v>
      </c>
      <c r="BL137">
        <v>44.2</v>
      </c>
      <c r="BM137">
        <v>5.9</v>
      </c>
      <c r="BN137">
        <v>2.2000000000000002</v>
      </c>
      <c r="BO137">
        <v>1.46</v>
      </c>
      <c r="BP137">
        <v>0.14000000000000001</v>
      </c>
      <c r="BQ137">
        <v>0</v>
      </c>
      <c r="BR137">
        <v>263</v>
      </c>
      <c r="BS137">
        <v>226.8</v>
      </c>
      <c r="BT137">
        <v>3882</v>
      </c>
      <c r="BU137">
        <v>2268</v>
      </c>
      <c r="BV137">
        <v>9.9600000000000009</v>
      </c>
      <c r="BW137">
        <v>7.32</v>
      </c>
      <c r="BX137">
        <v>1.05</v>
      </c>
      <c r="BY137">
        <v>16.8</v>
      </c>
      <c r="BZ137">
        <v>28.5</v>
      </c>
      <c r="CA137">
        <v>0.59</v>
      </c>
      <c r="CB137">
        <v>0.62</v>
      </c>
      <c r="CC137">
        <v>20.6</v>
      </c>
      <c r="CD137">
        <v>0.94</v>
      </c>
      <c r="CE137">
        <v>0.64</v>
      </c>
      <c r="CF137">
        <v>232.6</v>
      </c>
      <c r="CG137">
        <v>27.9</v>
      </c>
      <c r="CH137">
        <v>173</v>
      </c>
      <c r="CI137">
        <v>0.23</v>
      </c>
      <c r="CJ137">
        <v>2</v>
      </c>
      <c r="CK137">
        <v>1</v>
      </c>
      <c r="CL137" s="42" t="str">
        <f t="shared" si="29"/>
        <v>1</v>
      </c>
      <c r="CM137">
        <v>74</v>
      </c>
      <c r="CN137" s="4">
        <v>1.48</v>
      </c>
      <c r="CO137">
        <v>4</v>
      </c>
      <c r="CP137" s="42" t="str">
        <f t="shared" si="30"/>
        <v>2</v>
      </c>
      <c r="CQ137" s="4">
        <v>176</v>
      </c>
      <c r="CR137" s="4">
        <v>1.8580246913580245</v>
      </c>
      <c r="CS137" s="43" t="str">
        <f t="shared" si="31"/>
        <v>2</v>
      </c>
      <c r="CT137" s="4">
        <f t="shared" si="32"/>
        <v>250</v>
      </c>
      <c r="CU137" s="4">
        <f t="shared" si="33"/>
        <v>3.3380246913580245</v>
      </c>
      <c r="CV137" s="4">
        <v>3</v>
      </c>
    </row>
    <row r="138" spans="1:100" x14ac:dyDescent="0.3">
      <c r="A138" s="15" t="s">
        <v>289</v>
      </c>
      <c r="B138" s="17">
        <v>0</v>
      </c>
      <c r="C138" s="3">
        <v>32</v>
      </c>
      <c r="D138">
        <v>1</v>
      </c>
      <c r="E138">
        <v>3</v>
      </c>
      <c r="F138">
        <v>0</v>
      </c>
      <c r="G138">
        <v>0</v>
      </c>
      <c r="H138">
        <v>1</v>
      </c>
      <c r="I138">
        <v>1</v>
      </c>
      <c r="J138">
        <v>85.8</v>
      </c>
      <c r="K138" s="4">
        <f t="shared" ref="K138:K154" si="34">L138/100</f>
        <v>1.76</v>
      </c>
      <c r="L138">
        <v>176</v>
      </c>
      <c r="M138" s="4">
        <f t="shared" si="21"/>
        <v>23.423400000000001</v>
      </c>
      <c r="N138" s="4">
        <v>58.4</v>
      </c>
      <c r="O138">
        <v>27.3</v>
      </c>
      <c r="P138" s="40">
        <v>1</v>
      </c>
      <c r="Q138">
        <v>99.1</v>
      </c>
      <c r="R138" s="37">
        <v>1</v>
      </c>
      <c r="S138">
        <v>102.5</v>
      </c>
      <c r="T138" s="5">
        <f t="shared" ref="T138:T201" si="35">Q138/S138</f>
        <v>0.9668292682926829</v>
      </c>
      <c r="U138" s="37">
        <v>1</v>
      </c>
      <c r="V138" s="4">
        <f t="shared" si="26"/>
        <v>27.698863636363637</v>
      </c>
      <c r="W138" s="39">
        <v>1</v>
      </c>
      <c r="X138">
        <v>13</v>
      </c>
      <c r="Y138" s="37">
        <v>1</v>
      </c>
      <c r="AA138" s="23"/>
      <c r="AB138" s="84"/>
      <c r="AC138" s="5">
        <v>4.1100000000000003</v>
      </c>
      <c r="AD138" s="37">
        <v>0</v>
      </c>
      <c r="AE138">
        <v>13.91</v>
      </c>
      <c r="AF138" s="5">
        <v>5.41</v>
      </c>
      <c r="AG138" s="37">
        <v>1</v>
      </c>
      <c r="AH138" s="5">
        <v>1.06</v>
      </c>
      <c r="AI138" s="37">
        <v>0</v>
      </c>
      <c r="AJ138" s="5">
        <v>3.84</v>
      </c>
      <c r="AK138" s="37">
        <v>1</v>
      </c>
      <c r="AL138" s="5">
        <v>1.08</v>
      </c>
      <c r="AM138" s="37">
        <v>0</v>
      </c>
      <c r="AN138">
        <f t="shared" si="27"/>
        <v>5.0092592592592586</v>
      </c>
      <c r="AO138" s="37">
        <v>1</v>
      </c>
      <c r="AP138">
        <v>133</v>
      </c>
      <c r="AQ138" s="37">
        <v>1</v>
      </c>
      <c r="AR138">
        <v>75</v>
      </c>
      <c r="AS138" s="37">
        <v>0</v>
      </c>
      <c r="AT138">
        <v>68</v>
      </c>
      <c r="AU138">
        <v>58</v>
      </c>
      <c r="AV138">
        <v>5.9</v>
      </c>
      <c r="AW138" s="37">
        <v>1</v>
      </c>
      <c r="AX138">
        <v>2186</v>
      </c>
      <c r="AY138">
        <v>80.5</v>
      </c>
      <c r="AZ138">
        <v>67.7</v>
      </c>
      <c r="BA138">
        <v>334.1</v>
      </c>
      <c r="BB138">
        <v>10.9</v>
      </c>
      <c r="BC138">
        <v>285.2</v>
      </c>
      <c r="BD138">
        <v>17.100000000000001</v>
      </c>
      <c r="BE138">
        <v>4.9000000000000004</v>
      </c>
      <c r="BF138">
        <v>102.9</v>
      </c>
      <c r="BG138">
        <v>27.9</v>
      </c>
      <c r="BH138">
        <v>14.7</v>
      </c>
      <c r="BI138">
        <v>57.3</v>
      </c>
      <c r="BJ138">
        <v>16</v>
      </c>
      <c r="BK138">
        <v>0.8</v>
      </c>
      <c r="BL138">
        <v>38.9</v>
      </c>
      <c r="BM138">
        <v>4.8</v>
      </c>
      <c r="BN138">
        <v>3.1</v>
      </c>
      <c r="BO138">
        <v>2.73</v>
      </c>
      <c r="BP138">
        <v>0.18</v>
      </c>
      <c r="BQ138">
        <v>0.05</v>
      </c>
      <c r="BR138">
        <v>953</v>
      </c>
      <c r="BS138">
        <v>225.3</v>
      </c>
      <c r="BT138">
        <v>3771</v>
      </c>
      <c r="BU138">
        <v>1981</v>
      </c>
      <c r="BV138">
        <v>12.27</v>
      </c>
      <c r="BW138">
        <v>7.68</v>
      </c>
      <c r="BX138">
        <v>1.69</v>
      </c>
      <c r="BY138">
        <v>79.2</v>
      </c>
      <c r="BZ138">
        <v>67.099999999999994</v>
      </c>
      <c r="CA138">
        <v>1.1000000000000001</v>
      </c>
      <c r="CB138">
        <v>1.32</v>
      </c>
      <c r="CC138">
        <v>21.9</v>
      </c>
      <c r="CD138">
        <v>1.1599999999999999</v>
      </c>
      <c r="CE138">
        <v>2</v>
      </c>
      <c r="CF138">
        <v>192.1</v>
      </c>
      <c r="CG138">
        <v>13.3</v>
      </c>
      <c r="CH138">
        <v>375</v>
      </c>
      <c r="CI138">
        <v>0.24</v>
      </c>
      <c r="CJ138">
        <v>1.4</v>
      </c>
      <c r="CK138">
        <v>0</v>
      </c>
      <c r="CL138" s="42" t="str">
        <f t="shared" si="29"/>
        <v>1</v>
      </c>
      <c r="CM138">
        <v>0</v>
      </c>
      <c r="CN138" s="4">
        <v>0</v>
      </c>
      <c r="CO138">
        <v>4</v>
      </c>
      <c r="CP138" s="42" t="str">
        <f t="shared" si="30"/>
        <v>2</v>
      </c>
      <c r="CQ138" s="4">
        <v>157.66666666666666</v>
      </c>
      <c r="CR138" s="4">
        <v>1.0864197530864197</v>
      </c>
      <c r="CS138" s="43" t="str">
        <f t="shared" si="31"/>
        <v>2</v>
      </c>
      <c r="CT138" s="4">
        <f t="shared" si="32"/>
        <v>157.66666666666666</v>
      </c>
      <c r="CU138" s="4">
        <f t="shared" si="33"/>
        <v>1.0864197530864197</v>
      </c>
      <c r="CV138" s="4">
        <v>1</v>
      </c>
    </row>
    <row r="139" spans="1:100" x14ac:dyDescent="0.3">
      <c r="A139" s="15" t="s">
        <v>290</v>
      </c>
      <c r="B139" s="17">
        <v>0</v>
      </c>
      <c r="C139" s="3">
        <v>42</v>
      </c>
      <c r="D139">
        <v>4</v>
      </c>
      <c r="E139">
        <v>1</v>
      </c>
      <c r="F139">
        <v>2</v>
      </c>
      <c r="G139">
        <v>0</v>
      </c>
      <c r="H139">
        <v>1</v>
      </c>
      <c r="I139">
        <v>1</v>
      </c>
      <c r="J139" s="4">
        <v>79.599999999999994</v>
      </c>
      <c r="K139" s="4">
        <f t="shared" si="34"/>
        <v>1.7</v>
      </c>
      <c r="L139">
        <v>170</v>
      </c>
      <c r="M139" s="4">
        <f t="shared" ref="M139:M202" si="36">(O139*J139)/100</f>
        <v>19.103999999999999</v>
      </c>
      <c r="N139" s="4">
        <v>57.4</v>
      </c>
      <c r="O139" s="4">
        <v>24</v>
      </c>
      <c r="P139" s="40">
        <v>1</v>
      </c>
      <c r="Q139">
        <v>97.2</v>
      </c>
      <c r="R139" s="37">
        <v>1</v>
      </c>
      <c r="S139">
        <v>104.1</v>
      </c>
      <c r="T139" s="5">
        <f t="shared" si="35"/>
        <v>0.93371757925072052</v>
      </c>
      <c r="U139" s="37">
        <v>1</v>
      </c>
      <c r="V139" s="4">
        <f t="shared" si="26"/>
        <v>27.54325259515571</v>
      </c>
      <c r="W139" s="39">
        <v>1</v>
      </c>
      <c r="X139">
        <v>13</v>
      </c>
      <c r="Y139" s="37">
        <v>1</v>
      </c>
      <c r="Z139">
        <v>10.050000000000001</v>
      </c>
      <c r="AA139" s="23">
        <f t="shared" si="28"/>
        <v>2.3405333333333336</v>
      </c>
      <c r="AB139" s="84">
        <v>0</v>
      </c>
      <c r="AC139" s="5">
        <v>5.24</v>
      </c>
      <c r="AD139" s="37">
        <v>0</v>
      </c>
      <c r="AE139">
        <v>3</v>
      </c>
      <c r="AF139" s="5">
        <v>7.42</v>
      </c>
      <c r="AG139" s="37">
        <v>1</v>
      </c>
      <c r="AH139" s="5">
        <v>2.61</v>
      </c>
      <c r="AI139" s="37">
        <v>1</v>
      </c>
      <c r="AJ139" s="5">
        <v>4.9000000000000004</v>
      </c>
      <c r="AK139" s="37">
        <v>1</v>
      </c>
      <c r="AL139" s="5">
        <v>1.35</v>
      </c>
      <c r="AM139" s="37">
        <v>0</v>
      </c>
      <c r="AN139" s="4">
        <f t="shared" si="27"/>
        <v>5.496296296296296</v>
      </c>
      <c r="AO139" s="37">
        <v>1</v>
      </c>
      <c r="AP139">
        <v>132</v>
      </c>
      <c r="AQ139" s="37">
        <v>1</v>
      </c>
      <c r="AR139">
        <v>84</v>
      </c>
      <c r="AS139" s="37">
        <v>0</v>
      </c>
      <c r="AT139">
        <v>76</v>
      </c>
      <c r="AU139">
        <v>49</v>
      </c>
      <c r="AV139">
        <v>6.6</v>
      </c>
      <c r="AW139" s="37">
        <v>1</v>
      </c>
      <c r="AX139">
        <v>2021</v>
      </c>
      <c r="AY139">
        <v>57</v>
      </c>
      <c r="AZ139">
        <v>47.6</v>
      </c>
      <c r="BA139">
        <v>363.2</v>
      </c>
      <c r="BB139">
        <v>5.3</v>
      </c>
      <c r="BC139">
        <v>270.60000000000002</v>
      </c>
      <c r="BD139">
        <v>49</v>
      </c>
      <c r="BE139">
        <v>37.9</v>
      </c>
      <c r="BF139">
        <v>111</v>
      </c>
      <c r="BG139">
        <v>21.2</v>
      </c>
      <c r="BH139">
        <v>11.3</v>
      </c>
      <c r="BI139">
        <v>67.400000000000006</v>
      </c>
      <c r="BJ139">
        <v>12.3</v>
      </c>
      <c r="BK139">
        <v>7</v>
      </c>
      <c r="BL139">
        <v>27.6</v>
      </c>
      <c r="BM139">
        <v>5.4</v>
      </c>
      <c r="BN139">
        <v>2.9</v>
      </c>
      <c r="BO139">
        <v>1.77</v>
      </c>
      <c r="BP139">
        <v>0.38</v>
      </c>
      <c r="BQ139">
        <v>0</v>
      </c>
      <c r="BR139">
        <v>802</v>
      </c>
      <c r="BS139">
        <v>207.9</v>
      </c>
      <c r="BT139">
        <v>3323</v>
      </c>
      <c r="BU139">
        <v>1599</v>
      </c>
      <c r="BV139">
        <v>10.65</v>
      </c>
      <c r="BW139">
        <v>5.64</v>
      </c>
      <c r="BX139">
        <v>1.18</v>
      </c>
      <c r="BY139">
        <v>65.7</v>
      </c>
      <c r="BZ139">
        <v>36.299999999999997</v>
      </c>
      <c r="CA139">
        <v>0.89</v>
      </c>
      <c r="CB139">
        <v>0.97</v>
      </c>
      <c r="CC139">
        <v>18.2</v>
      </c>
      <c r="CD139">
        <v>0.64</v>
      </c>
      <c r="CE139">
        <v>2.89</v>
      </c>
      <c r="CF139">
        <v>183</v>
      </c>
      <c r="CG139">
        <v>51.1</v>
      </c>
      <c r="CH139">
        <v>472</v>
      </c>
      <c r="CI139">
        <v>8.99</v>
      </c>
      <c r="CJ139">
        <v>1.2</v>
      </c>
      <c r="CK139">
        <v>2</v>
      </c>
      <c r="CL139" s="42" t="str">
        <f t="shared" si="29"/>
        <v>2</v>
      </c>
      <c r="CM139">
        <v>118</v>
      </c>
      <c r="CN139" s="4">
        <v>2.36</v>
      </c>
      <c r="CO139">
        <v>5</v>
      </c>
      <c r="CP139" s="42" t="str">
        <f t="shared" si="30"/>
        <v>1</v>
      </c>
      <c r="CQ139" s="4">
        <v>88.333333333333329</v>
      </c>
      <c r="CR139" s="4">
        <v>1.5308641975308641</v>
      </c>
      <c r="CS139" s="43" t="str">
        <f t="shared" si="31"/>
        <v>2</v>
      </c>
      <c r="CT139" s="4">
        <f t="shared" si="32"/>
        <v>206.33333333333331</v>
      </c>
      <c r="CU139" s="4">
        <f t="shared" si="33"/>
        <v>3.8908641975308642</v>
      </c>
      <c r="CV139" s="4">
        <v>3</v>
      </c>
    </row>
    <row r="140" spans="1:100" x14ac:dyDescent="0.3">
      <c r="A140" s="15" t="s">
        <v>291</v>
      </c>
      <c r="B140" s="17">
        <v>0</v>
      </c>
      <c r="C140" s="3">
        <v>47</v>
      </c>
      <c r="D140">
        <v>3</v>
      </c>
      <c r="E140">
        <v>1</v>
      </c>
      <c r="F140">
        <v>2</v>
      </c>
      <c r="G140">
        <v>0</v>
      </c>
      <c r="H140">
        <v>1</v>
      </c>
      <c r="I140">
        <v>0</v>
      </c>
      <c r="J140" s="4">
        <v>62.1</v>
      </c>
      <c r="K140" s="4">
        <f t="shared" si="34"/>
        <v>1.71</v>
      </c>
      <c r="L140">
        <v>171</v>
      </c>
      <c r="M140" s="4">
        <f t="shared" si="36"/>
        <v>6.6447000000000003</v>
      </c>
      <c r="N140" s="4">
        <v>52.6</v>
      </c>
      <c r="O140" s="4">
        <v>10.7</v>
      </c>
      <c r="P140" s="40">
        <v>0</v>
      </c>
      <c r="Q140">
        <v>80.8</v>
      </c>
      <c r="R140" s="37">
        <v>0</v>
      </c>
      <c r="S140">
        <v>94.2</v>
      </c>
      <c r="T140" s="5">
        <f t="shared" si="35"/>
        <v>0.85774946921443729</v>
      </c>
      <c r="U140" s="37">
        <v>0</v>
      </c>
      <c r="V140" s="4">
        <f t="shared" si="26"/>
        <v>21.237303785780242</v>
      </c>
      <c r="W140" s="39">
        <v>0</v>
      </c>
      <c r="X140">
        <v>7</v>
      </c>
      <c r="Y140" s="40">
        <v>0</v>
      </c>
      <c r="Z140">
        <v>12.51</v>
      </c>
      <c r="AA140" s="23">
        <f t="shared" si="28"/>
        <v>3.0190799999999998</v>
      </c>
      <c r="AB140" s="84">
        <v>1</v>
      </c>
      <c r="AC140" s="5">
        <v>5.43</v>
      </c>
      <c r="AD140" s="37">
        <v>0</v>
      </c>
      <c r="AE140">
        <v>11.98</v>
      </c>
      <c r="AF140" s="5">
        <v>5.8</v>
      </c>
      <c r="AG140" s="37">
        <v>1</v>
      </c>
      <c r="AH140" s="5">
        <v>1.03</v>
      </c>
      <c r="AI140" s="37">
        <v>0</v>
      </c>
      <c r="AJ140" s="5">
        <v>4</v>
      </c>
      <c r="AK140" s="37">
        <v>1</v>
      </c>
      <c r="AL140" s="5">
        <v>1.33</v>
      </c>
      <c r="AM140" s="37">
        <v>0</v>
      </c>
      <c r="AN140" s="4">
        <f t="shared" si="27"/>
        <v>4.3609022556390977</v>
      </c>
      <c r="AO140" s="37">
        <v>1</v>
      </c>
      <c r="AP140">
        <v>130</v>
      </c>
      <c r="AQ140" s="37">
        <v>1</v>
      </c>
      <c r="AR140">
        <v>89</v>
      </c>
      <c r="AS140" s="37">
        <v>1</v>
      </c>
      <c r="AT140">
        <v>52</v>
      </c>
      <c r="AU140">
        <v>40</v>
      </c>
      <c r="AV140">
        <v>7.2</v>
      </c>
      <c r="AW140" s="37">
        <v>1</v>
      </c>
      <c r="AX140">
        <v>2468</v>
      </c>
      <c r="AY140">
        <v>77</v>
      </c>
      <c r="AZ140">
        <v>55.1</v>
      </c>
      <c r="BA140">
        <v>441.9</v>
      </c>
      <c r="BB140">
        <v>9</v>
      </c>
      <c r="BC140">
        <v>369</v>
      </c>
      <c r="BD140">
        <v>54.7</v>
      </c>
      <c r="BE140">
        <v>35.5</v>
      </c>
      <c r="BF140">
        <v>92.8</v>
      </c>
      <c r="BG140">
        <v>20.100000000000001</v>
      </c>
      <c r="BH140">
        <v>12.5</v>
      </c>
      <c r="BI140">
        <v>67.099999999999994</v>
      </c>
      <c r="BJ140">
        <v>13.5</v>
      </c>
      <c r="BK140">
        <v>5.4</v>
      </c>
      <c r="BL140">
        <v>36.9</v>
      </c>
      <c r="BM140">
        <v>6.7</v>
      </c>
      <c r="BN140">
        <v>5.2</v>
      </c>
      <c r="BO140">
        <v>3.85</v>
      </c>
      <c r="BP140">
        <v>0.24</v>
      </c>
      <c r="BQ140">
        <v>0.04</v>
      </c>
      <c r="BR140">
        <v>488</v>
      </c>
      <c r="BS140">
        <v>264.7</v>
      </c>
      <c r="BT140">
        <v>4737</v>
      </c>
      <c r="BU140">
        <v>2197</v>
      </c>
      <c r="BV140">
        <v>16.27</v>
      </c>
      <c r="BW140">
        <v>9.56</v>
      </c>
      <c r="BX140">
        <v>2.04</v>
      </c>
      <c r="BY140">
        <v>120.4</v>
      </c>
      <c r="BZ140">
        <v>59.6</v>
      </c>
      <c r="CA140">
        <v>1.03</v>
      </c>
      <c r="CB140">
        <v>0.69</v>
      </c>
      <c r="CC140">
        <v>23.3</v>
      </c>
      <c r="CD140">
        <v>1.26</v>
      </c>
      <c r="CE140">
        <v>1.67</v>
      </c>
      <c r="CF140">
        <v>255.3</v>
      </c>
      <c r="CG140">
        <v>16.3</v>
      </c>
      <c r="CH140">
        <v>190</v>
      </c>
      <c r="CI140">
        <v>3.13</v>
      </c>
      <c r="CJ140">
        <v>1.6</v>
      </c>
      <c r="CK140">
        <v>0</v>
      </c>
      <c r="CL140" s="42" t="str">
        <f t="shared" si="29"/>
        <v>1</v>
      </c>
      <c r="CM140">
        <v>0</v>
      </c>
      <c r="CN140" s="4">
        <v>0</v>
      </c>
      <c r="CO140">
        <v>4</v>
      </c>
      <c r="CP140" s="42" t="str">
        <f t="shared" si="30"/>
        <v>1</v>
      </c>
      <c r="CQ140" s="4">
        <v>96</v>
      </c>
      <c r="CR140" s="4">
        <v>1.3481481481481481</v>
      </c>
      <c r="CS140" s="43" t="str">
        <f t="shared" si="31"/>
        <v>1</v>
      </c>
      <c r="CT140" s="4">
        <f t="shared" si="32"/>
        <v>96</v>
      </c>
      <c r="CU140" s="4">
        <f t="shared" si="33"/>
        <v>1.3481481481481481</v>
      </c>
      <c r="CV140" s="4">
        <v>1</v>
      </c>
    </row>
    <row r="141" spans="1:100" x14ac:dyDescent="0.3">
      <c r="A141" s="15" t="s">
        <v>292</v>
      </c>
      <c r="B141" s="17">
        <v>0</v>
      </c>
      <c r="C141" s="3">
        <v>45</v>
      </c>
      <c r="D141">
        <v>3</v>
      </c>
      <c r="E141">
        <v>1</v>
      </c>
      <c r="F141">
        <v>2</v>
      </c>
      <c r="G141">
        <v>0</v>
      </c>
      <c r="H141">
        <v>1</v>
      </c>
      <c r="I141">
        <v>1</v>
      </c>
      <c r="J141" s="4">
        <v>56.6</v>
      </c>
      <c r="K141" s="4">
        <f t="shared" si="34"/>
        <v>1.7</v>
      </c>
      <c r="L141">
        <v>170</v>
      </c>
      <c r="M141" s="4">
        <f t="shared" si="36"/>
        <v>9.5088000000000008</v>
      </c>
      <c r="N141" s="4">
        <v>44.6</v>
      </c>
      <c r="O141" s="4">
        <v>16.8</v>
      </c>
      <c r="P141" s="40">
        <v>0</v>
      </c>
      <c r="Q141">
        <v>71.599999999999994</v>
      </c>
      <c r="R141" s="37">
        <v>0</v>
      </c>
      <c r="S141">
        <v>90</v>
      </c>
      <c r="T141" s="5">
        <f t="shared" si="35"/>
        <v>0.79555555555555546</v>
      </c>
      <c r="U141" s="37">
        <v>0</v>
      </c>
      <c r="V141" s="4">
        <f t="shared" si="26"/>
        <v>19.584775086505193</v>
      </c>
      <c r="W141" s="39">
        <v>0</v>
      </c>
      <c r="X141">
        <v>5</v>
      </c>
      <c r="Y141" s="40">
        <v>0</v>
      </c>
      <c r="Z141">
        <v>6.06</v>
      </c>
      <c r="AA141" s="23">
        <f t="shared" si="28"/>
        <v>1.3547466666666668</v>
      </c>
      <c r="AB141" s="84">
        <v>0</v>
      </c>
      <c r="AC141" s="5">
        <v>5.03</v>
      </c>
      <c r="AD141" s="37">
        <v>0</v>
      </c>
      <c r="AE141">
        <v>11.73</v>
      </c>
      <c r="AF141" s="5">
        <v>6.12</v>
      </c>
      <c r="AG141" s="37">
        <v>1</v>
      </c>
      <c r="AH141" s="5">
        <v>2.27</v>
      </c>
      <c r="AI141" s="37">
        <v>1</v>
      </c>
      <c r="AJ141" s="5">
        <v>4</v>
      </c>
      <c r="AK141" s="37">
        <v>1</v>
      </c>
      <c r="AL141" s="5">
        <v>1.1100000000000001</v>
      </c>
      <c r="AM141" s="37">
        <v>0</v>
      </c>
      <c r="AN141" s="4">
        <f t="shared" si="27"/>
        <v>5.5135135135135132</v>
      </c>
      <c r="AO141" s="37">
        <v>1</v>
      </c>
      <c r="AP141">
        <v>128</v>
      </c>
      <c r="AQ141" s="38">
        <v>0</v>
      </c>
      <c r="AR141">
        <v>77</v>
      </c>
      <c r="AS141" s="37">
        <v>0</v>
      </c>
      <c r="AT141">
        <v>55</v>
      </c>
      <c r="AU141">
        <v>52</v>
      </c>
      <c r="AV141">
        <v>6.8</v>
      </c>
      <c r="AW141" s="37">
        <v>1</v>
      </c>
      <c r="AX141">
        <v>1889</v>
      </c>
      <c r="AY141">
        <v>54.7</v>
      </c>
      <c r="AZ141">
        <v>50.4</v>
      </c>
      <c r="BA141">
        <v>323.3</v>
      </c>
      <c r="BB141">
        <v>4.9000000000000004</v>
      </c>
      <c r="BC141">
        <v>244.4</v>
      </c>
      <c r="BD141">
        <v>54</v>
      </c>
      <c r="BE141">
        <v>48.1</v>
      </c>
      <c r="BF141">
        <v>63.1</v>
      </c>
      <c r="BG141">
        <v>24</v>
      </c>
      <c r="BH141">
        <v>11.6</v>
      </c>
      <c r="BI141">
        <v>64.2</v>
      </c>
      <c r="BJ141">
        <v>16.5</v>
      </c>
      <c r="BK141">
        <v>9.5</v>
      </c>
      <c r="BL141">
        <v>34.6</v>
      </c>
      <c r="BM141">
        <v>5.5</v>
      </c>
      <c r="BN141">
        <v>2</v>
      </c>
      <c r="BO141">
        <v>1.47</v>
      </c>
      <c r="BP141">
        <v>0.25</v>
      </c>
      <c r="BQ141">
        <v>0</v>
      </c>
      <c r="BR141">
        <v>502</v>
      </c>
      <c r="BS141">
        <v>193.5</v>
      </c>
      <c r="BT141">
        <v>3844</v>
      </c>
      <c r="BU141">
        <v>1659</v>
      </c>
      <c r="BV141">
        <v>10.78</v>
      </c>
      <c r="BW141">
        <v>5.74</v>
      </c>
      <c r="BX141">
        <v>1.39</v>
      </c>
      <c r="BY141">
        <v>42.5</v>
      </c>
      <c r="BZ141">
        <v>13.8</v>
      </c>
      <c r="CA141">
        <v>0.62</v>
      </c>
      <c r="CB141">
        <v>0.51</v>
      </c>
      <c r="CC141">
        <v>16.2</v>
      </c>
      <c r="CD141">
        <v>0.59</v>
      </c>
      <c r="CE141">
        <v>1.59</v>
      </c>
      <c r="CF141">
        <v>158.9</v>
      </c>
      <c r="CG141">
        <v>17.100000000000001</v>
      </c>
      <c r="CH141">
        <v>228</v>
      </c>
      <c r="CI141">
        <v>0.41</v>
      </c>
      <c r="CJ141">
        <v>0.9</v>
      </c>
      <c r="CK141">
        <v>1</v>
      </c>
      <c r="CL141" s="42" t="str">
        <f t="shared" si="29"/>
        <v>1</v>
      </c>
      <c r="CM141">
        <v>12</v>
      </c>
      <c r="CN141" s="4">
        <v>0.24</v>
      </c>
      <c r="CO141">
        <v>5</v>
      </c>
      <c r="CP141" s="42" t="str">
        <f t="shared" si="30"/>
        <v>1</v>
      </c>
      <c r="CQ141" s="4">
        <v>119.5</v>
      </c>
      <c r="CR141" s="4">
        <v>1.867283950617284</v>
      </c>
      <c r="CS141" s="43" t="str">
        <f t="shared" si="31"/>
        <v>1</v>
      </c>
      <c r="CT141" s="4">
        <f t="shared" si="32"/>
        <v>131.5</v>
      </c>
      <c r="CU141" s="4">
        <f t="shared" si="33"/>
        <v>2.1072839506172842</v>
      </c>
      <c r="CV141" s="4">
        <v>2</v>
      </c>
    </row>
    <row r="142" spans="1:100" x14ac:dyDescent="0.3">
      <c r="A142" s="15" t="s">
        <v>293</v>
      </c>
      <c r="B142" s="17">
        <v>0</v>
      </c>
      <c r="C142" s="3">
        <v>44</v>
      </c>
      <c r="D142">
        <v>3</v>
      </c>
      <c r="E142">
        <v>1</v>
      </c>
      <c r="F142">
        <v>2</v>
      </c>
      <c r="G142">
        <v>0</v>
      </c>
      <c r="H142">
        <v>2</v>
      </c>
      <c r="I142">
        <v>0</v>
      </c>
      <c r="J142" s="4">
        <v>52.8</v>
      </c>
      <c r="K142" s="4">
        <f t="shared" si="34"/>
        <v>1.69</v>
      </c>
      <c r="L142">
        <v>169</v>
      </c>
      <c r="M142" s="4">
        <f t="shared" si="36"/>
        <v>5.6495999999999995</v>
      </c>
      <c r="N142" s="4">
        <v>44.7</v>
      </c>
      <c r="O142" s="4">
        <v>10.7</v>
      </c>
      <c r="P142" s="40">
        <v>0</v>
      </c>
      <c r="Q142">
        <v>68.5</v>
      </c>
      <c r="R142" s="37">
        <v>0</v>
      </c>
      <c r="S142">
        <v>87</v>
      </c>
      <c r="T142" s="5">
        <f t="shared" si="35"/>
        <v>0.78735632183908044</v>
      </c>
      <c r="U142" s="37">
        <v>0</v>
      </c>
      <c r="V142" s="4">
        <f t="shared" si="26"/>
        <v>18.48674766289696</v>
      </c>
      <c r="W142" s="39">
        <v>0</v>
      </c>
      <c r="X142">
        <v>4</v>
      </c>
      <c r="Y142" s="40">
        <v>0</v>
      </c>
      <c r="Z142">
        <v>4.4800000000000004</v>
      </c>
      <c r="AA142" s="23">
        <f t="shared" si="28"/>
        <v>1.1249777777777781</v>
      </c>
      <c r="AB142" s="84">
        <v>0</v>
      </c>
      <c r="AC142" s="5">
        <v>5.65</v>
      </c>
      <c r="AD142" s="37">
        <v>1</v>
      </c>
      <c r="AE142">
        <v>3.79</v>
      </c>
      <c r="AF142" s="5">
        <v>5.22</v>
      </c>
      <c r="AG142" s="37">
        <v>1</v>
      </c>
      <c r="AH142" s="5">
        <v>0.92</v>
      </c>
      <c r="AI142" s="37">
        <v>0</v>
      </c>
      <c r="AJ142" s="5">
        <v>3.4</v>
      </c>
      <c r="AK142" s="37">
        <v>0</v>
      </c>
      <c r="AL142" s="5">
        <v>1.45</v>
      </c>
      <c r="AM142" s="37">
        <v>0</v>
      </c>
      <c r="AN142" s="4">
        <f t="shared" si="27"/>
        <v>3.6</v>
      </c>
      <c r="AO142" s="37">
        <v>0</v>
      </c>
      <c r="AP142">
        <v>96</v>
      </c>
      <c r="AQ142" s="38">
        <v>0</v>
      </c>
      <c r="AR142">
        <v>64</v>
      </c>
      <c r="AS142" s="37">
        <v>0</v>
      </c>
      <c r="AT142">
        <v>59</v>
      </c>
      <c r="AU142">
        <v>33</v>
      </c>
      <c r="AV142">
        <v>5.7</v>
      </c>
      <c r="AW142" s="37">
        <v>1</v>
      </c>
      <c r="AX142">
        <v>1932</v>
      </c>
      <c r="AY142">
        <v>62.5</v>
      </c>
      <c r="AZ142">
        <v>54</v>
      </c>
      <c r="BA142">
        <v>318.3</v>
      </c>
      <c r="BB142">
        <v>7.4</v>
      </c>
      <c r="BC142">
        <v>258.3</v>
      </c>
      <c r="BD142">
        <v>39.200000000000003</v>
      </c>
      <c r="BE142">
        <v>33.700000000000003</v>
      </c>
      <c r="BF142">
        <v>193.7</v>
      </c>
      <c r="BG142">
        <v>25.1</v>
      </c>
      <c r="BH142">
        <v>12.9</v>
      </c>
      <c r="BI142">
        <v>61.8</v>
      </c>
      <c r="BJ142">
        <v>15.9</v>
      </c>
      <c r="BK142">
        <v>6.5</v>
      </c>
      <c r="BL142">
        <v>34.200000000000003</v>
      </c>
      <c r="BM142">
        <v>8.4</v>
      </c>
      <c r="BN142">
        <v>2.4</v>
      </c>
      <c r="BO142">
        <v>1.66</v>
      </c>
      <c r="BP142">
        <v>0.55000000000000004</v>
      </c>
      <c r="BQ142">
        <v>0</v>
      </c>
      <c r="BR142">
        <v>450</v>
      </c>
      <c r="BS142">
        <v>181.3</v>
      </c>
      <c r="BT142">
        <v>3102</v>
      </c>
      <c r="BU142">
        <v>1644</v>
      </c>
      <c r="BV142">
        <v>11.25</v>
      </c>
      <c r="BW142">
        <v>6.76</v>
      </c>
      <c r="BX142">
        <v>1.32</v>
      </c>
      <c r="BY142">
        <v>49.5</v>
      </c>
      <c r="BZ142">
        <v>43.8</v>
      </c>
      <c r="CA142">
        <v>0.64</v>
      </c>
      <c r="CB142">
        <v>0.65</v>
      </c>
      <c r="CC142">
        <v>20.9</v>
      </c>
      <c r="CD142">
        <v>0.78</v>
      </c>
      <c r="CE142">
        <v>3.99</v>
      </c>
      <c r="CF142">
        <v>185.9</v>
      </c>
      <c r="CG142">
        <v>12</v>
      </c>
      <c r="CH142">
        <v>253</v>
      </c>
      <c r="CI142">
        <v>3.8</v>
      </c>
      <c r="CJ142">
        <v>2</v>
      </c>
      <c r="CK142">
        <v>1</v>
      </c>
      <c r="CL142" s="42" t="str">
        <f t="shared" si="29"/>
        <v>1</v>
      </c>
      <c r="CM142">
        <v>13</v>
      </c>
      <c r="CN142" s="4">
        <v>0.26</v>
      </c>
      <c r="CO142">
        <v>4</v>
      </c>
      <c r="CP142" s="42" t="str">
        <f t="shared" si="30"/>
        <v>1</v>
      </c>
      <c r="CQ142" s="4">
        <v>64.666666666666671</v>
      </c>
      <c r="CR142" s="4">
        <v>0.96049382716049392</v>
      </c>
      <c r="CS142" s="43" t="str">
        <f t="shared" si="31"/>
        <v>1</v>
      </c>
      <c r="CT142" s="4">
        <f t="shared" si="32"/>
        <v>77.666666666666671</v>
      </c>
      <c r="CU142" s="4">
        <f t="shared" si="33"/>
        <v>1.2204938271604939</v>
      </c>
      <c r="CV142" s="4">
        <v>1</v>
      </c>
    </row>
    <row r="143" spans="1:100" x14ac:dyDescent="0.3">
      <c r="A143" s="15" t="s">
        <v>294</v>
      </c>
      <c r="B143" s="17">
        <v>0</v>
      </c>
      <c r="C143" s="3">
        <v>58</v>
      </c>
      <c r="D143">
        <v>4</v>
      </c>
      <c r="E143">
        <v>1</v>
      </c>
      <c r="F143">
        <v>2</v>
      </c>
      <c r="G143">
        <v>0</v>
      </c>
      <c r="H143">
        <v>1</v>
      </c>
      <c r="I143">
        <v>1</v>
      </c>
      <c r="J143" s="4">
        <v>75.3</v>
      </c>
      <c r="K143" s="4">
        <f t="shared" si="34"/>
        <v>1.671</v>
      </c>
      <c r="L143">
        <v>167.1</v>
      </c>
      <c r="M143" s="4">
        <f t="shared" si="36"/>
        <v>25.0749</v>
      </c>
      <c r="N143" s="4">
        <v>47.6</v>
      </c>
      <c r="O143" s="4">
        <v>33.299999999999997</v>
      </c>
      <c r="P143" s="40">
        <v>1</v>
      </c>
      <c r="Q143">
        <v>96.5</v>
      </c>
      <c r="R143" s="37">
        <v>1</v>
      </c>
      <c r="S143">
        <v>99.8</v>
      </c>
      <c r="T143" s="5">
        <f t="shared" si="35"/>
        <v>0.96693386773547096</v>
      </c>
      <c r="U143" s="37">
        <v>1</v>
      </c>
      <c r="V143" s="4">
        <f t="shared" si="26"/>
        <v>26.967586250613753</v>
      </c>
      <c r="W143" s="39">
        <v>1</v>
      </c>
      <c r="X143">
        <v>17</v>
      </c>
      <c r="Y143" s="37">
        <v>1</v>
      </c>
      <c r="AA143" s="23"/>
      <c r="AB143" s="84"/>
      <c r="AC143" s="5">
        <v>8.2899999999999991</v>
      </c>
      <c r="AD143" s="37">
        <v>1</v>
      </c>
      <c r="AE143">
        <v>47.9</v>
      </c>
      <c r="AF143" s="5">
        <v>7.1</v>
      </c>
      <c r="AG143" s="37">
        <v>1</v>
      </c>
      <c r="AH143" s="5">
        <v>0.73</v>
      </c>
      <c r="AI143" s="37">
        <v>0</v>
      </c>
      <c r="AJ143" s="5">
        <v>5.27</v>
      </c>
      <c r="AK143" s="37">
        <v>1</v>
      </c>
      <c r="AL143" s="5">
        <v>1.5</v>
      </c>
      <c r="AM143" s="37">
        <v>0</v>
      </c>
      <c r="AN143" s="4">
        <f t="shared" si="27"/>
        <v>4.7333333333333334</v>
      </c>
      <c r="AO143" s="37">
        <v>1</v>
      </c>
      <c r="AP143">
        <v>135</v>
      </c>
      <c r="AQ143" s="37">
        <v>1</v>
      </c>
      <c r="AR143">
        <v>96</v>
      </c>
      <c r="AS143" s="37">
        <v>1</v>
      </c>
      <c r="AT143">
        <v>75</v>
      </c>
      <c r="AU143">
        <v>38</v>
      </c>
      <c r="AV143">
        <v>8.5</v>
      </c>
      <c r="AW143" s="37">
        <v>1</v>
      </c>
      <c r="AX143">
        <v>1613</v>
      </c>
      <c r="AY143">
        <v>49.8</v>
      </c>
      <c r="AZ143">
        <v>39.9</v>
      </c>
      <c r="BA143">
        <v>279.10000000000002</v>
      </c>
      <c r="BB143">
        <v>3.3</v>
      </c>
      <c r="BC143">
        <v>221.4</v>
      </c>
      <c r="BD143">
        <v>39.9</v>
      </c>
      <c r="BE143">
        <v>24</v>
      </c>
      <c r="BF143">
        <v>107.2</v>
      </c>
      <c r="BG143">
        <v>22.2</v>
      </c>
      <c r="BH143">
        <v>12.4</v>
      </c>
      <c r="BI143">
        <v>64.900000000000006</v>
      </c>
      <c r="BJ143">
        <v>14.5</v>
      </c>
      <c r="BL143">
        <v>26</v>
      </c>
      <c r="BM143">
        <v>5.9</v>
      </c>
      <c r="BN143">
        <v>2.4</v>
      </c>
      <c r="BO143">
        <v>1.47</v>
      </c>
      <c r="BP143">
        <v>0.49</v>
      </c>
      <c r="BQ143">
        <v>0</v>
      </c>
      <c r="BR143">
        <v>335</v>
      </c>
      <c r="BS143">
        <v>179.1</v>
      </c>
      <c r="BT143">
        <v>2693</v>
      </c>
      <c r="BU143">
        <v>1525</v>
      </c>
      <c r="BV143">
        <v>8.7899999999999991</v>
      </c>
      <c r="BW143">
        <v>5.63</v>
      </c>
      <c r="BX143">
        <v>1.1399999999999999</v>
      </c>
      <c r="BY143">
        <v>32.200000000000003</v>
      </c>
      <c r="BZ143">
        <v>23.6</v>
      </c>
      <c r="CA143">
        <v>0.66</v>
      </c>
      <c r="CB143">
        <v>0.61</v>
      </c>
      <c r="CC143">
        <v>17.3</v>
      </c>
      <c r="CD143">
        <v>0.55000000000000004</v>
      </c>
      <c r="CE143">
        <v>3.4</v>
      </c>
      <c r="CF143">
        <v>180.5</v>
      </c>
      <c r="CG143">
        <v>10.7</v>
      </c>
      <c r="CH143">
        <v>156</v>
      </c>
      <c r="CI143">
        <v>2.67</v>
      </c>
      <c r="CJ143">
        <v>2</v>
      </c>
      <c r="CK143">
        <v>0</v>
      </c>
      <c r="CL143" s="42" t="str">
        <f t="shared" si="29"/>
        <v>1</v>
      </c>
      <c r="CM143">
        <v>0</v>
      </c>
      <c r="CN143" s="4">
        <v>0</v>
      </c>
      <c r="CO143">
        <v>4</v>
      </c>
      <c r="CP143" s="42" t="str">
        <f t="shared" si="30"/>
        <v>1</v>
      </c>
      <c r="CQ143" s="4">
        <v>97.666666666666671</v>
      </c>
      <c r="CR143" s="4">
        <v>1.0864197530864197</v>
      </c>
      <c r="CS143" s="43" t="str">
        <f t="shared" si="31"/>
        <v>1</v>
      </c>
      <c r="CT143" s="4">
        <f t="shared" si="32"/>
        <v>97.666666666666671</v>
      </c>
      <c r="CU143" s="4">
        <f t="shared" si="33"/>
        <v>1.0864197530864197</v>
      </c>
      <c r="CV143" s="4">
        <v>1</v>
      </c>
    </row>
    <row r="144" spans="1:100" x14ac:dyDescent="0.3">
      <c r="A144" s="15" t="s">
        <v>295</v>
      </c>
      <c r="B144" s="17">
        <v>0</v>
      </c>
      <c r="C144" s="3">
        <v>43</v>
      </c>
      <c r="D144">
        <v>4</v>
      </c>
      <c r="E144">
        <v>1</v>
      </c>
      <c r="F144">
        <v>2</v>
      </c>
      <c r="G144">
        <v>0</v>
      </c>
      <c r="H144">
        <v>1</v>
      </c>
      <c r="I144">
        <v>1</v>
      </c>
      <c r="J144" s="4">
        <v>70</v>
      </c>
      <c r="K144" s="4">
        <f t="shared" si="34"/>
        <v>1.68</v>
      </c>
      <c r="L144">
        <v>168</v>
      </c>
      <c r="M144" s="4">
        <f t="shared" si="36"/>
        <v>17.5</v>
      </c>
      <c r="N144" s="4">
        <v>49.8</v>
      </c>
      <c r="O144" s="4">
        <v>25</v>
      </c>
      <c r="P144" s="40">
        <v>1</v>
      </c>
      <c r="Q144">
        <v>89.8</v>
      </c>
      <c r="R144" s="37">
        <v>1</v>
      </c>
      <c r="S144">
        <v>98.1</v>
      </c>
      <c r="T144" s="5">
        <f t="shared" si="35"/>
        <v>0.91539245667686042</v>
      </c>
      <c r="U144" s="37">
        <v>1</v>
      </c>
      <c r="V144" s="4">
        <f t="shared" si="26"/>
        <v>24.801587301587304</v>
      </c>
      <c r="W144" s="39">
        <v>1</v>
      </c>
      <c r="X144">
        <v>11</v>
      </c>
      <c r="Y144" s="37">
        <v>1</v>
      </c>
      <c r="Z144">
        <v>13.9</v>
      </c>
      <c r="AA144" s="23">
        <f t="shared" si="28"/>
        <v>3.4595555555555557</v>
      </c>
      <c r="AB144" s="84">
        <v>1</v>
      </c>
      <c r="AC144" s="5">
        <v>5.6</v>
      </c>
      <c r="AD144" s="37">
        <v>1</v>
      </c>
      <c r="AE144">
        <v>3</v>
      </c>
      <c r="AF144" s="5">
        <v>6.78</v>
      </c>
      <c r="AG144" s="37">
        <v>1</v>
      </c>
      <c r="AH144" s="5">
        <v>2.87</v>
      </c>
      <c r="AI144" s="37">
        <v>1</v>
      </c>
      <c r="AJ144" s="5">
        <v>4.3</v>
      </c>
      <c r="AK144" s="37">
        <v>1</v>
      </c>
      <c r="AL144" s="5">
        <v>1.1299999999999999</v>
      </c>
      <c r="AM144" s="37">
        <v>0</v>
      </c>
      <c r="AN144" s="4">
        <f t="shared" si="27"/>
        <v>6.0000000000000009</v>
      </c>
      <c r="AO144" s="37">
        <v>1</v>
      </c>
      <c r="AP144">
        <v>141</v>
      </c>
      <c r="AQ144" s="37">
        <v>1</v>
      </c>
      <c r="AR144">
        <v>86</v>
      </c>
      <c r="AS144" s="37">
        <v>1</v>
      </c>
      <c r="AT144">
        <v>80</v>
      </c>
      <c r="AU144">
        <v>55</v>
      </c>
      <c r="AV144">
        <v>7.1</v>
      </c>
      <c r="AW144" s="37">
        <v>0</v>
      </c>
      <c r="AX144">
        <v>1922</v>
      </c>
      <c r="AY144">
        <v>41.4</v>
      </c>
      <c r="AZ144">
        <v>52</v>
      </c>
      <c r="BA144">
        <v>342.7</v>
      </c>
      <c r="BB144">
        <v>9.5</v>
      </c>
      <c r="BC144">
        <v>263.89999999999998</v>
      </c>
      <c r="BD144">
        <v>39</v>
      </c>
      <c r="BE144">
        <v>28.2</v>
      </c>
      <c r="BF144">
        <v>47.2</v>
      </c>
      <c r="BG144">
        <v>24.3</v>
      </c>
      <c r="BH144">
        <v>8.6</v>
      </c>
      <c r="BI144">
        <v>66.900000000000006</v>
      </c>
      <c r="BJ144">
        <v>18.8</v>
      </c>
      <c r="BK144">
        <v>5.5</v>
      </c>
      <c r="BL144">
        <v>40.200000000000003</v>
      </c>
      <c r="BM144">
        <v>4.4000000000000004</v>
      </c>
      <c r="BN144">
        <v>2</v>
      </c>
      <c r="BO144">
        <v>1.47</v>
      </c>
      <c r="BP144">
        <v>0.27</v>
      </c>
      <c r="BQ144">
        <v>0</v>
      </c>
      <c r="BR144">
        <v>245</v>
      </c>
      <c r="BS144">
        <v>233.9</v>
      </c>
      <c r="BT144">
        <v>26147</v>
      </c>
      <c r="BU144">
        <v>1947</v>
      </c>
      <c r="BV144">
        <v>16.04</v>
      </c>
      <c r="BW144">
        <v>6.6</v>
      </c>
      <c r="BX144">
        <v>1.33</v>
      </c>
      <c r="BY144">
        <v>25</v>
      </c>
      <c r="BZ144">
        <v>35.200000000000003</v>
      </c>
      <c r="CA144">
        <v>0.51</v>
      </c>
      <c r="CB144">
        <v>0.56000000000000005</v>
      </c>
      <c r="CC144">
        <v>16.100000000000001</v>
      </c>
      <c r="CD144">
        <v>0.64</v>
      </c>
      <c r="CE144">
        <v>2.35</v>
      </c>
      <c r="CF144">
        <v>176.6</v>
      </c>
      <c r="CG144">
        <v>40.799999999999997</v>
      </c>
      <c r="CH144">
        <v>473</v>
      </c>
      <c r="CI144">
        <v>1.61</v>
      </c>
      <c r="CJ144">
        <v>3.6</v>
      </c>
      <c r="CK144">
        <v>1</v>
      </c>
      <c r="CL144" s="42" t="str">
        <f t="shared" si="29"/>
        <v>1</v>
      </c>
      <c r="CM144">
        <v>91</v>
      </c>
      <c r="CN144" s="4">
        <v>1.82</v>
      </c>
      <c r="CO144">
        <v>7</v>
      </c>
      <c r="CP144" s="42" t="str">
        <f t="shared" si="30"/>
        <v>2</v>
      </c>
      <c r="CQ144" s="4">
        <v>213.33333333333334</v>
      </c>
      <c r="CR144" s="4">
        <v>2.3555555555555556</v>
      </c>
      <c r="CS144" s="43" t="str">
        <f t="shared" si="31"/>
        <v>3</v>
      </c>
      <c r="CT144" s="4">
        <f t="shared" si="32"/>
        <v>304.33333333333337</v>
      </c>
      <c r="CU144" s="4">
        <f t="shared" si="33"/>
        <v>4.1755555555555555</v>
      </c>
      <c r="CV144" s="4">
        <v>4</v>
      </c>
    </row>
    <row r="145" spans="1:100" x14ac:dyDescent="0.3">
      <c r="A145" s="15" t="s">
        <v>296</v>
      </c>
      <c r="B145" s="17">
        <v>0</v>
      </c>
      <c r="C145" s="3">
        <v>58</v>
      </c>
      <c r="D145">
        <v>4</v>
      </c>
      <c r="E145">
        <v>2</v>
      </c>
      <c r="F145">
        <v>2</v>
      </c>
      <c r="G145">
        <v>0</v>
      </c>
      <c r="H145">
        <v>0</v>
      </c>
      <c r="I145">
        <v>1</v>
      </c>
      <c r="J145" s="4">
        <v>50.9</v>
      </c>
      <c r="K145" s="4">
        <f t="shared" si="34"/>
        <v>1.62</v>
      </c>
      <c r="L145">
        <v>162</v>
      </c>
      <c r="M145" s="4">
        <f t="shared" si="36"/>
        <v>8.8565999999999985</v>
      </c>
      <c r="N145" s="4">
        <v>39.799999999999997</v>
      </c>
      <c r="O145" s="4">
        <v>17.399999999999999</v>
      </c>
      <c r="P145" s="40">
        <v>0</v>
      </c>
      <c r="Q145">
        <v>77</v>
      </c>
      <c r="R145" s="37">
        <v>0</v>
      </c>
      <c r="S145">
        <v>87</v>
      </c>
      <c r="T145" s="5">
        <f t="shared" si="35"/>
        <v>0.88505747126436785</v>
      </c>
      <c r="U145" s="37">
        <v>0</v>
      </c>
      <c r="V145" s="4">
        <f t="shared" si="26"/>
        <v>19.394909312604781</v>
      </c>
      <c r="W145" s="39">
        <v>0</v>
      </c>
      <c r="X145">
        <v>7</v>
      </c>
      <c r="Y145" s="40">
        <v>0</v>
      </c>
      <c r="Z145">
        <v>5.28</v>
      </c>
      <c r="AA145" s="23">
        <f t="shared" si="28"/>
        <v>1.2273066666666668</v>
      </c>
      <c r="AB145" s="84">
        <v>0</v>
      </c>
      <c r="AC145" s="5">
        <v>5.23</v>
      </c>
      <c r="AD145" s="37">
        <v>0</v>
      </c>
      <c r="AE145">
        <v>3</v>
      </c>
      <c r="AF145" s="5">
        <v>4.78</v>
      </c>
      <c r="AG145" s="37">
        <v>0</v>
      </c>
      <c r="AH145" s="5">
        <v>1.1599999999999999</v>
      </c>
      <c r="AI145" s="37">
        <v>0</v>
      </c>
      <c r="AJ145" s="5">
        <v>2.61</v>
      </c>
      <c r="AK145" s="37">
        <v>0</v>
      </c>
      <c r="AL145" s="5">
        <v>1.64</v>
      </c>
      <c r="AM145" s="37">
        <v>0</v>
      </c>
      <c r="AN145" s="4">
        <f t="shared" si="27"/>
        <v>2.9146341463414638</v>
      </c>
      <c r="AO145" s="37">
        <v>0</v>
      </c>
      <c r="AP145">
        <v>120</v>
      </c>
      <c r="AQ145" s="38">
        <v>0</v>
      </c>
      <c r="AR145">
        <v>97</v>
      </c>
      <c r="AS145" s="37">
        <v>1</v>
      </c>
      <c r="AT145">
        <v>78</v>
      </c>
      <c r="AU145">
        <v>23</v>
      </c>
      <c r="AV145">
        <v>8</v>
      </c>
      <c r="AW145" s="37">
        <v>1</v>
      </c>
      <c r="AX145">
        <v>2388</v>
      </c>
      <c r="AY145">
        <v>81.599999999999994</v>
      </c>
      <c r="AZ145">
        <v>73.400000000000006</v>
      </c>
      <c r="BA145">
        <v>370.2</v>
      </c>
      <c r="BB145">
        <v>14.2</v>
      </c>
      <c r="BC145">
        <v>262.60000000000002</v>
      </c>
      <c r="BD145">
        <v>69</v>
      </c>
      <c r="BE145">
        <v>50.4</v>
      </c>
      <c r="BF145">
        <v>200.4</v>
      </c>
      <c r="BG145">
        <v>27.7</v>
      </c>
      <c r="BH145">
        <v>13.7</v>
      </c>
      <c r="BI145">
        <v>58.1</v>
      </c>
      <c r="BJ145">
        <v>16.600000000000001</v>
      </c>
      <c r="BK145">
        <v>7.9</v>
      </c>
      <c r="BL145">
        <v>44.1</v>
      </c>
      <c r="BM145">
        <v>9.5</v>
      </c>
      <c r="BN145">
        <v>5.3</v>
      </c>
      <c r="BO145">
        <v>4.6399999999999997</v>
      </c>
      <c r="BP145">
        <v>0.55000000000000004</v>
      </c>
      <c r="BQ145">
        <v>0.03</v>
      </c>
      <c r="BR145">
        <v>1035</v>
      </c>
      <c r="BS145">
        <v>603</v>
      </c>
      <c r="BT145">
        <v>5944</v>
      </c>
      <c r="BU145">
        <v>3589</v>
      </c>
      <c r="BV145">
        <v>23.91</v>
      </c>
      <c r="BW145">
        <v>12.16</v>
      </c>
      <c r="BX145">
        <v>2.44</v>
      </c>
      <c r="BY145">
        <v>38</v>
      </c>
      <c r="BZ145">
        <v>60.9</v>
      </c>
      <c r="CA145">
        <v>30.66</v>
      </c>
      <c r="CB145">
        <v>27.7</v>
      </c>
      <c r="CC145">
        <v>23.7</v>
      </c>
      <c r="CD145">
        <v>1.52</v>
      </c>
      <c r="CE145">
        <v>1.77</v>
      </c>
      <c r="CF145">
        <v>660.8</v>
      </c>
      <c r="CG145">
        <v>73.400000000000006</v>
      </c>
      <c r="CH145">
        <v>1346</v>
      </c>
      <c r="CI145">
        <v>10.25</v>
      </c>
      <c r="CJ145">
        <v>4.8</v>
      </c>
      <c r="CK145">
        <v>3</v>
      </c>
      <c r="CL145" s="42" t="str">
        <f t="shared" si="29"/>
        <v>2</v>
      </c>
      <c r="CM145">
        <v>110</v>
      </c>
      <c r="CN145" s="4">
        <v>2.2000000000000002</v>
      </c>
      <c r="CO145">
        <v>5</v>
      </c>
      <c r="CP145" s="42" t="str">
        <f t="shared" si="30"/>
        <v>2</v>
      </c>
      <c r="CQ145" s="4">
        <v>193.83333333333334</v>
      </c>
      <c r="CR145" s="4">
        <v>3.5734567901234566</v>
      </c>
      <c r="CS145" s="43" t="str">
        <f t="shared" si="31"/>
        <v>3</v>
      </c>
      <c r="CT145" s="4">
        <f t="shared" si="32"/>
        <v>303.83333333333337</v>
      </c>
      <c r="CU145" s="4">
        <f t="shared" si="33"/>
        <v>5.7734567901234568</v>
      </c>
      <c r="CV145" s="4">
        <v>4</v>
      </c>
    </row>
    <row r="146" spans="1:100" x14ac:dyDescent="0.3">
      <c r="A146" s="15" t="s">
        <v>297</v>
      </c>
      <c r="B146" s="17">
        <v>0</v>
      </c>
      <c r="C146" s="3">
        <v>31</v>
      </c>
      <c r="D146">
        <v>1</v>
      </c>
      <c r="E146">
        <v>3</v>
      </c>
      <c r="F146">
        <v>0</v>
      </c>
      <c r="G146">
        <v>0</v>
      </c>
      <c r="H146">
        <v>1</v>
      </c>
      <c r="I146">
        <v>1</v>
      </c>
      <c r="J146" s="4">
        <v>58.8</v>
      </c>
      <c r="K146" s="4">
        <f t="shared" si="34"/>
        <v>1.68</v>
      </c>
      <c r="L146">
        <v>168</v>
      </c>
      <c r="M146" s="4">
        <f t="shared" si="36"/>
        <v>12.936</v>
      </c>
      <c r="N146" s="4">
        <v>43.5</v>
      </c>
      <c r="O146" s="4">
        <v>22</v>
      </c>
      <c r="P146" s="40">
        <v>0</v>
      </c>
      <c r="Q146">
        <v>81</v>
      </c>
      <c r="R146" s="37">
        <v>0</v>
      </c>
      <c r="S146">
        <v>91</v>
      </c>
      <c r="T146" s="5">
        <f t="shared" si="35"/>
        <v>0.89010989010989006</v>
      </c>
      <c r="U146" s="37">
        <v>0</v>
      </c>
      <c r="V146" s="4">
        <f t="shared" si="26"/>
        <v>20.833333333333336</v>
      </c>
      <c r="W146" s="39">
        <v>0</v>
      </c>
      <c r="X146">
        <v>7</v>
      </c>
      <c r="Y146" s="40">
        <v>0</v>
      </c>
      <c r="Z146">
        <v>7.34</v>
      </c>
      <c r="AA146" s="23">
        <f t="shared" si="28"/>
        <v>1.3897066666666664</v>
      </c>
      <c r="AB146" s="84">
        <v>0</v>
      </c>
      <c r="AC146" s="5">
        <v>4.26</v>
      </c>
      <c r="AD146" s="37">
        <v>0</v>
      </c>
      <c r="AE146">
        <v>46.67</v>
      </c>
      <c r="AF146" s="5">
        <v>6.8</v>
      </c>
      <c r="AG146" s="37">
        <v>1</v>
      </c>
      <c r="AH146" s="5">
        <v>1.59</v>
      </c>
      <c r="AI146" s="37">
        <v>0</v>
      </c>
      <c r="AJ146" s="5">
        <v>5</v>
      </c>
      <c r="AK146" s="37">
        <v>1</v>
      </c>
      <c r="AL146" s="5">
        <v>1.07</v>
      </c>
      <c r="AM146" s="37">
        <v>0</v>
      </c>
      <c r="AN146" s="4">
        <f t="shared" si="27"/>
        <v>6.3551401869158877</v>
      </c>
      <c r="AO146" s="37">
        <v>1</v>
      </c>
      <c r="AP146">
        <v>110</v>
      </c>
      <c r="AQ146" s="38">
        <v>0</v>
      </c>
      <c r="AR146">
        <v>73</v>
      </c>
      <c r="AS146" s="37">
        <v>0</v>
      </c>
      <c r="AT146">
        <v>79</v>
      </c>
      <c r="AU146">
        <v>38</v>
      </c>
      <c r="AV146">
        <v>5.2</v>
      </c>
      <c r="AW146" s="37">
        <v>1</v>
      </c>
      <c r="AX146">
        <v>2676</v>
      </c>
      <c r="AY146">
        <v>79.7</v>
      </c>
      <c r="AZ146">
        <v>58.8</v>
      </c>
      <c r="BA146">
        <v>486.6</v>
      </c>
      <c r="BB146">
        <v>9.5</v>
      </c>
      <c r="BC146">
        <v>366.9</v>
      </c>
      <c r="BD146">
        <v>107.2</v>
      </c>
      <c r="BE146">
        <v>93.7</v>
      </c>
      <c r="BF146">
        <v>179.1</v>
      </c>
      <c r="BG146">
        <v>19.8</v>
      </c>
      <c r="BH146">
        <v>11.9</v>
      </c>
      <c r="BI146">
        <v>68.2</v>
      </c>
      <c r="BJ146">
        <v>10.6</v>
      </c>
      <c r="BK146">
        <v>13.1</v>
      </c>
      <c r="BL146">
        <v>31.7</v>
      </c>
      <c r="BM146">
        <v>14.3</v>
      </c>
      <c r="BN146">
        <v>5.5</v>
      </c>
      <c r="BO146">
        <v>4.71</v>
      </c>
      <c r="BP146">
        <v>0.69</v>
      </c>
      <c r="BQ146">
        <v>0.26</v>
      </c>
      <c r="BR146">
        <v>672</v>
      </c>
      <c r="BS146">
        <v>237.7</v>
      </c>
      <c r="BT146">
        <v>4679</v>
      </c>
      <c r="BU146">
        <v>2123</v>
      </c>
      <c r="BV146">
        <v>16.54</v>
      </c>
      <c r="BW146">
        <v>8.59</v>
      </c>
      <c r="BX146">
        <v>1.81</v>
      </c>
      <c r="BY146">
        <v>70.8</v>
      </c>
      <c r="BZ146">
        <v>66.099999999999994</v>
      </c>
      <c r="CA146">
        <v>0.99</v>
      </c>
      <c r="CB146">
        <v>0.73</v>
      </c>
      <c r="CC146">
        <v>34.200000000000003</v>
      </c>
      <c r="CD146">
        <v>1.68</v>
      </c>
      <c r="CE146">
        <v>2.66</v>
      </c>
      <c r="CF146">
        <v>199.5</v>
      </c>
      <c r="CG146">
        <v>48.2</v>
      </c>
      <c r="CH146">
        <v>750</v>
      </c>
      <c r="CI146">
        <v>2.2400000000000002</v>
      </c>
      <c r="CJ146">
        <v>2</v>
      </c>
      <c r="CK146">
        <v>0</v>
      </c>
      <c r="CL146" s="42" t="str">
        <f t="shared" si="29"/>
        <v>1</v>
      </c>
      <c r="CM146">
        <v>0</v>
      </c>
      <c r="CN146" s="4">
        <v>0</v>
      </c>
      <c r="CO146">
        <v>5</v>
      </c>
      <c r="CP146" s="42" t="str">
        <f t="shared" si="30"/>
        <v>1</v>
      </c>
      <c r="CQ146" s="4">
        <v>91.333333333333329</v>
      </c>
      <c r="CR146" s="4">
        <v>1.8641975308641974</v>
      </c>
      <c r="CS146" s="43" t="str">
        <f t="shared" si="31"/>
        <v>1</v>
      </c>
      <c r="CT146" s="4">
        <f t="shared" si="32"/>
        <v>91.333333333333329</v>
      </c>
      <c r="CU146" s="4">
        <f t="shared" si="33"/>
        <v>1.8641975308641974</v>
      </c>
      <c r="CV146" s="4">
        <v>1</v>
      </c>
    </row>
    <row r="147" spans="1:100" x14ac:dyDescent="0.3">
      <c r="A147" s="15" t="s">
        <v>298</v>
      </c>
      <c r="B147" s="17">
        <v>0</v>
      </c>
      <c r="C147" s="3">
        <v>38</v>
      </c>
      <c r="D147">
        <v>3</v>
      </c>
      <c r="E147">
        <v>1</v>
      </c>
      <c r="F147">
        <v>1</v>
      </c>
      <c r="G147">
        <v>0</v>
      </c>
      <c r="H147">
        <v>0</v>
      </c>
      <c r="I147">
        <v>1</v>
      </c>
      <c r="J147" s="4">
        <v>74.599999999999994</v>
      </c>
      <c r="K147" s="4">
        <f t="shared" si="34"/>
        <v>1.75</v>
      </c>
      <c r="L147">
        <v>175</v>
      </c>
      <c r="M147" s="4">
        <f t="shared" si="36"/>
        <v>20.664199999999997</v>
      </c>
      <c r="N147" s="4">
        <v>51.1</v>
      </c>
      <c r="O147" s="4">
        <v>27.7</v>
      </c>
      <c r="P147" s="40">
        <v>1</v>
      </c>
      <c r="Q147">
        <v>91.9</v>
      </c>
      <c r="R147" s="37">
        <v>1</v>
      </c>
      <c r="S147">
        <v>101</v>
      </c>
      <c r="T147" s="5">
        <f t="shared" si="35"/>
        <v>0.90990099009900993</v>
      </c>
      <c r="U147" s="37">
        <v>1</v>
      </c>
      <c r="V147" s="4">
        <f t="shared" si="26"/>
        <v>24.359183673469385</v>
      </c>
      <c r="W147" s="39">
        <v>1</v>
      </c>
      <c r="X147">
        <v>12</v>
      </c>
      <c r="Y147" s="37">
        <v>1</v>
      </c>
      <c r="Z147">
        <v>11.97</v>
      </c>
      <c r="AA147" s="23">
        <f t="shared" si="28"/>
        <v>2.5802</v>
      </c>
      <c r="AB147" s="84">
        <v>0</v>
      </c>
      <c r="AC147" s="5">
        <v>4.8499999999999996</v>
      </c>
      <c r="AD147" s="37">
        <v>0</v>
      </c>
      <c r="AE147">
        <v>3.31</v>
      </c>
      <c r="AF147" s="5">
        <v>6.78</v>
      </c>
      <c r="AG147" s="37">
        <v>1</v>
      </c>
      <c r="AH147" s="5">
        <v>2.89</v>
      </c>
      <c r="AI147" s="37">
        <v>1</v>
      </c>
      <c r="AJ147" s="5">
        <v>4.4000000000000004</v>
      </c>
      <c r="AK147" s="37">
        <v>1</v>
      </c>
      <c r="AL147" s="5">
        <v>1.05</v>
      </c>
      <c r="AM147" s="37">
        <v>0</v>
      </c>
      <c r="AN147" s="4">
        <f t="shared" si="27"/>
        <v>6.4571428571428573</v>
      </c>
      <c r="AO147" s="37">
        <v>1</v>
      </c>
      <c r="AP147">
        <v>129</v>
      </c>
      <c r="AQ147" s="38">
        <v>0</v>
      </c>
      <c r="AR147">
        <v>89</v>
      </c>
      <c r="AS147" s="37">
        <v>1</v>
      </c>
      <c r="AT147">
        <v>76</v>
      </c>
      <c r="AU147">
        <v>40</v>
      </c>
      <c r="AV147">
        <v>6.2</v>
      </c>
      <c r="AW147" s="37">
        <v>1</v>
      </c>
      <c r="AX147">
        <v>1679</v>
      </c>
      <c r="AY147">
        <v>46.8</v>
      </c>
      <c r="AZ147">
        <v>53.6</v>
      </c>
      <c r="BA147">
        <v>268.10000000000002</v>
      </c>
      <c r="BB147">
        <v>9.9</v>
      </c>
      <c r="BC147">
        <v>215.1</v>
      </c>
      <c r="BD147">
        <v>37</v>
      </c>
      <c r="BE147">
        <v>25.3</v>
      </c>
      <c r="BF147">
        <v>33.700000000000003</v>
      </c>
      <c r="BG147">
        <v>28.7</v>
      </c>
      <c r="BH147">
        <v>11.2</v>
      </c>
      <c r="BI147">
        <v>59.9</v>
      </c>
      <c r="BJ147">
        <v>23.2</v>
      </c>
      <c r="BK147">
        <v>5.7</v>
      </c>
      <c r="BL147">
        <v>43.3</v>
      </c>
      <c r="BM147">
        <v>3.2</v>
      </c>
      <c r="BN147">
        <v>1.7</v>
      </c>
      <c r="BO147">
        <v>1.27</v>
      </c>
      <c r="BP147">
        <v>0.08</v>
      </c>
      <c r="BQ147">
        <v>0</v>
      </c>
      <c r="BR147">
        <v>370</v>
      </c>
      <c r="BS147">
        <v>192.9</v>
      </c>
      <c r="BT147">
        <v>4817</v>
      </c>
      <c r="BU147">
        <v>1802</v>
      </c>
      <c r="BV147">
        <v>9.92</v>
      </c>
      <c r="BW147">
        <v>5.27</v>
      </c>
      <c r="BX147">
        <v>1.19</v>
      </c>
      <c r="BY147">
        <v>65.5</v>
      </c>
      <c r="BZ147">
        <v>9.9</v>
      </c>
      <c r="CA147">
        <v>0.65</v>
      </c>
      <c r="CB147">
        <v>0.34</v>
      </c>
      <c r="CC147">
        <v>12.4</v>
      </c>
      <c r="CD147">
        <v>0.6</v>
      </c>
      <c r="CE147">
        <v>2.37</v>
      </c>
      <c r="CF147">
        <v>167.9</v>
      </c>
      <c r="CG147">
        <v>33.299999999999997</v>
      </c>
      <c r="CH147">
        <v>242</v>
      </c>
      <c r="CI147">
        <v>0.89</v>
      </c>
      <c r="CJ147">
        <v>1.8</v>
      </c>
      <c r="CK147">
        <v>0</v>
      </c>
      <c r="CL147" s="42" t="str">
        <f t="shared" si="29"/>
        <v>1</v>
      </c>
      <c r="CM147">
        <v>0</v>
      </c>
      <c r="CN147" s="4">
        <v>0</v>
      </c>
      <c r="CO147">
        <v>5</v>
      </c>
      <c r="CP147" s="42" t="str">
        <f t="shared" si="30"/>
        <v>2</v>
      </c>
      <c r="CQ147" s="4">
        <v>166.33333333333334</v>
      </c>
      <c r="CR147" s="4">
        <v>2.7938271604938274</v>
      </c>
      <c r="CS147" s="43" t="str">
        <f t="shared" si="31"/>
        <v>2</v>
      </c>
      <c r="CT147" s="4">
        <f t="shared" si="32"/>
        <v>166.33333333333334</v>
      </c>
      <c r="CU147" s="4">
        <f t="shared" si="33"/>
        <v>2.7938271604938274</v>
      </c>
      <c r="CV147" s="4">
        <v>2</v>
      </c>
    </row>
    <row r="148" spans="1:100" x14ac:dyDescent="0.3">
      <c r="A148" s="15" t="s">
        <v>299</v>
      </c>
      <c r="B148" s="17">
        <v>0</v>
      </c>
      <c r="C148" s="3">
        <v>33</v>
      </c>
      <c r="D148">
        <v>2</v>
      </c>
      <c r="E148">
        <v>2</v>
      </c>
      <c r="F148">
        <v>1</v>
      </c>
      <c r="G148">
        <v>0</v>
      </c>
      <c r="H148">
        <v>0</v>
      </c>
      <c r="I148">
        <v>1</v>
      </c>
      <c r="J148" s="4">
        <v>66.8</v>
      </c>
      <c r="K148" s="4">
        <f t="shared" si="34"/>
        <v>1.61</v>
      </c>
      <c r="L148">
        <v>161</v>
      </c>
      <c r="M148" s="4">
        <f t="shared" si="36"/>
        <v>16.031999999999996</v>
      </c>
      <c r="N148" s="4">
        <v>48.2</v>
      </c>
      <c r="O148" s="4">
        <v>24</v>
      </c>
      <c r="P148" s="40">
        <v>1</v>
      </c>
      <c r="Q148">
        <v>89</v>
      </c>
      <c r="R148" s="37">
        <v>0</v>
      </c>
      <c r="S148">
        <v>92</v>
      </c>
      <c r="T148" s="5">
        <f t="shared" si="35"/>
        <v>0.96739130434782605</v>
      </c>
      <c r="U148" s="37">
        <v>1</v>
      </c>
      <c r="V148" s="4">
        <f t="shared" si="26"/>
        <v>25.770610701747614</v>
      </c>
      <c r="W148" s="39">
        <v>1</v>
      </c>
      <c r="X148">
        <v>11</v>
      </c>
      <c r="Y148" s="37">
        <v>1</v>
      </c>
      <c r="Z148">
        <v>21.18</v>
      </c>
      <c r="AA148" s="23">
        <f t="shared" si="28"/>
        <v>4.301893333333334</v>
      </c>
      <c r="AB148" s="84">
        <v>1</v>
      </c>
      <c r="AC148" s="5">
        <v>4.57</v>
      </c>
      <c r="AD148" s="37">
        <v>0</v>
      </c>
      <c r="AE148">
        <v>72.45</v>
      </c>
      <c r="AF148" s="5">
        <v>6.24</v>
      </c>
      <c r="AG148" s="37">
        <v>1</v>
      </c>
      <c r="AH148" s="5">
        <v>1.97</v>
      </c>
      <c r="AI148" s="37">
        <v>1</v>
      </c>
      <c r="AJ148" s="5">
        <v>4.3499999999999996</v>
      </c>
      <c r="AK148" s="37">
        <v>1</v>
      </c>
      <c r="AL148" s="5">
        <v>0.99</v>
      </c>
      <c r="AM148" s="37">
        <v>1</v>
      </c>
      <c r="AN148" s="4">
        <f t="shared" si="27"/>
        <v>6.3030303030303036</v>
      </c>
      <c r="AO148" s="37">
        <v>1</v>
      </c>
      <c r="AP148">
        <v>107</v>
      </c>
      <c r="AQ148" s="38">
        <v>0</v>
      </c>
      <c r="AR148">
        <v>69</v>
      </c>
      <c r="AS148" s="37">
        <v>0</v>
      </c>
      <c r="AT148">
        <v>99</v>
      </c>
      <c r="AU148">
        <v>38</v>
      </c>
      <c r="AV148">
        <v>5</v>
      </c>
      <c r="AW148" s="37">
        <v>1</v>
      </c>
      <c r="AX148">
        <v>1170</v>
      </c>
      <c r="AY148">
        <v>28.1</v>
      </c>
      <c r="AZ148">
        <v>29.8</v>
      </c>
      <c r="BA148">
        <v>209.9</v>
      </c>
      <c r="BB148">
        <v>5.9</v>
      </c>
      <c r="BC148">
        <v>146.5</v>
      </c>
      <c r="BD148">
        <v>53.7</v>
      </c>
      <c r="BE148">
        <v>45.5</v>
      </c>
      <c r="BF148">
        <v>7.1</v>
      </c>
      <c r="BG148">
        <v>22.9</v>
      </c>
      <c r="BH148">
        <v>9.6</v>
      </c>
      <c r="BI148">
        <v>67.3</v>
      </c>
      <c r="BJ148">
        <v>15.7</v>
      </c>
      <c r="BK148">
        <v>14.6</v>
      </c>
      <c r="BL148">
        <v>20.5</v>
      </c>
      <c r="BM148">
        <v>2.6</v>
      </c>
      <c r="BN148">
        <v>1.1000000000000001</v>
      </c>
      <c r="BO148">
        <v>0.88</v>
      </c>
      <c r="BP148">
        <v>0.2</v>
      </c>
      <c r="BQ148">
        <v>0</v>
      </c>
      <c r="BR148">
        <v>280</v>
      </c>
      <c r="BS148">
        <v>120.9</v>
      </c>
      <c r="BT148">
        <v>1519</v>
      </c>
      <c r="BU148">
        <v>1039</v>
      </c>
      <c r="BV148">
        <v>7.68</v>
      </c>
      <c r="BW148">
        <v>3.86</v>
      </c>
      <c r="BX148">
        <v>1.03</v>
      </c>
      <c r="BY148">
        <v>31.2</v>
      </c>
      <c r="BZ148">
        <v>23.7</v>
      </c>
      <c r="CA148">
        <v>0.43</v>
      </c>
      <c r="CB148">
        <v>0.37</v>
      </c>
      <c r="CC148">
        <v>7.7</v>
      </c>
      <c r="CD148">
        <v>0.46</v>
      </c>
      <c r="CE148">
        <v>1.1100000000000001</v>
      </c>
      <c r="CF148">
        <v>136.1</v>
      </c>
      <c r="CG148">
        <v>4.3</v>
      </c>
      <c r="CH148">
        <v>173</v>
      </c>
      <c r="CI148">
        <v>1.84</v>
      </c>
      <c r="CJ148">
        <v>0.6</v>
      </c>
      <c r="CK148">
        <v>1</v>
      </c>
      <c r="CL148" s="42" t="str">
        <f t="shared" si="29"/>
        <v>1</v>
      </c>
      <c r="CM148">
        <v>18</v>
      </c>
      <c r="CN148" s="4">
        <v>0.36</v>
      </c>
      <c r="CO148">
        <v>4</v>
      </c>
      <c r="CP148" s="42" t="str">
        <f t="shared" si="30"/>
        <v>1</v>
      </c>
      <c r="CQ148" s="4">
        <v>27.333333333333332</v>
      </c>
      <c r="CR148" s="4">
        <v>0.52345679012345681</v>
      </c>
      <c r="CS148" s="43" t="str">
        <f t="shared" si="31"/>
        <v>1</v>
      </c>
      <c r="CT148" s="4">
        <f t="shared" si="32"/>
        <v>45.333333333333329</v>
      </c>
      <c r="CU148" s="4">
        <f t="shared" si="33"/>
        <v>0.88345679012345679</v>
      </c>
      <c r="CV148" s="4">
        <v>1</v>
      </c>
    </row>
    <row r="149" spans="1:100" x14ac:dyDescent="0.3">
      <c r="A149" s="15" t="s">
        <v>300</v>
      </c>
      <c r="B149" s="17">
        <v>0</v>
      </c>
      <c r="C149" s="3">
        <v>50</v>
      </c>
      <c r="D149">
        <v>2</v>
      </c>
      <c r="E149">
        <v>2</v>
      </c>
      <c r="F149">
        <v>1</v>
      </c>
      <c r="G149">
        <v>2</v>
      </c>
      <c r="H149">
        <v>2</v>
      </c>
      <c r="I149">
        <v>1</v>
      </c>
      <c r="J149">
        <v>70.8</v>
      </c>
      <c r="K149" s="4">
        <f t="shared" si="34"/>
        <v>1.74</v>
      </c>
      <c r="L149">
        <v>174</v>
      </c>
      <c r="M149" s="4">
        <f t="shared" si="36"/>
        <v>15.717599999999999</v>
      </c>
      <c r="N149" s="4">
        <v>53.1</v>
      </c>
      <c r="O149">
        <v>22.2</v>
      </c>
      <c r="P149" s="40">
        <v>0</v>
      </c>
      <c r="Q149">
        <v>92</v>
      </c>
      <c r="R149" s="37">
        <v>1</v>
      </c>
      <c r="S149">
        <v>93</v>
      </c>
      <c r="T149" s="5">
        <f t="shared" si="35"/>
        <v>0.989247311827957</v>
      </c>
      <c r="U149" s="37">
        <v>1</v>
      </c>
      <c r="V149" s="4">
        <f t="shared" si="26"/>
        <v>23.384859294490685</v>
      </c>
      <c r="W149" s="39">
        <v>1</v>
      </c>
      <c r="X149">
        <v>10</v>
      </c>
      <c r="Y149" s="37">
        <v>1</v>
      </c>
      <c r="AA149" s="23"/>
      <c r="AB149" s="84"/>
      <c r="AC149" s="5">
        <v>5.0599999999999996</v>
      </c>
      <c r="AD149" s="37">
        <v>0</v>
      </c>
      <c r="AE149">
        <v>3</v>
      </c>
      <c r="AF149" s="5">
        <v>9.33</v>
      </c>
      <c r="AG149" s="37">
        <v>1</v>
      </c>
      <c r="AH149" s="5">
        <v>5.32</v>
      </c>
      <c r="AI149" s="37">
        <v>1</v>
      </c>
      <c r="AJ149" s="5">
        <v>5.47</v>
      </c>
      <c r="AK149" s="37">
        <v>1</v>
      </c>
      <c r="AL149" s="5">
        <v>1.44</v>
      </c>
      <c r="AM149" s="37">
        <v>0</v>
      </c>
      <c r="AN149" s="4">
        <f t="shared" si="27"/>
        <v>6.479166666666667</v>
      </c>
      <c r="AO149" s="37">
        <v>1</v>
      </c>
      <c r="AP149">
        <v>117</v>
      </c>
      <c r="AQ149" s="38">
        <v>0</v>
      </c>
      <c r="AR149">
        <v>91</v>
      </c>
      <c r="AS149" s="37">
        <v>1</v>
      </c>
      <c r="AT149">
        <v>75</v>
      </c>
      <c r="AU149">
        <v>26</v>
      </c>
      <c r="AV149">
        <v>7.1</v>
      </c>
      <c r="AW149" s="37">
        <v>1</v>
      </c>
      <c r="AX149">
        <v>1981</v>
      </c>
      <c r="AY149">
        <v>85.2</v>
      </c>
      <c r="AZ149">
        <v>76</v>
      </c>
      <c r="BA149">
        <v>253.9</v>
      </c>
      <c r="BB149">
        <v>16</v>
      </c>
      <c r="BC149">
        <v>197.3</v>
      </c>
      <c r="BD149">
        <v>39.1</v>
      </c>
      <c r="BE149">
        <v>11.5</v>
      </c>
      <c r="BF149">
        <v>202.9</v>
      </c>
      <c r="BG149">
        <v>34.5</v>
      </c>
      <c r="BH149">
        <v>17.2</v>
      </c>
      <c r="BI149">
        <v>48.1</v>
      </c>
      <c r="BJ149">
        <v>21.7</v>
      </c>
      <c r="BK149">
        <v>2.2000000000000002</v>
      </c>
      <c r="BL149">
        <v>47.7</v>
      </c>
      <c r="BM149">
        <v>14.6</v>
      </c>
      <c r="BN149">
        <v>5.0999999999999996</v>
      </c>
      <c r="BO149">
        <v>3.93</v>
      </c>
      <c r="BP149">
        <v>1</v>
      </c>
      <c r="BQ149">
        <v>0.09</v>
      </c>
      <c r="BR149">
        <v>620</v>
      </c>
      <c r="BS149">
        <v>299.7</v>
      </c>
      <c r="BT149">
        <v>5203</v>
      </c>
      <c r="BU149">
        <v>2851</v>
      </c>
      <c r="BV149">
        <v>13.38</v>
      </c>
      <c r="BW149">
        <v>8.69</v>
      </c>
      <c r="BX149">
        <v>1.76</v>
      </c>
      <c r="BY149">
        <v>65.900000000000006</v>
      </c>
      <c r="BZ149">
        <v>93.4</v>
      </c>
      <c r="CA149">
        <v>0.78</v>
      </c>
      <c r="CB149">
        <v>0.9</v>
      </c>
      <c r="CC149">
        <v>30.3</v>
      </c>
      <c r="CD149">
        <v>1.57</v>
      </c>
      <c r="CE149">
        <v>5.67</v>
      </c>
      <c r="CF149">
        <v>292.10000000000002</v>
      </c>
      <c r="CG149">
        <v>61.9</v>
      </c>
      <c r="CH149">
        <v>753</v>
      </c>
      <c r="CI149">
        <v>6.91</v>
      </c>
      <c r="CJ149">
        <v>9.3000000000000007</v>
      </c>
      <c r="CK149">
        <v>3</v>
      </c>
      <c r="CL149" s="42" t="str">
        <f t="shared" si="29"/>
        <v>2</v>
      </c>
      <c r="CM149" s="4">
        <v>121.33333333333333</v>
      </c>
      <c r="CN149" s="4">
        <v>2.4266666666666667</v>
      </c>
      <c r="CO149">
        <v>4</v>
      </c>
      <c r="CP149" s="42" t="str">
        <f t="shared" si="30"/>
        <v>1</v>
      </c>
      <c r="CQ149" s="4">
        <v>57.666666666666664</v>
      </c>
      <c r="CR149" s="4">
        <v>1.1049382716049383</v>
      </c>
      <c r="CS149" s="43" t="str">
        <f t="shared" si="31"/>
        <v>2</v>
      </c>
      <c r="CT149" s="4">
        <f t="shared" si="32"/>
        <v>179</v>
      </c>
      <c r="CU149" s="4">
        <f t="shared" si="33"/>
        <v>3.531604938271605</v>
      </c>
      <c r="CV149" s="4">
        <v>3</v>
      </c>
    </row>
    <row r="150" spans="1:100" x14ac:dyDescent="0.3">
      <c r="A150" s="15" t="s">
        <v>301</v>
      </c>
      <c r="B150" s="17">
        <v>0</v>
      </c>
      <c r="C150" s="3">
        <v>51</v>
      </c>
      <c r="D150">
        <v>1</v>
      </c>
      <c r="E150">
        <v>3</v>
      </c>
      <c r="F150">
        <v>2</v>
      </c>
      <c r="G150">
        <v>0</v>
      </c>
      <c r="H150">
        <v>1</v>
      </c>
      <c r="I150">
        <v>1</v>
      </c>
      <c r="J150" s="4">
        <v>74.2</v>
      </c>
      <c r="K150" s="4">
        <f t="shared" si="34"/>
        <v>1.68</v>
      </c>
      <c r="L150">
        <v>168</v>
      </c>
      <c r="M150" s="4">
        <f t="shared" si="36"/>
        <v>20.3308</v>
      </c>
      <c r="N150" s="4">
        <v>51.1</v>
      </c>
      <c r="O150" s="4">
        <v>27.4</v>
      </c>
      <c r="P150" s="40">
        <v>1</v>
      </c>
      <c r="Q150">
        <v>94.7</v>
      </c>
      <c r="R150" s="37">
        <v>1</v>
      </c>
      <c r="S150">
        <v>104</v>
      </c>
      <c r="T150" s="5">
        <f t="shared" si="35"/>
        <v>0.91057692307692306</v>
      </c>
      <c r="U150" s="37">
        <v>1</v>
      </c>
      <c r="V150" s="4">
        <f t="shared" si="26"/>
        <v>26.289682539682545</v>
      </c>
      <c r="W150" s="39">
        <v>1</v>
      </c>
      <c r="X150">
        <v>14</v>
      </c>
      <c r="Y150" s="37">
        <v>1</v>
      </c>
      <c r="Z150">
        <v>9.9600000000000009</v>
      </c>
      <c r="AA150" s="23">
        <f t="shared" si="28"/>
        <v>2.6382933333333334</v>
      </c>
      <c r="AB150" s="84">
        <v>0</v>
      </c>
      <c r="AC150" s="5">
        <v>5.96</v>
      </c>
      <c r="AD150" s="37">
        <v>1</v>
      </c>
      <c r="AE150">
        <v>17.8</v>
      </c>
      <c r="AF150" s="5">
        <v>6.27</v>
      </c>
      <c r="AG150" s="37">
        <v>1</v>
      </c>
      <c r="AH150" s="5">
        <v>1.95</v>
      </c>
      <c r="AI150" s="37">
        <v>1</v>
      </c>
      <c r="AJ150" s="5">
        <v>3.79</v>
      </c>
      <c r="AK150" s="37">
        <v>1</v>
      </c>
      <c r="AL150" s="5">
        <v>1.6</v>
      </c>
      <c r="AM150" s="37">
        <v>0</v>
      </c>
      <c r="AN150" s="4">
        <f t="shared" si="27"/>
        <v>3.9187499999999997</v>
      </c>
      <c r="AO150" s="37">
        <v>0</v>
      </c>
      <c r="AP150">
        <v>131</v>
      </c>
      <c r="AQ150" s="37">
        <v>1</v>
      </c>
      <c r="AR150">
        <v>98</v>
      </c>
      <c r="AS150" s="37">
        <v>1</v>
      </c>
      <c r="AT150">
        <v>69</v>
      </c>
      <c r="AU150">
        <v>33</v>
      </c>
      <c r="AV150">
        <v>7.5</v>
      </c>
      <c r="AW150" s="37">
        <v>1</v>
      </c>
      <c r="AX150">
        <v>1949</v>
      </c>
      <c r="AY150">
        <v>60.5</v>
      </c>
      <c r="AZ150">
        <v>66.3</v>
      </c>
      <c r="BA150">
        <v>294.10000000000002</v>
      </c>
      <c r="BB150">
        <v>5.9</v>
      </c>
      <c r="BC150">
        <v>225.5</v>
      </c>
      <c r="BD150">
        <v>52.8</v>
      </c>
      <c r="BE150">
        <v>29.1</v>
      </c>
      <c r="BF150">
        <v>147.1</v>
      </c>
      <c r="BG150">
        <v>30.6</v>
      </c>
      <c r="BH150">
        <v>12.4</v>
      </c>
      <c r="BI150">
        <v>56.6</v>
      </c>
      <c r="BJ150">
        <v>15.5</v>
      </c>
      <c r="BK150">
        <v>5.6</v>
      </c>
      <c r="BL150">
        <v>33.5</v>
      </c>
      <c r="BM150">
        <v>5.4</v>
      </c>
      <c r="BN150">
        <v>2.4</v>
      </c>
      <c r="BO150">
        <v>1.27</v>
      </c>
      <c r="BP150">
        <v>0.79</v>
      </c>
      <c r="BQ150">
        <v>0</v>
      </c>
      <c r="BR150">
        <v>244</v>
      </c>
      <c r="BS150">
        <v>243.5</v>
      </c>
      <c r="BT150">
        <v>1991</v>
      </c>
      <c r="BU150">
        <v>1976</v>
      </c>
      <c r="BV150">
        <v>8.5</v>
      </c>
      <c r="BW150">
        <v>7.03</v>
      </c>
      <c r="BX150">
        <v>1.23</v>
      </c>
      <c r="BY150">
        <v>27.2</v>
      </c>
      <c r="BZ150">
        <v>40.299999999999997</v>
      </c>
      <c r="CA150">
        <v>0.46</v>
      </c>
      <c r="CB150">
        <v>0.73</v>
      </c>
      <c r="CC150">
        <v>24.4</v>
      </c>
      <c r="CD150">
        <v>0.91</v>
      </c>
      <c r="CE150">
        <v>5.56</v>
      </c>
      <c r="CF150">
        <v>271.39999999999998</v>
      </c>
      <c r="CG150">
        <v>61.9</v>
      </c>
      <c r="CH150">
        <v>399</v>
      </c>
      <c r="CI150">
        <v>16.190000000000001</v>
      </c>
      <c r="CJ150">
        <v>1.8</v>
      </c>
      <c r="CK150">
        <v>2</v>
      </c>
      <c r="CL150" s="42" t="str">
        <f t="shared" si="29"/>
        <v>2</v>
      </c>
      <c r="CM150">
        <v>152</v>
      </c>
      <c r="CN150" s="4">
        <v>3.04</v>
      </c>
      <c r="CO150">
        <v>4</v>
      </c>
      <c r="CP150" s="42" t="str">
        <f t="shared" si="30"/>
        <v>1</v>
      </c>
      <c r="CQ150" s="4">
        <v>48.666666666666664</v>
      </c>
      <c r="CR150" s="4">
        <v>0.75308641975308632</v>
      </c>
      <c r="CS150" s="43" t="str">
        <f t="shared" si="31"/>
        <v>2</v>
      </c>
      <c r="CT150" s="4">
        <f t="shared" si="32"/>
        <v>200.66666666666666</v>
      </c>
      <c r="CU150" s="4">
        <f t="shared" si="33"/>
        <v>3.7930864197530862</v>
      </c>
      <c r="CV150" s="4">
        <v>3</v>
      </c>
    </row>
    <row r="151" spans="1:100" x14ac:dyDescent="0.3">
      <c r="A151" s="15" t="s">
        <v>302</v>
      </c>
      <c r="B151" s="17">
        <v>0</v>
      </c>
      <c r="C151" s="3">
        <v>39</v>
      </c>
      <c r="D151">
        <v>2</v>
      </c>
      <c r="E151">
        <v>2</v>
      </c>
      <c r="F151">
        <v>0</v>
      </c>
      <c r="G151">
        <v>0</v>
      </c>
      <c r="H151">
        <v>1</v>
      </c>
      <c r="I151">
        <v>1</v>
      </c>
      <c r="J151" s="4">
        <v>58.5</v>
      </c>
      <c r="K151" s="4">
        <f t="shared" si="34"/>
        <v>1.7</v>
      </c>
      <c r="L151">
        <v>170</v>
      </c>
      <c r="M151" s="4">
        <f t="shared" si="36"/>
        <v>10.997999999999999</v>
      </c>
      <c r="N151" s="4">
        <v>45.6</v>
      </c>
      <c r="O151" s="4">
        <v>18.8</v>
      </c>
      <c r="P151" s="40">
        <v>0</v>
      </c>
      <c r="Q151">
        <v>80.3</v>
      </c>
      <c r="R151" s="37">
        <v>0</v>
      </c>
      <c r="S151">
        <v>90</v>
      </c>
      <c r="T151" s="5">
        <f t="shared" si="35"/>
        <v>0.89222222222222214</v>
      </c>
      <c r="U151" s="37">
        <v>0</v>
      </c>
      <c r="V151" s="4">
        <f t="shared" si="26"/>
        <v>20.242214532871973</v>
      </c>
      <c r="W151" s="39">
        <v>0</v>
      </c>
      <c r="X151">
        <v>6</v>
      </c>
      <c r="Y151" s="40">
        <v>0</v>
      </c>
      <c r="Z151">
        <v>7.82</v>
      </c>
      <c r="AA151" s="23">
        <f t="shared" si="28"/>
        <v>1.7115025777777779</v>
      </c>
      <c r="AB151" s="84">
        <v>0</v>
      </c>
      <c r="AC151" s="5">
        <v>4.9244000000000003</v>
      </c>
      <c r="AD151" s="37">
        <v>0</v>
      </c>
      <c r="AE151" s="5">
        <v>14.907069999999999</v>
      </c>
      <c r="AF151" s="5">
        <v>6.9264099999999997</v>
      </c>
      <c r="AG151" s="37">
        <v>1</v>
      </c>
      <c r="AH151" s="5">
        <v>1.23767</v>
      </c>
      <c r="AI151" s="37">
        <v>0</v>
      </c>
      <c r="AJ151" s="5">
        <v>5.3084199999999999</v>
      </c>
      <c r="AK151" s="37">
        <v>1</v>
      </c>
      <c r="AL151" s="5">
        <v>1.05542</v>
      </c>
      <c r="AM151" s="37">
        <v>0</v>
      </c>
      <c r="AN151" s="4">
        <f t="shared" si="27"/>
        <v>6.5627048947338498</v>
      </c>
      <c r="AO151" s="37">
        <v>1</v>
      </c>
      <c r="AP151">
        <v>126</v>
      </c>
      <c r="AQ151" s="38">
        <v>0</v>
      </c>
      <c r="AR151">
        <v>94</v>
      </c>
      <c r="AS151" s="37">
        <v>1</v>
      </c>
      <c r="AT151">
        <v>59</v>
      </c>
      <c r="AU151">
        <v>32</v>
      </c>
      <c r="AV151">
        <v>6</v>
      </c>
      <c r="AW151" s="37">
        <v>1</v>
      </c>
      <c r="AX151">
        <v>2856</v>
      </c>
      <c r="AY151">
        <v>140.4</v>
      </c>
      <c r="AZ151">
        <v>123.1</v>
      </c>
      <c r="BA151">
        <v>386.4</v>
      </c>
      <c r="BB151">
        <v>15.6</v>
      </c>
      <c r="BC151">
        <v>279.8</v>
      </c>
      <c r="BD151">
        <v>71.2</v>
      </c>
      <c r="BE151">
        <v>41</v>
      </c>
      <c r="BF151">
        <v>129.1</v>
      </c>
      <c r="BG151">
        <v>38.799999999999997</v>
      </c>
      <c r="BH151">
        <v>19.7</v>
      </c>
      <c r="BI151">
        <v>50.7</v>
      </c>
      <c r="BJ151">
        <v>26.7</v>
      </c>
      <c r="BK151">
        <v>5.4</v>
      </c>
      <c r="BL151">
        <v>84.6</v>
      </c>
      <c r="BM151">
        <v>12.5</v>
      </c>
      <c r="BN151">
        <v>5.6</v>
      </c>
      <c r="BO151">
        <v>3.91</v>
      </c>
      <c r="BP151">
        <v>0.8</v>
      </c>
      <c r="BQ151">
        <v>0.63</v>
      </c>
      <c r="BR151">
        <v>574</v>
      </c>
      <c r="BS151">
        <v>366.5</v>
      </c>
      <c r="BT151">
        <v>6497</v>
      </c>
      <c r="BU151">
        <v>3586</v>
      </c>
      <c r="BV151">
        <v>20.149999999999999</v>
      </c>
      <c r="BW151">
        <v>10.87</v>
      </c>
      <c r="BX151">
        <v>2.4</v>
      </c>
      <c r="BY151">
        <v>56.8</v>
      </c>
      <c r="BZ151">
        <v>69.8</v>
      </c>
      <c r="CA151">
        <v>0.95</v>
      </c>
      <c r="CB151">
        <v>0.92</v>
      </c>
      <c r="CC151">
        <v>25.9</v>
      </c>
      <c r="CD151">
        <v>1.58</v>
      </c>
      <c r="CE151">
        <v>4.17</v>
      </c>
      <c r="CF151">
        <v>349.6</v>
      </c>
      <c r="CG151">
        <v>47.7</v>
      </c>
      <c r="CH151">
        <v>692</v>
      </c>
      <c r="CI151">
        <v>5.85</v>
      </c>
      <c r="CJ151">
        <v>3.2</v>
      </c>
      <c r="CK151">
        <v>0</v>
      </c>
      <c r="CL151" s="42" t="str">
        <f t="shared" si="29"/>
        <v>1</v>
      </c>
      <c r="CM151">
        <v>0</v>
      </c>
      <c r="CN151" s="4">
        <v>0</v>
      </c>
      <c r="CO151">
        <v>12</v>
      </c>
      <c r="CP151" s="42" t="str">
        <f t="shared" si="30"/>
        <v>4</v>
      </c>
      <c r="CQ151" s="4">
        <v>431</v>
      </c>
      <c r="CR151" s="4">
        <v>6.458024691358025</v>
      </c>
      <c r="CS151" s="43" t="str">
        <f t="shared" si="31"/>
        <v>4</v>
      </c>
      <c r="CT151" s="4">
        <f t="shared" si="32"/>
        <v>431</v>
      </c>
      <c r="CU151" s="4">
        <f t="shared" si="33"/>
        <v>6.458024691358025</v>
      </c>
      <c r="CV151" s="4">
        <v>4</v>
      </c>
    </row>
    <row r="152" spans="1:100" x14ac:dyDescent="0.3">
      <c r="A152" s="15" t="s">
        <v>303</v>
      </c>
      <c r="B152" s="17">
        <v>0</v>
      </c>
      <c r="C152" s="3">
        <v>37</v>
      </c>
      <c r="D152">
        <v>2</v>
      </c>
      <c r="E152">
        <v>1</v>
      </c>
      <c r="F152">
        <v>2</v>
      </c>
      <c r="G152">
        <v>0</v>
      </c>
      <c r="H152">
        <v>1</v>
      </c>
      <c r="I152">
        <v>1</v>
      </c>
      <c r="J152" s="4">
        <v>89.2</v>
      </c>
      <c r="K152" s="4">
        <f t="shared" si="34"/>
        <v>1.67</v>
      </c>
      <c r="L152">
        <v>167</v>
      </c>
      <c r="M152" s="4">
        <f t="shared" si="36"/>
        <v>28.633200000000002</v>
      </c>
      <c r="N152" s="4">
        <v>57.5</v>
      </c>
      <c r="O152" s="4">
        <v>32.1</v>
      </c>
      <c r="P152" s="40">
        <v>1</v>
      </c>
      <c r="Q152">
        <v>110.7</v>
      </c>
      <c r="R152" s="37">
        <v>1</v>
      </c>
      <c r="S152">
        <v>108.2</v>
      </c>
      <c r="T152" s="5">
        <f t="shared" si="35"/>
        <v>1.0231053604436229</v>
      </c>
      <c r="U152" s="37">
        <v>1</v>
      </c>
      <c r="V152" s="4">
        <f t="shared" si="26"/>
        <v>31.98393631897881</v>
      </c>
      <c r="W152" s="39">
        <v>1</v>
      </c>
      <c r="X152">
        <v>17</v>
      </c>
      <c r="Y152" s="37">
        <v>1</v>
      </c>
      <c r="AA152" s="23"/>
      <c r="AB152" s="84"/>
      <c r="AC152" s="5">
        <v>6.5</v>
      </c>
      <c r="AD152" s="37">
        <v>1</v>
      </c>
      <c r="AE152">
        <v>54.86</v>
      </c>
      <c r="AF152" s="5">
        <v>7.7</v>
      </c>
      <c r="AG152" s="37">
        <v>1</v>
      </c>
      <c r="AH152" s="5">
        <v>1.86</v>
      </c>
      <c r="AI152" s="37">
        <v>1</v>
      </c>
      <c r="AJ152" s="5">
        <v>5.12</v>
      </c>
      <c r="AK152" s="37">
        <v>1</v>
      </c>
      <c r="AL152" s="5">
        <v>1.7</v>
      </c>
      <c r="AM152" s="37">
        <v>0</v>
      </c>
      <c r="AN152" s="4">
        <f t="shared" si="27"/>
        <v>4.5294117647058822</v>
      </c>
      <c r="AO152" s="37">
        <v>1</v>
      </c>
      <c r="AP152">
        <v>130</v>
      </c>
      <c r="AQ152" s="37">
        <v>1</v>
      </c>
      <c r="AR152">
        <v>85</v>
      </c>
      <c r="AS152" s="37">
        <v>1</v>
      </c>
      <c r="AT152">
        <v>58</v>
      </c>
      <c r="AU152">
        <v>46</v>
      </c>
      <c r="AV152">
        <v>6.2</v>
      </c>
      <c r="AW152" s="37">
        <v>1</v>
      </c>
      <c r="AX152">
        <v>1838</v>
      </c>
      <c r="AY152">
        <v>55.7</v>
      </c>
      <c r="AZ152">
        <v>63.3</v>
      </c>
      <c r="BA152">
        <v>277.5</v>
      </c>
      <c r="BB152">
        <v>6.1</v>
      </c>
      <c r="BC152">
        <v>164.2</v>
      </c>
      <c r="BD152">
        <v>87.1</v>
      </c>
      <c r="BE152">
        <v>70.400000000000006</v>
      </c>
      <c r="BF152">
        <v>161.19999999999999</v>
      </c>
      <c r="BG152">
        <v>31</v>
      </c>
      <c r="BH152">
        <v>12.1</v>
      </c>
      <c r="BI152">
        <v>56.6</v>
      </c>
      <c r="BJ152">
        <v>19.2</v>
      </c>
      <c r="BK152">
        <v>14.4</v>
      </c>
      <c r="BL152">
        <v>38.9</v>
      </c>
      <c r="BM152">
        <v>4.8</v>
      </c>
      <c r="BN152">
        <v>3.1</v>
      </c>
      <c r="BO152">
        <v>2.73</v>
      </c>
      <c r="BP152">
        <v>0.18</v>
      </c>
      <c r="BQ152">
        <v>0.05</v>
      </c>
      <c r="BR152">
        <v>698</v>
      </c>
      <c r="BS152">
        <v>244.6</v>
      </c>
      <c r="BT152">
        <v>3587</v>
      </c>
      <c r="BU152">
        <v>2066</v>
      </c>
      <c r="BV152">
        <v>12.83</v>
      </c>
      <c r="BW152">
        <v>6.44</v>
      </c>
      <c r="BX152">
        <v>1.47</v>
      </c>
      <c r="BY152">
        <v>23.9</v>
      </c>
      <c r="BZ152">
        <v>82.4</v>
      </c>
      <c r="CA152">
        <v>0.94</v>
      </c>
      <c r="CB152">
        <v>0.96</v>
      </c>
      <c r="CC152">
        <v>17.5</v>
      </c>
      <c r="CD152">
        <v>0.88</v>
      </c>
      <c r="CE152">
        <v>1.03</v>
      </c>
      <c r="CF152">
        <v>358.3</v>
      </c>
      <c r="CG152">
        <v>33.4</v>
      </c>
      <c r="CH152">
        <v>597</v>
      </c>
      <c r="CI152">
        <v>1.4</v>
      </c>
      <c r="CJ152">
        <v>3.3</v>
      </c>
      <c r="CK152">
        <v>1</v>
      </c>
      <c r="CL152" s="42" t="str">
        <f t="shared" si="29"/>
        <v>1</v>
      </c>
      <c r="CM152">
        <v>39</v>
      </c>
      <c r="CN152" s="4">
        <v>0.78</v>
      </c>
      <c r="CO152">
        <v>6</v>
      </c>
      <c r="CP152" s="42" t="str">
        <f t="shared" si="30"/>
        <v>1</v>
      </c>
      <c r="CQ152" s="4">
        <v>89.333333333333329</v>
      </c>
      <c r="CR152" s="4">
        <v>1.7530864197530864</v>
      </c>
      <c r="CS152" s="43" t="str">
        <f t="shared" si="31"/>
        <v>1</v>
      </c>
      <c r="CT152" s="4">
        <f t="shared" si="32"/>
        <v>128.33333333333331</v>
      </c>
      <c r="CU152" s="4">
        <f t="shared" si="33"/>
        <v>2.5330864197530865</v>
      </c>
      <c r="CV152" s="4">
        <v>2</v>
      </c>
    </row>
    <row r="153" spans="1:100" x14ac:dyDescent="0.3">
      <c r="A153" s="15" t="s">
        <v>304</v>
      </c>
      <c r="B153" s="17">
        <v>0</v>
      </c>
      <c r="C153" s="3">
        <v>47</v>
      </c>
      <c r="D153">
        <v>4</v>
      </c>
      <c r="E153">
        <v>2</v>
      </c>
      <c r="F153">
        <v>2</v>
      </c>
      <c r="G153">
        <v>0</v>
      </c>
      <c r="H153">
        <v>1</v>
      </c>
      <c r="I153">
        <v>1</v>
      </c>
      <c r="J153">
        <v>59.7</v>
      </c>
      <c r="K153" s="4">
        <f t="shared" si="34"/>
        <v>1.66</v>
      </c>
      <c r="L153">
        <v>166</v>
      </c>
      <c r="M153" s="4">
        <f t="shared" si="36"/>
        <v>14.2683</v>
      </c>
      <c r="N153" s="4">
        <v>43.9</v>
      </c>
      <c r="O153">
        <v>23.9</v>
      </c>
      <c r="P153" s="40">
        <v>1</v>
      </c>
      <c r="Q153">
        <v>76.7</v>
      </c>
      <c r="R153" s="37">
        <v>0</v>
      </c>
      <c r="S153">
        <v>89.5</v>
      </c>
      <c r="T153" s="5">
        <f t="shared" si="35"/>
        <v>0.85698324022346373</v>
      </c>
      <c r="U153" s="37">
        <v>0</v>
      </c>
      <c r="V153" s="4">
        <f t="shared" si="26"/>
        <v>21.664973145594427</v>
      </c>
      <c r="W153" s="39">
        <v>0</v>
      </c>
      <c r="X153">
        <v>11</v>
      </c>
      <c r="Y153" s="37">
        <v>1</v>
      </c>
      <c r="AA153" s="23"/>
      <c r="AB153" s="84"/>
      <c r="AC153" s="5">
        <v>6.47</v>
      </c>
      <c r="AD153" s="37">
        <v>1</v>
      </c>
      <c r="AE153">
        <v>3</v>
      </c>
      <c r="AF153" s="5">
        <v>5.73</v>
      </c>
      <c r="AG153" s="37">
        <v>1</v>
      </c>
      <c r="AH153" s="5">
        <v>1.39</v>
      </c>
      <c r="AI153" s="37">
        <v>0</v>
      </c>
      <c r="AJ153" s="5">
        <v>3.63</v>
      </c>
      <c r="AK153" s="37">
        <v>1</v>
      </c>
      <c r="AL153" s="5">
        <v>1.47</v>
      </c>
      <c r="AM153" s="37">
        <v>0</v>
      </c>
      <c r="AN153" s="4">
        <f t="shared" si="27"/>
        <v>3.8979591836734699</v>
      </c>
      <c r="AO153" s="37">
        <v>0</v>
      </c>
      <c r="AP153">
        <v>113</v>
      </c>
      <c r="AQ153" s="38">
        <v>0</v>
      </c>
      <c r="AR153">
        <v>75</v>
      </c>
      <c r="AS153" s="37">
        <v>0</v>
      </c>
      <c r="AT153">
        <v>53</v>
      </c>
      <c r="AU153">
        <v>38</v>
      </c>
      <c r="AV153">
        <v>6.4</v>
      </c>
      <c r="AW153" s="37">
        <v>1</v>
      </c>
      <c r="AX153">
        <v>2186</v>
      </c>
      <c r="AY153">
        <v>80.5</v>
      </c>
      <c r="AZ153">
        <v>67.7</v>
      </c>
      <c r="BA153">
        <v>334.1</v>
      </c>
      <c r="BB153">
        <v>10.9</v>
      </c>
      <c r="BC153">
        <v>285.2</v>
      </c>
      <c r="BD153">
        <v>17.100000000000001</v>
      </c>
      <c r="BE153">
        <v>4.9000000000000004</v>
      </c>
      <c r="BF153">
        <v>102.9</v>
      </c>
      <c r="BG153">
        <v>27.9</v>
      </c>
      <c r="BH153">
        <v>14.7</v>
      </c>
      <c r="BI153">
        <v>57.3</v>
      </c>
      <c r="BJ153">
        <v>16</v>
      </c>
      <c r="BK153">
        <v>0.8</v>
      </c>
      <c r="BL153">
        <v>39.200000000000003</v>
      </c>
      <c r="BM153">
        <v>9.1999999999999993</v>
      </c>
      <c r="BN153">
        <v>4.2</v>
      </c>
      <c r="BO153">
        <v>3.82</v>
      </c>
      <c r="BP153">
        <v>0.26</v>
      </c>
      <c r="BQ153">
        <v>0.22</v>
      </c>
      <c r="BR153">
        <v>953</v>
      </c>
      <c r="BS153">
        <v>225.3</v>
      </c>
      <c r="BT153">
        <v>3771</v>
      </c>
      <c r="BU153">
        <v>1981</v>
      </c>
      <c r="BV153">
        <v>12.27</v>
      </c>
      <c r="BW153">
        <v>7.68</v>
      </c>
      <c r="BX153">
        <v>1.69</v>
      </c>
      <c r="BY153">
        <v>79.2</v>
      </c>
      <c r="BZ153">
        <v>67.099999999999994</v>
      </c>
      <c r="CA153">
        <v>1.1000000000000001</v>
      </c>
      <c r="CB153">
        <v>1.32</v>
      </c>
      <c r="CC153">
        <v>21.9</v>
      </c>
      <c r="CD153">
        <v>1.1599999999999999</v>
      </c>
      <c r="CE153">
        <v>2</v>
      </c>
      <c r="CF153">
        <v>192.1</v>
      </c>
      <c r="CG153">
        <v>13.3</v>
      </c>
      <c r="CH153">
        <v>375</v>
      </c>
      <c r="CI153">
        <v>0.24</v>
      </c>
      <c r="CJ153">
        <v>1.4</v>
      </c>
      <c r="CK153">
        <v>1</v>
      </c>
      <c r="CL153" s="42" t="str">
        <f t="shared" si="29"/>
        <v>1</v>
      </c>
      <c r="CM153">
        <v>39</v>
      </c>
      <c r="CN153" s="4">
        <v>0.78</v>
      </c>
      <c r="CO153">
        <v>4</v>
      </c>
      <c r="CP153" s="42" t="str">
        <f t="shared" si="30"/>
        <v>1</v>
      </c>
      <c r="CQ153" s="4">
        <v>91.333333333333329</v>
      </c>
      <c r="CR153" s="4">
        <v>1.4518518518518519</v>
      </c>
      <c r="CS153" s="43" t="str">
        <f t="shared" si="31"/>
        <v>1</v>
      </c>
      <c r="CT153" s="4">
        <f t="shared" si="32"/>
        <v>130.33333333333331</v>
      </c>
      <c r="CU153" s="4">
        <f t="shared" si="33"/>
        <v>2.231851851851852</v>
      </c>
      <c r="CV153" s="4">
        <v>2</v>
      </c>
    </row>
    <row r="154" spans="1:100" x14ac:dyDescent="0.3">
      <c r="A154" s="15" t="s">
        <v>305</v>
      </c>
      <c r="B154" s="17">
        <v>0</v>
      </c>
      <c r="C154" s="3">
        <v>60</v>
      </c>
      <c r="D154">
        <v>1</v>
      </c>
      <c r="E154">
        <v>2</v>
      </c>
      <c r="F154">
        <v>2</v>
      </c>
      <c r="G154">
        <v>0</v>
      </c>
      <c r="H154">
        <v>0</v>
      </c>
      <c r="I154">
        <v>1</v>
      </c>
      <c r="J154" s="4">
        <v>92.4</v>
      </c>
      <c r="K154" s="4">
        <f t="shared" si="34"/>
        <v>1.65</v>
      </c>
      <c r="L154">
        <v>165</v>
      </c>
      <c r="M154" s="4">
        <f t="shared" si="36"/>
        <v>32.617199999999997</v>
      </c>
      <c r="N154" s="4">
        <v>56.7</v>
      </c>
      <c r="O154" s="4">
        <v>35.299999999999997</v>
      </c>
      <c r="P154" s="40">
        <v>1</v>
      </c>
      <c r="Q154">
        <v>115</v>
      </c>
      <c r="R154" s="37">
        <v>1</v>
      </c>
      <c r="S154">
        <v>115.8</v>
      </c>
      <c r="T154" s="5">
        <f t="shared" si="35"/>
        <v>0.99309153713298792</v>
      </c>
      <c r="U154" s="37">
        <v>1</v>
      </c>
      <c r="V154" s="4">
        <f t="shared" si="26"/>
        <v>33.939393939393945</v>
      </c>
      <c r="W154" s="39">
        <v>1</v>
      </c>
      <c r="X154">
        <v>20</v>
      </c>
      <c r="Y154" s="37">
        <v>1</v>
      </c>
      <c r="AA154" s="23"/>
      <c r="AB154" s="84"/>
      <c r="AC154" s="5">
        <v>5.12</v>
      </c>
      <c r="AD154" s="37">
        <v>0</v>
      </c>
      <c r="AE154">
        <v>3</v>
      </c>
      <c r="AF154" s="5">
        <v>4.49</v>
      </c>
      <c r="AG154" s="37">
        <v>1</v>
      </c>
      <c r="AH154" s="5">
        <v>0.98</v>
      </c>
      <c r="AI154" s="37">
        <v>0</v>
      </c>
      <c r="AJ154" s="5">
        <v>3.31</v>
      </c>
      <c r="AK154" s="37">
        <v>0</v>
      </c>
      <c r="AL154" s="5">
        <v>1.24</v>
      </c>
      <c r="AM154" s="37">
        <v>0</v>
      </c>
      <c r="AN154" s="4">
        <f t="shared" si="27"/>
        <v>3.620967741935484</v>
      </c>
      <c r="AO154" s="37">
        <v>1</v>
      </c>
      <c r="AP154">
        <v>139</v>
      </c>
      <c r="AQ154" s="37">
        <v>1</v>
      </c>
      <c r="AR154">
        <v>93</v>
      </c>
      <c r="AS154" s="37">
        <v>1</v>
      </c>
      <c r="AT154">
        <v>59</v>
      </c>
      <c r="AU154">
        <v>46</v>
      </c>
      <c r="AV154">
        <v>9.1</v>
      </c>
      <c r="AW154" s="37">
        <v>0</v>
      </c>
      <c r="AX154">
        <v>1517</v>
      </c>
      <c r="AY154">
        <v>44.2</v>
      </c>
      <c r="AZ154">
        <v>62.1</v>
      </c>
      <c r="BA154">
        <v>208</v>
      </c>
      <c r="BB154">
        <v>7.8</v>
      </c>
      <c r="BC154">
        <v>129.30000000000001</v>
      </c>
      <c r="BD154">
        <v>44</v>
      </c>
      <c r="BE154">
        <v>31.1</v>
      </c>
      <c r="BF154">
        <v>190.8</v>
      </c>
      <c r="BG154">
        <v>36.799999999999997</v>
      </c>
      <c r="BH154">
        <v>11.6</v>
      </c>
      <c r="BI154">
        <v>51.4</v>
      </c>
      <c r="BJ154">
        <v>26.8</v>
      </c>
      <c r="BK154">
        <v>7.7</v>
      </c>
      <c r="BL154">
        <v>35.6</v>
      </c>
      <c r="BM154">
        <v>7.5</v>
      </c>
      <c r="BN154">
        <v>6.1</v>
      </c>
      <c r="BO154">
        <v>5.34</v>
      </c>
      <c r="BP154">
        <v>0.68</v>
      </c>
      <c r="BQ154">
        <v>0.02</v>
      </c>
      <c r="BR154">
        <v>630</v>
      </c>
      <c r="BS154">
        <v>197.9</v>
      </c>
      <c r="BT154">
        <v>3235</v>
      </c>
      <c r="BU154">
        <v>1963</v>
      </c>
      <c r="BV154">
        <v>11.7</v>
      </c>
      <c r="BW154">
        <v>5.22</v>
      </c>
      <c r="BX154">
        <v>1.31</v>
      </c>
      <c r="BY154">
        <v>29</v>
      </c>
      <c r="BZ154">
        <v>52.8</v>
      </c>
      <c r="CA154">
        <v>0.52</v>
      </c>
      <c r="CB154">
        <v>0.54</v>
      </c>
      <c r="CC154">
        <v>15.2</v>
      </c>
      <c r="CD154">
        <v>0.75</v>
      </c>
      <c r="CE154">
        <v>3.18</v>
      </c>
      <c r="CF154">
        <v>217</v>
      </c>
      <c r="CG154">
        <v>34.799999999999997</v>
      </c>
      <c r="CH154">
        <v>770</v>
      </c>
      <c r="CI154">
        <v>5.29</v>
      </c>
      <c r="CJ154">
        <v>2.8</v>
      </c>
      <c r="CK154">
        <v>3</v>
      </c>
      <c r="CL154" s="42" t="str">
        <f t="shared" si="29"/>
        <v>1</v>
      </c>
      <c r="CM154" s="4">
        <v>69.666666666666671</v>
      </c>
      <c r="CN154" s="4">
        <v>1.3933333333333335</v>
      </c>
      <c r="CO154">
        <v>9</v>
      </c>
      <c r="CP154" s="42" t="str">
        <f t="shared" si="30"/>
        <v>1</v>
      </c>
      <c r="CQ154" s="4">
        <v>133.66666666666666</v>
      </c>
      <c r="CR154" s="4">
        <v>2.7</v>
      </c>
      <c r="CS154" s="43" t="str">
        <f t="shared" si="31"/>
        <v>2</v>
      </c>
      <c r="CT154" s="4">
        <f t="shared" si="32"/>
        <v>203.33333333333331</v>
      </c>
      <c r="CU154" s="4">
        <f t="shared" si="33"/>
        <v>4.0933333333333337</v>
      </c>
      <c r="CV154" s="4">
        <v>4</v>
      </c>
    </row>
    <row r="155" spans="1:100" x14ac:dyDescent="0.3">
      <c r="A155" s="15" t="s">
        <v>306</v>
      </c>
      <c r="B155" s="17">
        <v>0</v>
      </c>
      <c r="C155">
        <v>49</v>
      </c>
      <c r="D155">
        <v>1</v>
      </c>
      <c r="E155">
        <v>3</v>
      </c>
      <c r="F155">
        <v>2</v>
      </c>
      <c r="G155">
        <v>2</v>
      </c>
      <c r="H155">
        <v>3</v>
      </c>
      <c r="I155">
        <v>1</v>
      </c>
      <c r="J155">
        <v>60.5</v>
      </c>
      <c r="K155">
        <v>1.67</v>
      </c>
      <c r="L155">
        <v>167</v>
      </c>
      <c r="M155" s="4">
        <f t="shared" si="36"/>
        <v>15.306500000000002</v>
      </c>
      <c r="N155" s="4">
        <v>42.6</v>
      </c>
      <c r="O155" s="4">
        <v>25.3</v>
      </c>
      <c r="P155" s="40">
        <v>1</v>
      </c>
      <c r="Q155">
        <v>74.900000000000006</v>
      </c>
      <c r="R155" s="37">
        <v>0</v>
      </c>
      <c r="S155">
        <v>85.3</v>
      </c>
      <c r="T155" s="5">
        <v>0.88</v>
      </c>
      <c r="U155" s="37">
        <v>0</v>
      </c>
      <c r="V155" s="4">
        <f t="shared" si="26"/>
        <v>21.693140664778227</v>
      </c>
      <c r="W155" s="39">
        <v>0</v>
      </c>
      <c r="X155">
        <v>9</v>
      </c>
      <c r="Y155" s="40">
        <v>0</v>
      </c>
      <c r="Z155">
        <v>5.92</v>
      </c>
      <c r="AA155" s="23">
        <f t="shared" si="28"/>
        <v>1.2839822222222221</v>
      </c>
      <c r="AB155" s="84">
        <v>0</v>
      </c>
      <c r="AC155" s="5">
        <v>4.88</v>
      </c>
      <c r="AD155" s="37">
        <v>0</v>
      </c>
      <c r="AE155">
        <v>20.149999999999999</v>
      </c>
      <c r="AF155" s="5">
        <v>8.85</v>
      </c>
      <c r="AG155" s="37">
        <v>1</v>
      </c>
      <c r="AH155" s="5">
        <v>1.51</v>
      </c>
      <c r="AI155" s="37">
        <v>0</v>
      </c>
      <c r="AJ155" s="5">
        <v>6.82</v>
      </c>
      <c r="AK155" s="37">
        <v>1</v>
      </c>
      <c r="AL155" s="5">
        <v>1.35</v>
      </c>
      <c r="AM155" s="37">
        <v>0</v>
      </c>
      <c r="AN155" s="4">
        <f t="shared" si="27"/>
        <v>6.5555555555555545</v>
      </c>
      <c r="AO155" s="37">
        <v>1</v>
      </c>
      <c r="AP155">
        <v>155</v>
      </c>
      <c r="AQ155" s="37">
        <v>1</v>
      </c>
      <c r="AR155">
        <v>99</v>
      </c>
      <c r="AS155" s="37">
        <v>1</v>
      </c>
      <c r="AT155">
        <v>78</v>
      </c>
      <c r="AU155">
        <v>57</v>
      </c>
      <c r="AV155">
        <v>8</v>
      </c>
      <c r="AW155" s="37">
        <v>0</v>
      </c>
      <c r="AX155">
        <v>2022</v>
      </c>
      <c r="AY155">
        <v>49.4</v>
      </c>
      <c r="AZ155">
        <v>29.7</v>
      </c>
      <c r="BA155">
        <v>413.7</v>
      </c>
      <c r="BB155">
        <v>2.6</v>
      </c>
      <c r="BC155">
        <v>369.7</v>
      </c>
      <c r="BD155">
        <v>28.1</v>
      </c>
      <c r="BE155">
        <v>22.5</v>
      </c>
      <c r="BF155">
        <v>102.8</v>
      </c>
      <c r="BG155">
        <v>13.2</v>
      </c>
      <c r="BH155">
        <v>9.8000000000000007</v>
      </c>
      <c r="BI155">
        <v>76.7</v>
      </c>
      <c r="BJ155">
        <v>7.9</v>
      </c>
      <c r="BK155">
        <v>4.2</v>
      </c>
      <c r="BL155">
        <v>17.8</v>
      </c>
      <c r="BM155">
        <v>4.3</v>
      </c>
      <c r="BN155">
        <v>1.5</v>
      </c>
      <c r="BO155">
        <v>1.17</v>
      </c>
      <c r="BP155">
        <v>0.25</v>
      </c>
      <c r="BQ155">
        <v>7.0000000000000007E-2</v>
      </c>
      <c r="BR155">
        <v>159</v>
      </c>
      <c r="BS155">
        <v>147.4</v>
      </c>
      <c r="BT155">
        <v>1767</v>
      </c>
      <c r="BU155">
        <v>1571</v>
      </c>
      <c r="BV155">
        <v>7.42</v>
      </c>
      <c r="BW155">
        <v>7.53</v>
      </c>
      <c r="BX155">
        <v>0.93</v>
      </c>
      <c r="BY155">
        <v>9.6999999999999993</v>
      </c>
      <c r="BZ155">
        <v>21.3</v>
      </c>
      <c r="CA155">
        <v>0.39</v>
      </c>
      <c r="CB155">
        <v>0.38</v>
      </c>
      <c r="CC155">
        <v>17.5</v>
      </c>
      <c r="CD155">
        <v>0.35</v>
      </c>
      <c r="CE155">
        <v>1.87</v>
      </c>
      <c r="CF155">
        <v>177.3</v>
      </c>
      <c r="CG155">
        <v>6.7</v>
      </c>
      <c r="CH155">
        <v>82</v>
      </c>
      <c r="CI155">
        <v>1.32</v>
      </c>
      <c r="CJ155">
        <v>0.8</v>
      </c>
      <c r="CK155">
        <v>0</v>
      </c>
      <c r="CL155" s="42" t="str">
        <f t="shared" si="29"/>
        <v>1</v>
      </c>
      <c r="CM155">
        <v>0</v>
      </c>
      <c r="CN155" s="4">
        <v>0</v>
      </c>
      <c r="CO155">
        <v>2</v>
      </c>
      <c r="CP155" s="42" t="str">
        <f t="shared" si="30"/>
        <v>1</v>
      </c>
      <c r="CQ155" s="4">
        <v>60</v>
      </c>
      <c r="CR155" s="4">
        <v>0.37037037037037035</v>
      </c>
      <c r="CS155" s="43" t="str">
        <f t="shared" si="31"/>
        <v>1</v>
      </c>
      <c r="CT155" s="4">
        <f t="shared" si="32"/>
        <v>60</v>
      </c>
      <c r="CU155" s="4">
        <f t="shared" si="33"/>
        <v>0.37037037037037035</v>
      </c>
      <c r="CV155" s="4">
        <v>1</v>
      </c>
    </row>
    <row r="156" spans="1:100" x14ac:dyDescent="0.3">
      <c r="A156" s="15" t="s">
        <v>307</v>
      </c>
      <c r="B156" s="17">
        <v>0</v>
      </c>
      <c r="C156" s="3">
        <v>34</v>
      </c>
      <c r="D156">
        <v>1</v>
      </c>
      <c r="E156">
        <v>3</v>
      </c>
      <c r="F156">
        <v>2</v>
      </c>
      <c r="G156">
        <v>0</v>
      </c>
      <c r="H156">
        <v>0</v>
      </c>
      <c r="I156">
        <v>1</v>
      </c>
      <c r="J156" s="4">
        <v>76</v>
      </c>
      <c r="K156" s="4">
        <f>L156/100</f>
        <v>1.73</v>
      </c>
      <c r="L156">
        <v>173</v>
      </c>
      <c r="M156" s="4">
        <f t="shared" si="36"/>
        <v>18.543999999999997</v>
      </c>
      <c r="N156" s="4">
        <v>54.5</v>
      </c>
      <c r="O156" s="4">
        <v>24.4</v>
      </c>
      <c r="P156" s="40">
        <v>1</v>
      </c>
      <c r="Q156">
        <v>89.6</v>
      </c>
      <c r="R156" s="37">
        <v>1</v>
      </c>
      <c r="S156">
        <v>98.4</v>
      </c>
      <c r="T156" s="5">
        <f t="shared" si="35"/>
        <v>0.91056910569105676</v>
      </c>
      <c r="U156" s="37">
        <v>1</v>
      </c>
      <c r="V156" s="4">
        <f t="shared" si="26"/>
        <v>25.393431120318084</v>
      </c>
      <c r="W156" s="39">
        <v>1</v>
      </c>
      <c r="X156">
        <v>11</v>
      </c>
      <c r="Y156" s="37">
        <v>1</v>
      </c>
      <c r="Z156">
        <v>6.69</v>
      </c>
      <c r="AA156" s="23">
        <f t="shared" si="28"/>
        <v>1.6085733333333334</v>
      </c>
      <c r="AB156" s="84">
        <v>0</v>
      </c>
      <c r="AC156" s="5">
        <v>5.41</v>
      </c>
      <c r="AD156" s="37">
        <v>0</v>
      </c>
      <c r="AE156">
        <v>19.82</v>
      </c>
      <c r="AF156" s="5">
        <v>6.64</v>
      </c>
      <c r="AG156" s="37">
        <v>1</v>
      </c>
      <c r="AH156" s="5">
        <v>1.73</v>
      </c>
      <c r="AI156" s="37">
        <v>1</v>
      </c>
      <c r="AJ156" s="5">
        <v>4.38</v>
      </c>
      <c r="AK156" s="37">
        <v>1</v>
      </c>
      <c r="AL156" s="5">
        <v>1.47</v>
      </c>
      <c r="AM156" s="37">
        <v>0</v>
      </c>
      <c r="AN156" s="4">
        <f t="shared" si="27"/>
        <v>4.5170068027210881</v>
      </c>
      <c r="AO156" s="37">
        <v>1</v>
      </c>
      <c r="AP156">
        <v>128</v>
      </c>
      <c r="AQ156" s="38">
        <v>0</v>
      </c>
      <c r="AR156">
        <v>77</v>
      </c>
      <c r="AS156" s="37">
        <v>0</v>
      </c>
      <c r="AT156">
        <v>67</v>
      </c>
      <c r="AU156">
        <v>51</v>
      </c>
      <c r="AV156">
        <v>5.9</v>
      </c>
      <c r="AW156" s="37">
        <v>1</v>
      </c>
      <c r="AX156">
        <v>2226</v>
      </c>
      <c r="AY156">
        <v>54.1</v>
      </c>
      <c r="AZ156">
        <v>64.8</v>
      </c>
      <c r="BA156">
        <v>379.6</v>
      </c>
      <c r="BB156">
        <v>7.7</v>
      </c>
      <c r="BC156">
        <v>266.7</v>
      </c>
      <c r="BD156">
        <v>71.599999999999994</v>
      </c>
      <c r="BE156">
        <v>61.3</v>
      </c>
      <c r="BF156">
        <v>171</v>
      </c>
      <c r="BG156">
        <v>26.2</v>
      </c>
      <c r="BH156">
        <v>9.6999999999999993</v>
      </c>
      <c r="BI156">
        <v>64</v>
      </c>
      <c r="BJ156">
        <v>14.4</v>
      </c>
      <c r="BK156">
        <v>10.3</v>
      </c>
      <c r="BL156">
        <v>45.1</v>
      </c>
      <c r="BM156">
        <v>7.1</v>
      </c>
      <c r="BN156">
        <v>3.1</v>
      </c>
      <c r="BO156">
        <v>2.39</v>
      </c>
      <c r="BP156">
        <v>0.45</v>
      </c>
      <c r="BQ156">
        <v>0.09</v>
      </c>
      <c r="BR156">
        <v>433</v>
      </c>
      <c r="BS156">
        <v>184</v>
      </c>
      <c r="BT156">
        <v>4233</v>
      </c>
      <c r="BU156">
        <v>1679</v>
      </c>
      <c r="BV156">
        <v>9.77</v>
      </c>
      <c r="BW156">
        <v>6.8</v>
      </c>
      <c r="BX156">
        <v>1.31</v>
      </c>
      <c r="BY156">
        <v>45</v>
      </c>
      <c r="BZ156">
        <v>40.4</v>
      </c>
      <c r="CA156">
        <v>0.71</v>
      </c>
      <c r="CB156">
        <v>0.88</v>
      </c>
      <c r="CC156">
        <v>13.7</v>
      </c>
      <c r="CD156">
        <v>0.69</v>
      </c>
      <c r="CE156">
        <v>1.28</v>
      </c>
      <c r="CF156">
        <v>217.6</v>
      </c>
      <c r="CG156">
        <v>28.7</v>
      </c>
      <c r="CH156">
        <v>477</v>
      </c>
      <c r="CI156">
        <v>3.93</v>
      </c>
      <c r="CJ156">
        <v>3.5</v>
      </c>
      <c r="CK156" s="26"/>
      <c r="CL156" s="42" t="str">
        <f t="shared" si="29"/>
        <v>1</v>
      </c>
      <c r="CM156">
        <v>0</v>
      </c>
      <c r="CN156" s="4" t="e">
        <v>#DIV/0!</v>
      </c>
      <c r="CO156" s="26"/>
      <c r="CP156" s="42" t="str">
        <f t="shared" si="30"/>
        <v>1</v>
      </c>
      <c r="CQ156" s="4">
        <v>0</v>
      </c>
      <c r="CR156" s="4">
        <v>0</v>
      </c>
      <c r="CS156" s="43" t="str">
        <f t="shared" si="31"/>
        <v>1</v>
      </c>
      <c r="CT156" s="4">
        <f t="shared" si="32"/>
        <v>0</v>
      </c>
      <c r="CU156" s="4" t="e">
        <f t="shared" si="33"/>
        <v>#DIV/0!</v>
      </c>
    </row>
    <row r="157" spans="1:100" x14ac:dyDescent="0.3">
      <c r="A157" s="15" t="s">
        <v>308</v>
      </c>
      <c r="B157" s="17">
        <v>0</v>
      </c>
      <c r="C157" s="3">
        <v>42</v>
      </c>
      <c r="D157">
        <v>2</v>
      </c>
      <c r="E157">
        <v>1</v>
      </c>
      <c r="F157">
        <v>2</v>
      </c>
      <c r="G157">
        <v>0</v>
      </c>
      <c r="H157">
        <v>0</v>
      </c>
      <c r="I157">
        <v>1</v>
      </c>
      <c r="J157" s="4">
        <v>63.3</v>
      </c>
      <c r="K157" s="4">
        <f>L157/100</f>
        <v>1.53</v>
      </c>
      <c r="L157">
        <v>153</v>
      </c>
      <c r="M157" s="4">
        <f t="shared" si="36"/>
        <v>16.457999999999998</v>
      </c>
      <c r="N157" s="4">
        <v>44.4</v>
      </c>
      <c r="O157" s="4">
        <v>26</v>
      </c>
      <c r="P157" s="40">
        <v>1</v>
      </c>
      <c r="Q157">
        <v>94.7</v>
      </c>
      <c r="R157" s="37">
        <v>1</v>
      </c>
      <c r="S157">
        <v>92.7</v>
      </c>
      <c r="T157" s="5">
        <f t="shared" si="35"/>
        <v>1.0215749730312838</v>
      </c>
      <c r="U157" s="37">
        <v>1</v>
      </c>
      <c r="V157" s="4">
        <f t="shared" si="26"/>
        <v>27.040881712161987</v>
      </c>
      <c r="W157" s="39">
        <v>1</v>
      </c>
      <c r="X157">
        <v>12</v>
      </c>
      <c r="Y157" s="37">
        <v>1</v>
      </c>
      <c r="Z157">
        <v>21.11</v>
      </c>
      <c r="AA157" s="23">
        <f t="shared" si="28"/>
        <v>4.6817288888888884</v>
      </c>
      <c r="AB157" s="84">
        <v>1</v>
      </c>
      <c r="AC157" s="5">
        <v>4.99</v>
      </c>
      <c r="AD157" s="37">
        <v>0</v>
      </c>
      <c r="AE157">
        <v>3</v>
      </c>
      <c r="AF157" s="5">
        <v>5.79</v>
      </c>
      <c r="AG157" s="37">
        <v>1</v>
      </c>
      <c r="AH157" s="5">
        <v>1.05</v>
      </c>
      <c r="AI157" s="37">
        <v>0</v>
      </c>
      <c r="AJ157" s="5">
        <v>3.78</v>
      </c>
      <c r="AK157" s="37">
        <v>1</v>
      </c>
      <c r="AL157" s="5">
        <v>1.53</v>
      </c>
      <c r="AM157" s="37">
        <v>0</v>
      </c>
      <c r="AN157" s="4">
        <f t="shared" si="27"/>
        <v>3.784313725490196</v>
      </c>
      <c r="AO157" s="37">
        <v>0</v>
      </c>
      <c r="AP157">
        <v>122</v>
      </c>
      <c r="AQ157" s="38">
        <v>0</v>
      </c>
      <c r="AR157">
        <v>88</v>
      </c>
      <c r="AS157" s="37">
        <v>1</v>
      </c>
      <c r="AT157">
        <v>70</v>
      </c>
      <c r="AU157">
        <v>33</v>
      </c>
      <c r="AV157">
        <v>6.3</v>
      </c>
      <c r="AW157" s="37">
        <v>1</v>
      </c>
      <c r="AX157">
        <v>2352</v>
      </c>
      <c r="AY157">
        <v>67.8</v>
      </c>
      <c r="AZ157">
        <v>40</v>
      </c>
      <c r="BA157">
        <v>457.4</v>
      </c>
      <c r="BB157">
        <v>5.7</v>
      </c>
      <c r="BC157">
        <v>410.2</v>
      </c>
      <c r="BD157">
        <v>23.3</v>
      </c>
      <c r="BE157">
        <v>19.8</v>
      </c>
      <c r="BF157">
        <v>141.69999999999999</v>
      </c>
      <c r="BG157">
        <v>15.3</v>
      </c>
      <c r="BH157">
        <v>11.5</v>
      </c>
      <c r="BI157">
        <v>72.900000000000006</v>
      </c>
      <c r="BJ157">
        <v>9.9</v>
      </c>
      <c r="BK157">
        <v>3.2</v>
      </c>
      <c r="BL157">
        <v>25.8</v>
      </c>
      <c r="BM157">
        <v>5.9</v>
      </c>
      <c r="BN157">
        <v>2.2999999999999998</v>
      </c>
      <c r="BO157">
        <v>1.74</v>
      </c>
      <c r="BP157">
        <v>0.25</v>
      </c>
      <c r="BQ157">
        <v>0</v>
      </c>
      <c r="BR157">
        <v>366</v>
      </c>
      <c r="BS157">
        <v>205.2</v>
      </c>
      <c r="BT157">
        <v>4090</v>
      </c>
      <c r="BU157">
        <v>2225</v>
      </c>
      <c r="BV157">
        <v>13.69</v>
      </c>
      <c r="BW157">
        <v>8.66</v>
      </c>
      <c r="BX157">
        <v>1.45</v>
      </c>
      <c r="BY157">
        <v>51.1</v>
      </c>
      <c r="BZ157">
        <v>51.7</v>
      </c>
      <c r="CA157">
        <v>0.65</v>
      </c>
      <c r="CB157">
        <v>0.72</v>
      </c>
      <c r="CC157">
        <v>21.4</v>
      </c>
      <c r="CD157">
        <v>0.96</v>
      </c>
      <c r="CE157">
        <v>3.64</v>
      </c>
      <c r="CF157">
        <v>193.6</v>
      </c>
      <c r="CG157">
        <v>27.7</v>
      </c>
      <c r="CH157">
        <v>231</v>
      </c>
      <c r="CI157">
        <v>2.13</v>
      </c>
      <c r="CJ157">
        <v>1.8</v>
      </c>
      <c r="CK157">
        <v>1</v>
      </c>
      <c r="CL157" s="42" t="str">
        <f t="shared" si="29"/>
        <v>1</v>
      </c>
      <c r="CM157">
        <v>24</v>
      </c>
      <c r="CN157" s="4">
        <v>0.48</v>
      </c>
      <c r="CO157">
        <v>4</v>
      </c>
      <c r="CP157" s="42" t="str">
        <f t="shared" si="30"/>
        <v>2</v>
      </c>
      <c r="CQ157" s="4">
        <v>188.33333333333334</v>
      </c>
      <c r="CR157" s="4">
        <v>0.94197530864197532</v>
      </c>
      <c r="CS157" s="43" t="str">
        <f t="shared" si="31"/>
        <v>2</v>
      </c>
      <c r="CT157" s="4">
        <f t="shared" si="32"/>
        <v>212.33333333333334</v>
      </c>
      <c r="CU157" s="4">
        <f t="shared" si="33"/>
        <v>1.4219753086419753</v>
      </c>
      <c r="CV157" s="4">
        <v>1</v>
      </c>
    </row>
    <row r="158" spans="1:100" x14ac:dyDescent="0.3">
      <c r="A158" s="15" t="s">
        <v>309</v>
      </c>
      <c r="B158" s="17">
        <v>0</v>
      </c>
      <c r="C158" s="3">
        <v>53</v>
      </c>
      <c r="D158">
        <v>3</v>
      </c>
      <c r="E158">
        <v>1</v>
      </c>
      <c r="F158">
        <v>2</v>
      </c>
      <c r="G158">
        <v>0</v>
      </c>
      <c r="H158">
        <v>0</v>
      </c>
      <c r="I158">
        <v>1</v>
      </c>
      <c r="J158" s="4">
        <v>65.8</v>
      </c>
      <c r="K158" s="4">
        <f>L158/100</f>
        <v>1.63</v>
      </c>
      <c r="L158">
        <v>163</v>
      </c>
      <c r="M158" s="4">
        <f t="shared" si="36"/>
        <v>15.462999999999999</v>
      </c>
      <c r="N158" s="4">
        <v>41.7</v>
      </c>
      <c r="O158" s="4">
        <v>23.5</v>
      </c>
      <c r="P158" s="40">
        <v>1</v>
      </c>
      <c r="Q158">
        <v>92.8</v>
      </c>
      <c r="R158" s="37">
        <v>1</v>
      </c>
      <c r="S158">
        <v>91.7</v>
      </c>
      <c r="T158" s="5">
        <f t="shared" si="35"/>
        <v>1.0119956379498363</v>
      </c>
      <c r="U158" s="37">
        <v>1</v>
      </c>
      <c r="V158" s="4">
        <f t="shared" si="26"/>
        <v>24.765704392336936</v>
      </c>
      <c r="W158" s="39">
        <v>1</v>
      </c>
      <c r="X158">
        <v>13</v>
      </c>
      <c r="Y158" s="37">
        <v>1</v>
      </c>
      <c r="Z158">
        <v>8.7799999999999994</v>
      </c>
      <c r="AA158" s="23">
        <f t="shared" si="28"/>
        <v>2.3278862755555552</v>
      </c>
      <c r="AB158" s="84">
        <v>0</v>
      </c>
      <c r="AC158" s="5">
        <v>5.9655399999999998</v>
      </c>
      <c r="AD158" s="37">
        <v>1</v>
      </c>
      <c r="AE158" s="5">
        <v>26.117709999999999</v>
      </c>
      <c r="AF158" s="5">
        <v>5.9280600000000003</v>
      </c>
      <c r="AG158" s="37">
        <v>1</v>
      </c>
      <c r="AH158" s="5">
        <v>1.1164499999999999</v>
      </c>
      <c r="AI158" s="37">
        <v>0</v>
      </c>
      <c r="AJ158" s="5">
        <v>4.0479399999999996</v>
      </c>
      <c r="AK158" s="37">
        <v>1</v>
      </c>
      <c r="AL158" s="5">
        <v>1.3726400000000001</v>
      </c>
      <c r="AM158" s="37">
        <v>0</v>
      </c>
      <c r="AN158" s="4">
        <f t="shared" si="27"/>
        <v>4.3187288728290012</v>
      </c>
      <c r="AO158" s="37">
        <v>1</v>
      </c>
      <c r="AP158">
        <v>127</v>
      </c>
      <c r="AQ158" s="38">
        <v>0</v>
      </c>
      <c r="AR158">
        <v>82</v>
      </c>
      <c r="AS158" s="37">
        <v>0</v>
      </c>
      <c r="AT158">
        <v>96</v>
      </c>
      <c r="AU158">
        <v>45</v>
      </c>
      <c r="AV158">
        <v>7.7</v>
      </c>
      <c r="AW158" s="37">
        <v>1</v>
      </c>
      <c r="AX158">
        <v>2943</v>
      </c>
      <c r="AY158">
        <v>72.900000000000006</v>
      </c>
      <c r="AZ158">
        <v>62.6</v>
      </c>
      <c r="BA158">
        <v>554.6</v>
      </c>
      <c r="BB158">
        <v>8.9</v>
      </c>
      <c r="BC158">
        <v>431</v>
      </c>
      <c r="BD158">
        <v>111.3</v>
      </c>
      <c r="BE158">
        <v>92.7</v>
      </c>
      <c r="BF158">
        <v>91.3</v>
      </c>
      <c r="BG158">
        <v>19.100000000000001</v>
      </c>
      <c r="BH158">
        <v>9.9</v>
      </c>
      <c r="BI158">
        <v>70.7</v>
      </c>
      <c r="BJ158">
        <v>10.6</v>
      </c>
      <c r="BK158">
        <v>11.8</v>
      </c>
      <c r="BL158">
        <v>34.799999999999997</v>
      </c>
      <c r="BM158">
        <v>6.4</v>
      </c>
      <c r="BN158">
        <v>9.1999999999999993</v>
      </c>
      <c r="BO158">
        <v>8.2799999999999994</v>
      </c>
      <c r="BP158">
        <v>0.67</v>
      </c>
      <c r="BQ158">
        <v>0.01</v>
      </c>
      <c r="BR158">
        <v>537</v>
      </c>
      <c r="BS158">
        <v>245.8</v>
      </c>
      <c r="BT158">
        <v>4139</v>
      </c>
      <c r="BU158">
        <v>2109</v>
      </c>
      <c r="BV158">
        <v>12.63</v>
      </c>
      <c r="BW158">
        <v>7.97</v>
      </c>
      <c r="BX158">
        <v>1.83</v>
      </c>
      <c r="BY158">
        <v>52</v>
      </c>
      <c r="BZ158">
        <v>95.6</v>
      </c>
      <c r="CA158">
        <v>1.29</v>
      </c>
      <c r="CB158">
        <v>1.44</v>
      </c>
      <c r="CC158">
        <v>29.4</v>
      </c>
      <c r="CD158">
        <v>0.78</v>
      </c>
      <c r="CE158">
        <v>1.05</v>
      </c>
      <c r="CF158">
        <v>261</v>
      </c>
      <c r="CG158">
        <v>12.2</v>
      </c>
      <c r="CH158">
        <v>151</v>
      </c>
      <c r="CI158">
        <v>0.47</v>
      </c>
      <c r="CJ158">
        <v>1.5</v>
      </c>
      <c r="CK158">
        <v>0</v>
      </c>
      <c r="CL158" s="42" t="str">
        <f t="shared" si="29"/>
        <v>1</v>
      </c>
      <c r="CM158">
        <v>0</v>
      </c>
      <c r="CN158" s="4">
        <v>0</v>
      </c>
      <c r="CO158">
        <v>4</v>
      </c>
      <c r="CP158" s="42" t="str">
        <f t="shared" si="30"/>
        <v>1</v>
      </c>
      <c r="CQ158" s="4">
        <v>38</v>
      </c>
      <c r="CR158" s="4">
        <v>0.67901234567901236</v>
      </c>
      <c r="CS158" s="43" t="str">
        <f t="shared" si="31"/>
        <v>1</v>
      </c>
      <c r="CT158" s="4">
        <f t="shared" si="32"/>
        <v>38</v>
      </c>
      <c r="CU158" s="4">
        <f t="shared" si="33"/>
        <v>0.67901234567901236</v>
      </c>
      <c r="CV158" s="4">
        <v>1</v>
      </c>
    </row>
    <row r="159" spans="1:100" x14ac:dyDescent="0.3">
      <c r="A159" s="15" t="s">
        <v>389</v>
      </c>
      <c r="B159" s="17">
        <v>0</v>
      </c>
      <c r="C159" s="3">
        <v>56</v>
      </c>
      <c r="D159">
        <v>3</v>
      </c>
      <c r="E159">
        <v>1</v>
      </c>
      <c r="F159">
        <v>2</v>
      </c>
      <c r="G159">
        <v>0</v>
      </c>
      <c r="H159">
        <v>1</v>
      </c>
      <c r="I159">
        <v>1</v>
      </c>
      <c r="J159" s="4">
        <v>54.2</v>
      </c>
      <c r="K159" s="4">
        <f>L159/100</f>
        <v>1.57</v>
      </c>
      <c r="L159">
        <v>157</v>
      </c>
      <c r="M159" s="4">
        <f t="shared" si="36"/>
        <v>10.298</v>
      </c>
      <c r="N159" s="4">
        <v>41.6</v>
      </c>
      <c r="O159" s="4">
        <v>19</v>
      </c>
      <c r="P159" s="40">
        <v>0</v>
      </c>
      <c r="Q159">
        <v>75.400000000000006</v>
      </c>
      <c r="R159" s="37">
        <v>0</v>
      </c>
      <c r="S159">
        <v>86.4</v>
      </c>
      <c r="T159" s="5">
        <f t="shared" si="35"/>
        <v>0.87268518518518523</v>
      </c>
      <c r="U159" s="37">
        <v>0</v>
      </c>
      <c r="V159" s="4">
        <f t="shared" si="26"/>
        <v>21.988721651993995</v>
      </c>
      <c r="W159" s="39">
        <v>0</v>
      </c>
      <c r="X159">
        <v>10</v>
      </c>
      <c r="Y159" s="37">
        <v>1</v>
      </c>
      <c r="Z159">
        <v>5.51</v>
      </c>
      <c r="AA159" s="23">
        <f t="shared" si="28"/>
        <v>1.3682750355555553</v>
      </c>
      <c r="AB159" s="84">
        <v>0</v>
      </c>
      <c r="AC159" s="5">
        <v>5.5873299999999997</v>
      </c>
      <c r="AD159" s="37">
        <v>0</v>
      </c>
      <c r="AE159" s="5">
        <v>18.071079999999998</v>
      </c>
      <c r="AF159" s="5">
        <v>6.1756099999999998</v>
      </c>
      <c r="AG159" s="37">
        <v>1</v>
      </c>
      <c r="AH159" s="5">
        <v>0.67044999999999999</v>
      </c>
      <c r="AI159" s="37">
        <v>0</v>
      </c>
      <c r="AJ159" s="5">
        <v>4.11313</v>
      </c>
      <c r="AK159" s="37">
        <v>1</v>
      </c>
      <c r="AL159" s="5">
        <v>1.75773</v>
      </c>
      <c r="AM159" s="37">
        <v>0</v>
      </c>
      <c r="AN159" s="4">
        <f t="shared" si="27"/>
        <v>3.5134008067223066</v>
      </c>
      <c r="AO159" s="37">
        <v>0</v>
      </c>
      <c r="AP159">
        <v>153</v>
      </c>
      <c r="AQ159" s="37">
        <v>1</v>
      </c>
      <c r="AR159">
        <v>85</v>
      </c>
      <c r="AS159" s="37">
        <v>1</v>
      </c>
      <c r="AT159">
        <v>90</v>
      </c>
      <c r="AU159">
        <v>68</v>
      </c>
      <c r="AV159">
        <v>8.9</v>
      </c>
      <c r="AW159" s="37">
        <v>0</v>
      </c>
      <c r="AX159">
        <v>2282</v>
      </c>
      <c r="AY159">
        <v>68</v>
      </c>
      <c r="AZ159">
        <v>37.299999999999997</v>
      </c>
      <c r="BA159">
        <v>444.7</v>
      </c>
      <c r="BB159">
        <v>4.9000000000000004</v>
      </c>
      <c r="BC159">
        <v>374.3</v>
      </c>
      <c r="BD159">
        <v>51.1</v>
      </c>
      <c r="BE159">
        <v>44.6</v>
      </c>
      <c r="BF159">
        <v>110.1</v>
      </c>
      <c r="BG159">
        <v>14.7</v>
      </c>
      <c r="BH159">
        <v>11.9</v>
      </c>
      <c r="BI159">
        <v>73.099999999999994</v>
      </c>
      <c r="BJ159">
        <v>9.6999999999999993</v>
      </c>
      <c r="BK159">
        <v>7.3</v>
      </c>
      <c r="BL159">
        <v>24.6</v>
      </c>
      <c r="BM159">
        <v>3.8</v>
      </c>
      <c r="BN159">
        <v>2.2000000000000002</v>
      </c>
      <c r="BO159">
        <v>1.69</v>
      </c>
      <c r="BP159">
        <v>0.28000000000000003</v>
      </c>
      <c r="BQ159">
        <v>0</v>
      </c>
      <c r="BR159">
        <v>199</v>
      </c>
      <c r="BS159">
        <v>188.9</v>
      </c>
      <c r="BT159">
        <v>2517</v>
      </c>
      <c r="BU159">
        <v>1905</v>
      </c>
      <c r="BV159">
        <v>8.9700000000000006</v>
      </c>
      <c r="BW159">
        <v>7.69</v>
      </c>
      <c r="BX159">
        <v>1.05</v>
      </c>
      <c r="BY159">
        <v>34.9</v>
      </c>
      <c r="BZ159">
        <v>21.7</v>
      </c>
      <c r="CA159">
        <v>0.89</v>
      </c>
      <c r="CB159">
        <v>0.67</v>
      </c>
      <c r="CC159">
        <v>21.8</v>
      </c>
      <c r="CD159">
        <v>0.55000000000000004</v>
      </c>
      <c r="CE159">
        <v>2.41</v>
      </c>
      <c r="CF159">
        <v>183.7</v>
      </c>
      <c r="CG159">
        <v>15.5</v>
      </c>
      <c r="CH159">
        <v>85</v>
      </c>
      <c r="CI159">
        <v>1.65</v>
      </c>
      <c r="CJ159">
        <v>1</v>
      </c>
      <c r="CK159">
        <v>1</v>
      </c>
      <c r="CL159" s="42" t="str">
        <f t="shared" si="29"/>
        <v>1</v>
      </c>
      <c r="CM159">
        <v>16</v>
      </c>
      <c r="CN159" s="4">
        <v>0.32</v>
      </c>
      <c r="CO159">
        <v>3</v>
      </c>
      <c r="CP159" s="42" t="str">
        <f t="shared" si="30"/>
        <v>1</v>
      </c>
      <c r="CQ159" s="4">
        <v>82</v>
      </c>
      <c r="CR159" s="4">
        <v>0.59259259259259256</v>
      </c>
      <c r="CS159" s="43" t="str">
        <f t="shared" si="31"/>
        <v>1</v>
      </c>
      <c r="CT159" s="4">
        <f t="shared" si="32"/>
        <v>98</v>
      </c>
      <c r="CU159" s="4">
        <f t="shared" si="33"/>
        <v>0.91259259259259262</v>
      </c>
      <c r="CV159" s="4">
        <v>1</v>
      </c>
    </row>
    <row r="160" spans="1:100" x14ac:dyDescent="0.3">
      <c r="A160" s="15" t="s">
        <v>390</v>
      </c>
      <c r="B160" s="17">
        <v>0</v>
      </c>
      <c r="C160">
        <v>58</v>
      </c>
      <c r="D160">
        <v>2</v>
      </c>
      <c r="E160">
        <v>1</v>
      </c>
      <c r="F160">
        <v>2</v>
      </c>
      <c r="G160">
        <v>0</v>
      </c>
      <c r="H160">
        <v>0</v>
      </c>
      <c r="I160">
        <v>0</v>
      </c>
      <c r="J160">
        <v>65</v>
      </c>
      <c r="K160">
        <v>1.7</v>
      </c>
      <c r="L160">
        <v>170</v>
      </c>
      <c r="M160" s="4">
        <f t="shared" si="36"/>
        <v>14.234999999999999</v>
      </c>
      <c r="N160" s="4">
        <v>48.2</v>
      </c>
      <c r="O160" s="4">
        <v>21.9</v>
      </c>
      <c r="P160" s="40">
        <v>0</v>
      </c>
      <c r="Q160">
        <v>89.2</v>
      </c>
      <c r="R160" s="37">
        <v>0</v>
      </c>
      <c r="S160">
        <v>90.3</v>
      </c>
      <c r="T160" s="5">
        <f t="shared" si="35"/>
        <v>0.98781838316722048</v>
      </c>
      <c r="U160" s="37">
        <v>1</v>
      </c>
      <c r="V160" s="4">
        <f t="shared" si="26"/>
        <v>22.491349480968861</v>
      </c>
      <c r="W160" s="39">
        <v>0</v>
      </c>
      <c r="X160">
        <v>12</v>
      </c>
      <c r="Y160" s="37">
        <v>1</v>
      </c>
      <c r="Z160">
        <v>8.6999999999999993</v>
      </c>
      <c r="AA160" s="23">
        <f t="shared" si="28"/>
        <v>2.1421333333333332</v>
      </c>
      <c r="AB160" s="84">
        <v>0</v>
      </c>
      <c r="AC160" s="5">
        <v>5.54</v>
      </c>
      <c r="AD160" s="37">
        <v>0</v>
      </c>
      <c r="AE160">
        <v>3</v>
      </c>
      <c r="AF160" s="5">
        <v>5.13</v>
      </c>
      <c r="AG160" s="37">
        <v>1</v>
      </c>
      <c r="AH160" s="5">
        <v>1.5</v>
      </c>
      <c r="AI160" s="37">
        <v>0</v>
      </c>
      <c r="AJ160" s="5">
        <v>3.44</v>
      </c>
      <c r="AK160" s="37">
        <v>1</v>
      </c>
      <c r="AL160" s="5">
        <v>1.01</v>
      </c>
      <c r="AM160" s="37">
        <v>0</v>
      </c>
      <c r="AN160" s="4">
        <f t="shared" si="27"/>
        <v>5.0792079207920793</v>
      </c>
      <c r="AO160" s="37">
        <v>1</v>
      </c>
      <c r="AP160">
        <v>110</v>
      </c>
      <c r="AQ160" s="38">
        <v>0</v>
      </c>
      <c r="AR160">
        <v>79</v>
      </c>
      <c r="AS160" s="37">
        <v>0</v>
      </c>
      <c r="AT160">
        <v>75</v>
      </c>
      <c r="AU160">
        <v>31</v>
      </c>
      <c r="AV160">
        <v>7.7</v>
      </c>
      <c r="AW160" s="37">
        <v>1</v>
      </c>
      <c r="AX160">
        <v>1834</v>
      </c>
      <c r="AY160">
        <v>65.900000000000006</v>
      </c>
      <c r="AZ160">
        <v>50.9</v>
      </c>
      <c r="BA160">
        <v>295.89999999999998</v>
      </c>
      <c r="BB160">
        <v>3.6</v>
      </c>
      <c r="BC160">
        <v>227.6</v>
      </c>
      <c r="BD160">
        <v>35.200000000000003</v>
      </c>
      <c r="BE160">
        <v>29.8</v>
      </c>
      <c r="BF160">
        <v>165.2</v>
      </c>
      <c r="BG160">
        <v>25</v>
      </c>
      <c r="BH160">
        <v>14.4</v>
      </c>
      <c r="BI160">
        <v>60.5</v>
      </c>
      <c r="BJ160">
        <v>14</v>
      </c>
      <c r="BK160">
        <v>6.1</v>
      </c>
      <c r="BL160">
        <v>28.5</v>
      </c>
      <c r="BM160">
        <v>5.9</v>
      </c>
      <c r="BN160">
        <v>2.6</v>
      </c>
      <c r="BO160">
        <v>2.33</v>
      </c>
      <c r="BP160">
        <v>0.17</v>
      </c>
      <c r="BQ160">
        <v>0.13</v>
      </c>
      <c r="BR160">
        <v>302</v>
      </c>
      <c r="BS160">
        <v>194.2</v>
      </c>
      <c r="BT160">
        <v>3261</v>
      </c>
      <c r="BU160">
        <v>1733</v>
      </c>
      <c r="BV160">
        <v>9.24</v>
      </c>
      <c r="BW160">
        <v>7.01</v>
      </c>
      <c r="BX160">
        <v>1.22</v>
      </c>
      <c r="BY160">
        <v>54</v>
      </c>
      <c r="BZ160">
        <v>43.1</v>
      </c>
      <c r="CA160">
        <v>0.54</v>
      </c>
      <c r="CB160">
        <v>0.63</v>
      </c>
      <c r="CC160">
        <v>22.7</v>
      </c>
      <c r="CD160">
        <v>0.94</v>
      </c>
      <c r="CE160">
        <v>0.54</v>
      </c>
      <c r="CF160">
        <v>127.8</v>
      </c>
      <c r="CG160">
        <v>14.7</v>
      </c>
      <c r="CH160">
        <v>182</v>
      </c>
      <c r="CI160">
        <v>4.09</v>
      </c>
      <c r="CJ160">
        <v>1.2</v>
      </c>
      <c r="CK160">
        <v>1</v>
      </c>
      <c r="CL160" s="42" t="str">
        <f t="shared" si="29"/>
        <v>1</v>
      </c>
      <c r="CM160" s="4">
        <v>27.333333333333332</v>
      </c>
      <c r="CN160" s="4">
        <v>0.54666666666666663</v>
      </c>
      <c r="CO160">
        <v>3</v>
      </c>
      <c r="CP160" s="42" t="str">
        <f t="shared" si="30"/>
        <v>1</v>
      </c>
      <c r="CQ160" s="4">
        <v>53.333333333333336</v>
      </c>
      <c r="CR160" s="4">
        <v>0.95061728395061729</v>
      </c>
      <c r="CS160" s="43" t="str">
        <f t="shared" si="31"/>
        <v>1</v>
      </c>
      <c r="CT160" s="4">
        <f t="shared" si="32"/>
        <v>80.666666666666671</v>
      </c>
      <c r="CU160" s="4">
        <f t="shared" si="33"/>
        <v>1.4972839506172839</v>
      </c>
      <c r="CV160" s="4">
        <v>1</v>
      </c>
    </row>
    <row r="161" spans="1:100" x14ac:dyDescent="0.3">
      <c r="A161" s="15" t="s">
        <v>391</v>
      </c>
      <c r="B161" s="17">
        <v>0</v>
      </c>
      <c r="C161" s="3">
        <v>43</v>
      </c>
      <c r="D161">
        <v>2</v>
      </c>
      <c r="E161">
        <v>1</v>
      </c>
      <c r="F161">
        <v>1</v>
      </c>
      <c r="G161">
        <v>0</v>
      </c>
      <c r="H161">
        <v>1</v>
      </c>
      <c r="I161">
        <v>0</v>
      </c>
      <c r="J161" s="4">
        <v>51.2</v>
      </c>
      <c r="K161" s="4">
        <f t="shared" ref="K161:K183" si="37">L161/100</f>
        <v>1.63</v>
      </c>
      <c r="L161">
        <v>163</v>
      </c>
      <c r="M161" s="4">
        <f t="shared" si="36"/>
        <v>9.6768000000000001</v>
      </c>
      <c r="N161" s="4">
        <v>39.299999999999997</v>
      </c>
      <c r="O161" s="4">
        <v>18.899999999999999</v>
      </c>
      <c r="P161" s="40">
        <v>0</v>
      </c>
      <c r="Q161">
        <v>73.3</v>
      </c>
      <c r="R161" s="37">
        <v>0</v>
      </c>
      <c r="S161">
        <v>85.8</v>
      </c>
      <c r="T161" s="5">
        <f t="shared" si="35"/>
        <v>0.85431235431235431</v>
      </c>
      <c r="U161" s="37">
        <v>0</v>
      </c>
      <c r="V161" s="4">
        <f t="shared" si="26"/>
        <v>19.2705784937333</v>
      </c>
      <c r="W161" s="39">
        <v>0</v>
      </c>
      <c r="X161">
        <v>7</v>
      </c>
      <c r="Y161" s="40">
        <v>0</v>
      </c>
      <c r="Z161">
        <v>6.53</v>
      </c>
      <c r="AA161" s="23">
        <f t="shared" si="28"/>
        <v>1.6799078000000003</v>
      </c>
      <c r="AB161" s="84">
        <v>0</v>
      </c>
      <c r="AC161" s="5">
        <v>5.7883500000000003</v>
      </c>
      <c r="AD161" s="37">
        <v>1</v>
      </c>
      <c r="AE161" s="5">
        <v>3</v>
      </c>
      <c r="AF161" s="5">
        <v>8.3636599999999994</v>
      </c>
      <c r="AG161" s="37">
        <v>1</v>
      </c>
      <c r="AH161" s="5">
        <v>1.6136200000000001</v>
      </c>
      <c r="AI161" s="37">
        <v>0</v>
      </c>
      <c r="AJ161" s="5">
        <v>5.8296799999999998</v>
      </c>
      <c r="AK161" s="37">
        <v>1</v>
      </c>
      <c r="AL161" s="5">
        <v>1.8005199999999999</v>
      </c>
      <c r="AM161" s="37">
        <v>0</v>
      </c>
      <c r="AN161" s="4">
        <f t="shared" si="27"/>
        <v>4.6451358496434363</v>
      </c>
      <c r="AO161" s="37">
        <v>1</v>
      </c>
      <c r="AP161">
        <v>145</v>
      </c>
      <c r="AQ161" s="37">
        <v>1</v>
      </c>
      <c r="AR161">
        <v>85</v>
      </c>
      <c r="AS161" s="37">
        <v>1</v>
      </c>
      <c r="AT161">
        <v>68</v>
      </c>
      <c r="AU161">
        <v>59</v>
      </c>
      <c r="AV161">
        <v>7.3</v>
      </c>
      <c r="AW161" s="37">
        <v>0</v>
      </c>
      <c r="AX161">
        <v>2885</v>
      </c>
      <c r="AY161">
        <v>79.8</v>
      </c>
      <c r="AZ161">
        <v>58.9</v>
      </c>
      <c r="BA161">
        <v>540.29999999999995</v>
      </c>
      <c r="BB161">
        <v>7.5</v>
      </c>
      <c r="BC161">
        <v>424.4</v>
      </c>
      <c r="BD161">
        <v>62.6</v>
      </c>
      <c r="BE161">
        <v>50.4</v>
      </c>
      <c r="BF161">
        <v>169.3</v>
      </c>
      <c r="BG161">
        <v>18.399999999999999</v>
      </c>
      <c r="BH161">
        <v>11.1</v>
      </c>
      <c r="BI161">
        <v>70.2</v>
      </c>
      <c r="BJ161">
        <v>12.8</v>
      </c>
      <c r="BK161">
        <v>6.6</v>
      </c>
      <c r="BL161">
        <v>41.1</v>
      </c>
      <c r="BM161">
        <v>6.9</v>
      </c>
      <c r="BN161">
        <v>2.6</v>
      </c>
      <c r="BO161">
        <v>1.6</v>
      </c>
      <c r="BP161">
        <v>0.28000000000000003</v>
      </c>
      <c r="BQ161">
        <v>0</v>
      </c>
      <c r="BR161">
        <v>407</v>
      </c>
      <c r="BS161">
        <v>326.89999999999998</v>
      </c>
      <c r="BT161">
        <v>5719</v>
      </c>
      <c r="BU161">
        <v>2694</v>
      </c>
      <c r="BV161">
        <v>16.12</v>
      </c>
      <c r="BW161">
        <v>9.31</v>
      </c>
      <c r="BX161">
        <v>1.59</v>
      </c>
      <c r="BY161">
        <v>77.599999999999994</v>
      </c>
      <c r="BZ161">
        <v>24</v>
      </c>
      <c r="CA161">
        <v>0.84</v>
      </c>
      <c r="CB161">
        <v>0.83</v>
      </c>
      <c r="CC161">
        <v>21.3</v>
      </c>
      <c r="CD161">
        <v>0.74</v>
      </c>
      <c r="CE161">
        <v>4.3899999999999997</v>
      </c>
      <c r="CF161">
        <v>268.7</v>
      </c>
      <c r="CG161">
        <v>27.7</v>
      </c>
      <c r="CH161">
        <v>233</v>
      </c>
      <c r="CI161">
        <v>3.15</v>
      </c>
      <c r="CJ161">
        <v>2.2999999999999998</v>
      </c>
      <c r="CK161">
        <v>2</v>
      </c>
      <c r="CL161" s="42" t="str">
        <f t="shared" si="29"/>
        <v>2</v>
      </c>
      <c r="CM161" s="4">
        <v>130.33333333333334</v>
      </c>
      <c r="CN161" s="4">
        <v>2.6066666666666669</v>
      </c>
      <c r="CO161">
        <v>6</v>
      </c>
      <c r="CP161" s="42" t="str">
        <f t="shared" si="30"/>
        <v>1</v>
      </c>
      <c r="CQ161" s="4">
        <v>131</v>
      </c>
      <c r="CR161" s="4">
        <v>1.8796296296296295</v>
      </c>
      <c r="CS161" s="43" t="str">
        <f t="shared" si="31"/>
        <v>2</v>
      </c>
      <c r="CT161" s="4">
        <f t="shared" si="32"/>
        <v>261.33333333333337</v>
      </c>
      <c r="CU161" s="4">
        <f t="shared" si="33"/>
        <v>4.4862962962962962</v>
      </c>
      <c r="CV161" s="4">
        <v>4</v>
      </c>
    </row>
    <row r="162" spans="1:100" x14ac:dyDescent="0.3">
      <c r="A162" s="15" t="s">
        <v>392</v>
      </c>
      <c r="B162" s="17">
        <v>0</v>
      </c>
      <c r="C162" s="3">
        <v>31</v>
      </c>
      <c r="D162">
        <v>3</v>
      </c>
      <c r="E162">
        <v>1</v>
      </c>
      <c r="F162">
        <v>2</v>
      </c>
      <c r="G162">
        <v>0</v>
      </c>
      <c r="H162">
        <v>1</v>
      </c>
      <c r="I162">
        <v>0</v>
      </c>
      <c r="J162" s="4">
        <v>70.5</v>
      </c>
      <c r="K162" s="4">
        <f t="shared" si="37"/>
        <v>1.66</v>
      </c>
      <c r="L162">
        <v>166</v>
      </c>
      <c r="M162" s="4">
        <f t="shared" si="36"/>
        <v>18.682500000000001</v>
      </c>
      <c r="N162" s="4">
        <v>55.3</v>
      </c>
      <c r="O162" s="4">
        <v>26.5</v>
      </c>
      <c r="P162" s="40">
        <v>1</v>
      </c>
      <c r="Q162">
        <v>96.3</v>
      </c>
      <c r="R162" s="37">
        <v>1</v>
      </c>
      <c r="S162">
        <v>97.4</v>
      </c>
      <c r="T162" s="5">
        <f t="shared" si="35"/>
        <v>0.98870636550308</v>
      </c>
      <c r="U162" s="37">
        <v>1</v>
      </c>
      <c r="V162" s="4">
        <f t="shared" si="26"/>
        <v>25.584264769923067</v>
      </c>
      <c r="W162" s="39">
        <v>1</v>
      </c>
      <c r="X162">
        <v>12</v>
      </c>
      <c r="Y162" s="37">
        <v>1</v>
      </c>
      <c r="Z162">
        <v>8.64</v>
      </c>
      <c r="AA162" s="23">
        <f t="shared" si="28"/>
        <v>1.7994239999999999</v>
      </c>
      <c r="AB162" s="84">
        <v>0</v>
      </c>
      <c r="AC162" s="5">
        <v>4.6859999999999999</v>
      </c>
      <c r="AD162" s="37">
        <v>0</v>
      </c>
      <c r="AE162" s="5">
        <v>15.17582</v>
      </c>
      <c r="AF162" s="5">
        <v>7.3399599999999996</v>
      </c>
      <c r="AG162" s="37">
        <v>1</v>
      </c>
      <c r="AH162" s="5">
        <v>0.97997999999999996</v>
      </c>
      <c r="AI162" s="37">
        <v>0</v>
      </c>
      <c r="AJ162" s="5">
        <v>5.1212900000000001</v>
      </c>
      <c r="AK162" s="37">
        <v>1</v>
      </c>
      <c r="AL162" s="5">
        <v>1.7732300000000001</v>
      </c>
      <c r="AM162" s="37">
        <v>0</v>
      </c>
      <c r="AN162" s="4">
        <f t="shared" si="27"/>
        <v>4.1393163887369369</v>
      </c>
      <c r="AO162" s="37">
        <v>1</v>
      </c>
      <c r="AP162">
        <v>147</v>
      </c>
      <c r="AQ162" s="37">
        <v>1</v>
      </c>
      <c r="AR162">
        <v>81</v>
      </c>
      <c r="AS162" s="37">
        <v>0</v>
      </c>
      <c r="AT162">
        <v>89</v>
      </c>
      <c r="AU162">
        <v>66</v>
      </c>
      <c r="AV162">
        <v>6.2</v>
      </c>
      <c r="AW162" s="37">
        <v>0</v>
      </c>
      <c r="AX162">
        <v>2600</v>
      </c>
      <c r="AY162">
        <v>64.7</v>
      </c>
      <c r="AZ162">
        <v>55.3</v>
      </c>
      <c r="BA162">
        <v>489.9</v>
      </c>
      <c r="BB162">
        <v>8.9</v>
      </c>
      <c r="BC162">
        <v>378</v>
      </c>
      <c r="BD162">
        <v>98.2</v>
      </c>
      <c r="BE162">
        <v>86.2</v>
      </c>
      <c r="BF162">
        <v>93.1</v>
      </c>
      <c r="BG162">
        <v>19.100000000000001</v>
      </c>
      <c r="BH162">
        <v>9.9</v>
      </c>
      <c r="BI162">
        <v>70.7</v>
      </c>
      <c r="BJ162">
        <v>13.3</v>
      </c>
      <c r="BK162">
        <v>12.4</v>
      </c>
      <c r="BL162">
        <v>38.5</v>
      </c>
      <c r="BM162">
        <v>6.5</v>
      </c>
      <c r="BN162">
        <v>3.2</v>
      </c>
      <c r="BO162">
        <v>2.5499999999999998</v>
      </c>
      <c r="BP162">
        <v>0.36</v>
      </c>
      <c r="BQ162">
        <v>0.04</v>
      </c>
      <c r="BR162">
        <v>256</v>
      </c>
      <c r="BS162">
        <v>205.4</v>
      </c>
      <c r="BT162">
        <v>4462</v>
      </c>
      <c r="BU162">
        <v>2119</v>
      </c>
      <c r="BV162">
        <v>10.58</v>
      </c>
      <c r="BW162">
        <v>8.25</v>
      </c>
      <c r="BX162">
        <v>1.24</v>
      </c>
      <c r="BY162">
        <v>44.6</v>
      </c>
      <c r="BZ162">
        <v>26</v>
      </c>
      <c r="CA162">
        <v>0.57999999999999996</v>
      </c>
      <c r="CB162">
        <v>0.42</v>
      </c>
      <c r="CC162">
        <v>21</v>
      </c>
      <c r="CD162">
        <v>0.81</v>
      </c>
      <c r="CE162">
        <v>2.42</v>
      </c>
      <c r="CF162">
        <v>219.3</v>
      </c>
      <c r="CG162">
        <v>43.5</v>
      </c>
      <c r="CH162">
        <v>618</v>
      </c>
      <c r="CI162">
        <v>1.41</v>
      </c>
      <c r="CJ162">
        <v>2.4</v>
      </c>
      <c r="CK162">
        <v>1</v>
      </c>
      <c r="CL162" s="42" t="str">
        <f t="shared" si="29"/>
        <v>1</v>
      </c>
      <c r="CM162" s="4">
        <v>13.333333333333334</v>
      </c>
      <c r="CN162" s="4">
        <v>0.26666666666666666</v>
      </c>
      <c r="CO162">
        <v>5</v>
      </c>
      <c r="CP162" s="42" t="str">
        <f t="shared" si="30"/>
        <v>1</v>
      </c>
      <c r="CQ162" s="4">
        <v>71.333333333333329</v>
      </c>
      <c r="CR162" s="4">
        <v>1.0123456790123457</v>
      </c>
      <c r="CS162" s="43" t="str">
        <f t="shared" si="31"/>
        <v>1</v>
      </c>
      <c r="CT162" s="4">
        <f t="shared" si="32"/>
        <v>84.666666666666657</v>
      </c>
      <c r="CU162" s="4">
        <f t="shared" si="33"/>
        <v>1.2790123456790123</v>
      </c>
      <c r="CV162" s="4">
        <v>1</v>
      </c>
    </row>
    <row r="163" spans="1:100" x14ac:dyDescent="0.3">
      <c r="A163" s="15" t="s">
        <v>393</v>
      </c>
      <c r="B163" s="17">
        <v>0</v>
      </c>
      <c r="C163" s="3">
        <v>53</v>
      </c>
      <c r="D163">
        <v>3</v>
      </c>
      <c r="E163">
        <v>1</v>
      </c>
      <c r="F163">
        <v>1</v>
      </c>
      <c r="G163">
        <v>0</v>
      </c>
      <c r="H163">
        <v>1</v>
      </c>
      <c r="I163">
        <v>0</v>
      </c>
      <c r="J163" s="4">
        <v>62.7</v>
      </c>
      <c r="K163" s="4">
        <f t="shared" si="37"/>
        <v>1.57</v>
      </c>
      <c r="L163">
        <v>157</v>
      </c>
      <c r="M163" s="4">
        <f t="shared" si="36"/>
        <v>15.863100000000001</v>
      </c>
      <c r="N163" s="4">
        <v>44.4</v>
      </c>
      <c r="O163" s="4">
        <v>25.3</v>
      </c>
      <c r="P163" s="40">
        <v>1</v>
      </c>
      <c r="Q163">
        <v>84.2</v>
      </c>
      <c r="R163" s="37">
        <v>0</v>
      </c>
      <c r="S163">
        <v>91.3</v>
      </c>
      <c r="T163" s="5">
        <f t="shared" si="35"/>
        <v>0.92223439211391023</v>
      </c>
      <c r="U163" s="37">
        <v>1</v>
      </c>
      <c r="V163" s="4">
        <f t="shared" si="26"/>
        <v>25.437137409225528</v>
      </c>
      <c r="W163" s="39">
        <v>1</v>
      </c>
      <c r="X163">
        <v>13</v>
      </c>
      <c r="Y163" s="37">
        <v>1</v>
      </c>
      <c r="AA163" s="23"/>
      <c r="AB163" s="84"/>
      <c r="AC163" s="5">
        <v>18.5246</v>
      </c>
      <c r="AD163" s="37">
        <v>1</v>
      </c>
      <c r="AE163" s="5">
        <v>13.48305</v>
      </c>
      <c r="AF163" s="5">
        <v>7.0630800000000002</v>
      </c>
      <c r="AG163" s="37">
        <v>1</v>
      </c>
      <c r="AH163" s="5">
        <v>1.5685199999999999</v>
      </c>
      <c r="AI163" s="37">
        <v>0</v>
      </c>
      <c r="AJ163" s="5">
        <v>4.7055999999999996</v>
      </c>
      <c r="AK163" s="37">
        <v>1</v>
      </c>
      <c r="AL163" s="5">
        <v>1.6445099999999999</v>
      </c>
      <c r="AM163" s="37">
        <v>0</v>
      </c>
      <c r="AN163" s="4">
        <f t="shared" si="27"/>
        <v>4.2949449988142367</v>
      </c>
      <c r="AO163" s="37">
        <v>1</v>
      </c>
      <c r="AP163">
        <v>115</v>
      </c>
      <c r="AQ163" s="38">
        <v>0</v>
      </c>
      <c r="AR163">
        <v>84</v>
      </c>
      <c r="AS163" s="37">
        <v>0</v>
      </c>
      <c r="AT163">
        <v>89</v>
      </c>
      <c r="AU163">
        <v>31</v>
      </c>
      <c r="AV163">
        <v>7.2</v>
      </c>
      <c r="AW163" s="37">
        <v>1</v>
      </c>
      <c r="AX163">
        <v>2711</v>
      </c>
      <c r="AY163">
        <v>63.5</v>
      </c>
      <c r="AZ163">
        <v>52.4</v>
      </c>
      <c r="BA163">
        <v>527.70000000000005</v>
      </c>
      <c r="BB163">
        <v>5.8</v>
      </c>
      <c r="BC163">
        <v>424.5</v>
      </c>
      <c r="BD163">
        <v>65.2</v>
      </c>
      <c r="BE163">
        <v>51.5</v>
      </c>
      <c r="BF163">
        <v>121.2</v>
      </c>
      <c r="BG163">
        <v>17.399999999999999</v>
      </c>
      <c r="BH163">
        <v>9.4</v>
      </c>
      <c r="BI163">
        <v>73</v>
      </c>
      <c r="BJ163">
        <v>10.9</v>
      </c>
      <c r="BK163">
        <v>7.1</v>
      </c>
      <c r="BL163">
        <v>32.9</v>
      </c>
      <c r="BM163">
        <v>9.4</v>
      </c>
      <c r="BN163">
        <v>2</v>
      </c>
      <c r="BO163">
        <v>1.56</v>
      </c>
      <c r="BP163">
        <v>0.28000000000000003</v>
      </c>
      <c r="BQ163">
        <v>0.25</v>
      </c>
      <c r="BR163">
        <v>465</v>
      </c>
      <c r="BS163">
        <v>215</v>
      </c>
      <c r="BT163">
        <v>3608</v>
      </c>
      <c r="BU163">
        <v>1900</v>
      </c>
      <c r="BV163">
        <v>12.8</v>
      </c>
      <c r="BW163">
        <v>8.85</v>
      </c>
      <c r="BX163">
        <v>1.49</v>
      </c>
      <c r="BY163">
        <v>7.8</v>
      </c>
      <c r="BZ163">
        <v>45.9</v>
      </c>
      <c r="CA163">
        <v>0.65</v>
      </c>
      <c r="CB163">
        <v>0.71</v>
      </c>
      <c r="CC163">
        <v>22.2</v>
      </c>
      <c r="CD163">
        <v>0.78</v>
      </c>
      <c r="CE163">
        <v>1.98</v>
      </c>
      <c r="CF163">
        <v>193.3</v>
      </c>
      <c r="CG163">
        <v>20.8</v>
      </c>
      <c r="CH163">
        <v>334</v>
      </c>
      <c r="CI163">
        <v>0.86</v>
      </c>
      <c r="CJ163">
        <v>2.4</v>
      </c>
      <c r="CK163">
        <v>1</v>
      </c>
      <c r="CL163" s="42" t="str">
        <f t="shared" si="29"/>
        <v>1</v>
      </c>
      <c r="CM163">
        <v>80</v>
      </c>
      <c r="CN163" s="4">
        <v>1.6</v>
      </c>
      <c r="CO163">
        <v>7</v>
      </c>
      <c r="CP163" s="42" t="str">
        <f t="shared" si="30"/>
        <v>2</v>
      </c>
      <c r="CQ163" s="4">
        <v>184</v>
      </c>
      <c r="CR163" s="4">
        <v>2.7209876543209877</v>
      </c>
      <c r="CS163" s="43" t="str">
        <f t="shared" si="31"/>
        <v>2</v>
      </c>
      <c r="CT163" s="4">
        <f t="shared" si="32"/>
        <v>264</v>
      </c>
      <c r="CU163" s="4">
        <f t="shared" si="33"/>
        <v>4.3209876543209873</v>
      </c>
      <c r="CV163" s="4">
        <v>4</v>
      </c>
    </row>
    <row r="164" spans="1:100" x14ac:dyDescent="0.3">
      <c r="A164" s="15" t="s">
        <v>394</v>
      </c>
      <c r="B164" s="17">
        <v>0</v>
      </c>
      <c r="C164" s="3">
        <v>38</v>
      </c>
      <c r="D164">
        <v>3</v>
      </c>
      <c r="E164">
        <v>1</v>
      </c>
      <c r="F164">
        <v>2</v>
      </c>
      <c r="G164">
        <v>0</v>
      </c>
      <c r="H164">
        <v>0</v>
      </c>
      <c r="I164">
        <v>0</v>
      </c>
      <c r="J164" s="4">
        <v>65.3</v>
      </c>
      <c r="K164" s="4">
        <f t="shared" si="37"/>
        <v>1.66</v>
      </c>
      <c r="L164">
        <v>166</v>
      </c>
      <c r="M164" s="4">
        <f t="shared" si="36"/>
        <v>14.8231</v>
      </c>
      <c r="N164" s="4">
        <v>47.9</v>
      </c>
      <c r="O164" s="4">
        <v>22.7</v>
      </c>
      <c r="P164" s="40">
        <v>0</v>
      </c>
      <c r="Q164">
        <v>84.4</v>
      </c>
      <c r="R164" s="37">
        <v>0</v>
      </c>
      <c r="S164">
        <v>90.6</v>
      </c>
      <c r="T164" s="5">
        <f t="shared" si="35"/>
        <v>0.93156732891832239</v>
      </c>
      <c r="U164" s="37">
        <v>1</v>
      </c>
      <c r="V164" s="4">
        <f t="shared" si="26"/>
        <v>23.697198432283351</v>
      </c>
      <c r="W164" s="39">
        <v>1</v>
      </c>
      <c r="X164">
        <v>10</v>
      </c>
      <c r="Y164" s="37">
        <v>1</v>
      </c>
      <c r="Z164">
        <v>7.95</v>
      </c>
      <c r="AA164" s="23">
        <f t="shared" si="28"/>
        <v>1.6986570666666669</v>
      </c>
      <c r="AB164" s="84">
        <v>0</v>
      </c>
      <c r="AC164" s="5">
        <v>4.8075200000000002</v>
      </c>
      <c r="AD164" s="37">
        <v>0</v>
      </c>
      <c r="AE164" s="5">
        <v>83.079340000000002</v>
      </c>
      <c r="AF164" s="5">
        <v>6.0369900000000003</v>
      </c>
      <c r="AG164" s="37">
        <v>1</v>
      </c>
      <c r="AH164" s="5">
        <v>1.8134699999999999</v>
      </c>
      <c r="AI164" s="37">
        <v>1</v>
      </c>
      <c r="AJ164" s="5">
        <v>3.8928400000000001</v>
      </c>
      <c r="AK164" s="37">
        <v>1</v>
      </c>
      <c r="AL164" s="5">
        <v>1.3198399999999999</v>
      </c>
      <c r="AM164" s="37">
        <v>0</v>
      </c>
      <c r="AN164" s="4">
        <f t="shared" si="27"/>
        <v>4.5740317008122204</v>
      </c>
      <c r="AO164" s="37">
        <v>1</v>
      </c>
      <c r="AP164">
        <v>130</v>
      </c>
      <c r="AQ164" s="37">
        <v>1</v>
      </c>
      <c r="AR164">
        <v>77</v>
      </c>
      <c r="AS164" s="37">
        <v>0</v>
      </c>
      <c r="AT164">
        <v>87</v>
      </c>
      <c r="AU164">
        <v>53</v>
      </c>
      <c r="AV164">
        <v>6.2</v>
      </c>
      <c r="AW164" s="37">
        <v>1</v>
      </c>
      <c r="AX164">
        <v>2217</v>
      </c>
      <c r="AY164">
        <v>54.3</v>
      </c>
      <c r="AZ164">
        <v>49.7</v>
      </c>
      <c r="BA164">
        <v>412.5</v>
      </c>
      <c r="BB164">
        <v>7.2</v>
      </c>
      <c r="BC164">
        <v>350.7</v>
      </c>
      <c r="BD164">
        <v>43.4</v>
      </c>
      <c r="BE164">
        <v>28.1</v>
      </c>
      <c r="BF164">
        <v>60.3</v>
      </c>
      <c r="BG164">
        <v>20.2</v>
      </c>
      <c r="BH164">
        <v>9.8000000000000007</v>
      </c>
      <c r="BI164">
        <v>69.8</v>
      </c>
      <c r="BJ164">
        <v>13.8</v>
      </c>
      <c r="BK164">
        <v>4.8</v>
      </c>
      <c r="BL164">
        <v>34</v>
      </c>
      <c r="BM164">
        <v>6.7</v>
      </c>
      <c r="BN164">
        <v>2.1</v>
      </c>
      <c r="BO164">
        <v>1.52</v>
      </c>
      <c r="BP164">
        <v>0.49</v>
      </c>
      <c r="BQ164">
        <v>0.05</v>
      </c>
      <c r="BR164">
        <v>348</v>
      </c>
      <c r="BS164">
        <v>199</v>
      </c>
      <c r="BT164">
        <v>2494</v>
      </c>
      <c r="BU164">
        <v>2034</v>
      </c>
      <c r="BV164">
        <v>10.47</v>
      </c>
      <c r="BW164">
        <v>7.41</v>
      </c>
      <c r="BX164">
        <v>1.17</v>
      </c>
      <c r="BY164">
        <v>14</v>
      </c>
      <c r="BZ164">
        <v>31.6</v>
      </c>
      <c r="CA164">
        <v>0.57999999999999996</v>
      </c>
      <c r="CB164">
        <v>0.48</v>
      </c>
      <c r="CC164">
        <v>18.399999999999999</v>
      </c>
      <c r="CD164">
        <v>0.61</v>
      </c>
      <c r="CE164">
        <v>1.94</v>
      </c>
      <c r="CF164">
        <v>226.2</v>
      </c>
      <c r="CG164">
        <v>35.6</v>
      </c>
      <c r="CH164">
        <v>320</v>
      </c>
      <c r="CI164">
        <v>3.4</v>
      </c>
      <c r="CJ164">
        <v>1.9</v>
      </c>
      <c r="CK164">
        <v>1</v>
      </c>
      <c r="CL164" s="42" t="str">
        <f t="shared" si="29"/>
        <v>1</v>
      </c>
      <c r="CM164" s="4">
        <v>13.333333333333334</v>
      </c>
      <c r="CN164" s="4">
        <v>0.26666666666666666</v>
      </c>
      <c r="CO164">
        <v>5</v>
      </c>
      <c r="CP164" s="42" t="str">
        <f t="shared" si="30"/>
        <v>1</v>
      </c>
      <c r="CQ164" s="4">
        <v>146.66666666666666</v>
      </c>
      <c r="CR164" s="4">
        <v>1.4506172839506173</v>
      </c>
      <c r="CS164" s="43" t="str">
        <f t="shared" si="31"/>
        <v>2</v>
      </c>
      <c r="CT164" s="4">
        <f t="shared" si="32"/>
        <v>160</v>
      </c>
      <c r="CU164" s="4">
        <f t="shared" si="33"/>
        <v>1.7172839506172839</v>
      </c>
      <c r="CV164" s="4">
        <v>1</v>
      </c>
    </row>
    <row r="165" spans="1:100" x14ac:dyDescent="0.3">
      <c r="A165" s="15" t="s">
        <v>395</v>
      </c>
      <c r="B165" s="17">
        <v>0</v>
      </c>
      <c r="C165" s="3">
        <v>41</v>
      </c>
      <c r="D165">
        <v>1</v>
      </c>
      <c r="E165">
        <v>3</v>
      </c>
      <c r="F165">
        <v>1</v>
      </c>
      <c r="G165">
        <v>0</v>
      </c>
      <c r="H165">
        <v>1</v>
      </c>
      <c r="I165">
        <v>0</v>
      </c>
      <c r="J165" s="4">
        <v>70.2</v>
      </c>
      <c r="K165" s="4">
        <f t="shared" si="37"/>
        <v>1.64</v>
      </c>
      <c r="L165">
        <v>164</v>
      </c>
      <c r="M165" s="4">
        <f t="shared" si="36"/>
        <v>14.882400000000001</v>
      </c>
      <c r="N165" s="4">
        <v>52.4</v>
      </c>
      <c r="O165" s="4">
        <v>21.2</v>
      </c>
      <c r="P165" s="40">
        <v>0</v>
      </c>
      <c r="Q165">
        <v>89</v>
      </c>
      <c r="R165" s="37">
        <v>0</v>
      </c>
      <c r="S165">
        <v>95.3</v>
      </c>
      <c r="T165" s="5">
        <f t="shared" si="35"/>
        <v>0.93389296956977963</v>
      </c>
      <c r="U165" s="37">
        <v>1</v>
      </c>
      <c r="V165" s="4">
        <f t="shared" si="26"/>
        <v>26.100535395597863</v>
      </c>
      <c r="W165" s="39">
        <v>1</v>
      </c>
      <c r="X165">
        <v>11</v>
      </c>
      <c r="Y165" s="37">
        <v>1</v>
      </c>
      <c r="Z165">
        <v>10.67</v>
      </c>
      <c r="AA165" s="23">
        <f t="shared" si="28"/>
        <v>2.6746133333333333</v>
      </c>
      <c r="AB165" s="84">
        <v>0</v>
      </c>
      <c r="AC165" s="5">
        <v>5.64</v>
      </c>
      <c r="AD165" s="37">
        <v>1</v>
      </c>
      <c r="AE165">
        <v>16.239999999999998</v>
      </c>
      <c r="AF165" s="5">
        <v>6.81</v>
      </c>
      <c r="AG165" s="37">
        <v>1</v>
      </c>
      <c r="AH165" s="5">
        <v>1.24</v>
      </c>
      <c r="AI165" s="37">
        <v>0</v>
      </c>
      <c r="AJ165" s="5">
        <v>5.03</v>
      </c>
      <c r="AK165" s="37">
        <v>1</v>
      </c>
      <c r="AL165" s="5">
        <v>1.21</v>
      </c>
      <c r="AM165" s="37">
        <v>0</v>
      </c>
      <c r="AN165" s="4">
        <f t="shared" si="27"/>
        <v>5.6280991735537187</v>
      </c>
      <c r="AO165" s="37">
        <v>1</v>
      </c>
      <c r="AP165">
        <v>129</v>
      </c>
      <c r="AQ165" s="38">
        <v>0</v>
      </c>
      <c r="AR165">
        <v>97</v>
      </c>
      <c r="AS165" s="37">
        <v>1</v>
      </c>
      <c r="AT165">
        <v>69</v>
      </c>
      <c r="AU165">
        <v>32</v>
      </c>
      <c r="AV165">
        <v>6.4</v>
      </c>
      <c r="AW165" s="37">
        <v>1</v>
      </c>
      <c r="AX165">
        <v>2243</v>
      </c>
      <c r="AY165">
        <v>83.4</v>
      </c>
      <c r="AZ165">
        <v>68.900000000000006</v>
      </c>
      <c r="BA165">
        <v>342.2</v>
      </c>
      <c r="BB165">
        <v>4.2</v>
      </c>
      <c r="BC165">
        <v>230.4</v>
      </c>
      <c r="BD165">
        <v>77.5</v>
      </c>
      <c r="BE165">
        <v>49.2</v>
      </c>
      <c r="BF165">
        <v>257.39999999999998</v>
      </c>
      <c r="BG165">
        <v>27.7</v>
      </c>
      <c r="BH165">
        <v>14.9</v>
      </c>
      <c r="BI165">
        <v>57.2</v>
      </c>
      <c r="BJ165">
        <v>13</v>
      </c>
      <c r="BK165">
        <v>8.1999999999999993</v>
      </c>
      <c r="BL165">
        <v>32.299999999999997</v>
      </c>
      <c r="BM165">
        <v>14</v>
      </c>
      <c r="BN165">
        <v>9.1999999999999993</v>
      </c>
      <c r="BO165">
        <v>8.57</v>
      </c>
      <c r="BP165">
        <v>0.64</v>
      </c>
      <c r="BQ165">
        <v>0.44</v>
      </c>
      <c r="BR165">
        <v>701</v>
      </c>
      <c r="BS165">
        <v>547.9</v>
      </c>
      <c r="BT165">
        <v>3364</v>
      </c>
      <c r="BU165">
        <v>5453</v>
      </c>
      <c r="BV165">
        <v>16.3</v>
      </c>
      <c r="BW165">
        <v>7.65</v>
      </c>
      <c r="BX165">
        <v>1.66</v>
      </c>
      <c r="BY165">
        <v>45.4</v>
      </c>
      <c r="BZ165">
        <v>68.8</v>
      </c>
      <c r="CA165">
        <v>0.86</v>
      </c>
      <c r="CB165">
        <v>1.1499999999999999</v>
      </c>
      <c r="CC165">
        <v>56.2</v>
      </c>
      <c r="CD165">
        <v>1.78</v>
      </c>
      <c r="CE165">
        <v>3.7</v>
      </c>
      <c r="CF165">
        <v>202.5</v>
      </c>
      <c r="CG165">
        <v>43.2</v>
      </c>
      <c r="CH165">
        <v>645</v>
      </c>
      <c r="CI165">
        <v>9.07</v>
      </c>
      <c r="CJ165">
        <v>4.5999999999999996</v>
      </c>
      <c r="CK165">
        <v>2</v>
      </c>
      <c r="CL165" s="42" t="str">
        <f t="shared" si="29"/>
        <v>2</v>
      </c>
      <c r="CM165" s="4">
        <v>104.66666666666667</v>
      </c>
      <c r="CN165" s="4">
        <v>2.0933333333333333</v>
      </c>
      <c r="CO165">
        <v>5</v>
      </c>
      <c r="CP165" s="42" t="str">
        <f t="shared" si="30"/>
        <v>1</v>
      </c>
      <c r="CQ165" s="4">
        <v>50.333333333333336</v>
      </c>
      <c r="CR165" s="4">
        <v>0.92839506172839503</v>
      </c>
      <c r="CS165" s="43" t="str">
        <f t="shared" si="31"/>
        <v>2</v>
      </c>
      <c r="CT165" s="4">
        <f t="shared" si="32"/>
        <v>155</v>
      </c>
      <c r="CU165" s="4">
        <f t="shared" si="33"/>
        <v>3.0217283950617282</v>
      </c>
      <c r="CV165" s="4">
        <v>3</v>
      </c>
    </row>
    <row r="166" spans="1:100" x14ac:dyDescent="0.3">
      <c r="A166" s="15" t="s">
        <v>396</v>
      </c>
      <c r="B166" s="17">
        <v>0</v>
      </c>
      <c r="C166" s="3">
        <v>54</v>
      </c>
      <c r="D166">
        <v>2</v>
      </c>
      <c r="E166">
        <v>1</v>
      </c>
      <c r="F166">
        <v>2</v>
      </c>
      <c r="G166">
        <v>0</v>
      </c>
      <c r="H166">
        <v>0</v>
      </c>
      <c r="I166">
        <v>1</v>
      </c>
      <c r="J166" s="4">
        <v>52.2</v>
      </c>
      <c r="K166" s="4">
        <f t="shared" si="37"/>
        <v>1.64</v>
      </c>
      <c r="L166">
        <v>164</v>
      </c>
      <c r="M166" s="4">
        <f t="shared" si="36"/>
        <v>9.0305999999999997</v>
      </c>
      <c r="N166" s="4">
        <v>40.9</v>
      </c>
      <c r="O166" s="4">
        <v>17.3</v>
      </c>
      <c r="P166" s="40">
        <v>0</v>
      </c>
      <c r="Q166">
        <v>72.599999999999994</v>
      </c>
      <c r="R166" s="37">
        <v>0</v>
      </c>
      <c r="S166">
        <v>82.4</v>
      </c>
      <c r="T166" s="5">
        <f t="shared" si="35"/>
        <v>0.88106796116504837</v>
      </c>
      <c r="U166" s="37">
        <v>0</v>
      </c>
      <c r="V166" s="4">
        <f t="shared" si="26"/>
        <v>19.408090422367643</v>
      </c>
      <c r="W166" s="39">
        <v>0</v>
      </c>
      <c r="X166">
        <v>8</v>
      </c>
      <c r="Y166" s="40">
        <v>0</v>
      </c>
      <c r="Z166">
        <v>5.41</v>
      </c>
      <c r="AA166" s="23">
        <f t="shared" si="28"/>
        <v>1.1095140577777778</v>
      </c>
      <c r="AB166" s="84">
        <v>0</v>
      </c>
      <c r="AC166" s="5">
        <v>4.6144299999999996</v>
      </c>
      <c r="AD166" s="37">
        <v>0</v>
      </c>
      <c r="AE166" s="5">
        <v>14.99329</v>
      </c>
      <c r="AF166" s="5">
        <v>6.7702900000000001</v>
      </c>
      <c r="AG166" s="37">
        <v>1</v>
      </c>
      <c r="AH166" s="5">
        <v>1.4897100000000001</v>
      </c>
      <c r="AI166" s="37">
        <v>0</v>
      </c>
      <c r="AJ166" s="5">
        <v>5.0926299999999998</v>
      </c>
      <c r="AK166" s="37">
        <v>1</v>
      </c>
      <c r="AL166" s="5">
        <v>1.0005299999999999</v>
      </c>
      <c r="AM166" s="37">
        <v>0</v>
      </c>
      <c r="AN166" s="4">
        <f t="shared" si="27"/>
        <v>6.7667036470670547</v>
      </c>
      <c r="AO166" s="37">
        <v>1</v>
      </c>
      <c r="AP166">
        <v>154</v>
      </c>
      <c r="AQ166" s="37">
        <v>1</v>
      </c>
      <c r="AR166">
        <v>95</v>
      </c>
      <c r="AS166" s="37">
        <v>1</v>
      </c>
      <c r="AT166">
        <v>73</v>
      </c>
      <c r="AU166">
        <v>59</v>
      </c>
      <c r="AV166">
        <v>8.6999999999999993</v>
      </c>
      <c r="AW166" s="37">
        <v>0</v>
      </c>
      <c r="AX166">
        <v>1866</v>
      </c>
      <c r="AY166">
        <v>56.1</v>
      </c>
      <c r="AZ166">
        <v>53.6</v>
      </c>
      <c r="BA166">
        <v>307.2</v>
      </c>
      <c r="BB166">
        <v>5.6</v>
      </c>
      <c r="BC166">
        <v>243.8</v>
      </c>
      <c r="BD166">
        <v>44.8</v>
      </c>
      <c r="BE166">
        <v>34.5</v>
      </c>
      <c r="BF166">
        <v>127.9</v>
      </c>
      <c r="BG166">
        <v>25.9</v>
      </c>
      <c r="BH166">
        <v>12</v>
      </c>
      <c r="BI166">
        <v>61.7</v>
      </c>
      <c r="BJ166">
        <v>20.6</v>
      </c>
      <c r="BK166">
        <v>6.9</v>
      </c>
      <c r="BL166">
        <v>42.7</v>
      </c>
      <c r="BM166">
        <v>4.9000000000000004</v>
      </c>
      <c r="BN166">
        <v>2.2999999999999998</v>
      </c>
      <c r="BO166">
        <v>1.58</v>
      </c>
      <c r="BP166">
        <v>0.25</v>
      </c>
      <c r="BQ166">
        <v>0</v>
      </c>
      <c r="BR166">
        <v>227</v>
      </c>
      <c r="BS166">
        <v>192.1</v>
      </c>
      <c r="BT166">
        <v>3144</v>
      </c>
      <c r="BU166">
        <v>1628</v>
      </c>
      <c r="BV166">
        <v>10.39</v>
      </c>
      <c r="BW166">
        <v>7.33</v>
      </c>
      <c r="BX166">
        <v>1.55</v>
      </c>
      <c r="BY166">
        <v>108.7</v>
      </c>
      <c r="BZ166">
        <v>65.2</v>
      </c>
      <c r="CA166">
        <v>0.38</v>
      </c>
      <c r="CB166">
        <v>0.47</v>
      </c>
      <c r="CC166">
        <v>26.8</v>
      </c>
      <c r="CD166">
        <v>1.1299999999999999</v>
      </c>
      <c r="CE166">
        <v>4.3899999999999997</v>
      </c>
      <c r="CF166">
        <v>153.19999999999999</v>
      </c>
      <c r="CG166">
        <v>15.8</v>
      </c>
      <c r="CH166">
        <v>167</v>
      </c>
      <c r="CI166">
        <v>4.5599999999999996</v>
      </c>
      <c r="CJ166">
        <v>1.5</v>
      </c>
      <c r="CK166">
        <v>0</v>
      </c>
      <c r="CL166" s="42" t="str">
        <f t="shared" si="29"/>
        <v>1</v>
      </c>
      <c r="CM166">
        <v>0</v>
      </c>
      <c r="CN166" s="4">
        <v>0</v>
      </c>
      <c r="CO166">
        <v>6</v>
      </c>
      <c r="CP166" s="42" t="str">
        <f t="shared" si="30"/>
        <v>1</v>
      </c>
      <c r="CQ166" s="4">
        <v>111</v>
      </c>
      <c r="CR166" s="4">
        <v>1.7</v>
      </c>
      <c r="CS166" s="43" t="str">
        <f t="shared" si="31"/>
        <v>1</v>
      </c>
      <c r="CT166" s="4">
        <f t="shared" si="32"/>
        <v>111</v>
      </c>
      <c r="CU166" s="4">
        <f t="shared" si="33"/>
        <v>1.7</v>
      </c>
      <c r="CV166" s="4">
        <v>1</v>
      </c>
    </row>
    <row r="167" spans="1:100" x14ac:dyDescent="0.3">
      <c r="A167" s="15" t="s">
        <v>397</v>
      </c>
      <c r="B167" s="17">
        <v>0</v>
      </c>
      <c r="C167" s="3">
        <v>44</v>
      </c>
      <c r="D167">
        <v>3</v>
      </c>
      <c r="E167">
        <v>1</v>
      </c>
      <c r="F167">
        <v>2</v>
      </c>
      <c r="G167">
        <v>0</v>
      </c>
      <c r="H167">
        <v>2</v>
      </c>
      <c r="I167">
        <v>1</v>
      </c>
      <c r="J167" s="4">
        <v>52.8</v>
      </c>
      <c r="K167" s="4">
        <f t="shared" si="37"/>
        <v>1.8</v>
      </c>
      <c r="L167">
        <v>180</v>
      </c>
      <c r="M167" s="4">
        <f t="shared" si="36"/>
        <v>8.6591999999999985</v>
      </c>
      <c r="N167" s="4">
        <v>41.8</v>
      </c>
      <c r="O167" s="4">
        <v>16.399999999999999</v>
      </c>
      <c r="P167" s="40">
        <v>0</v>
      </c>
      <c r="Q167">
        <v>67.599999999999994</v>
      </c>
      <c r="R167" s="37">
        <v>0</v>
      </c>
      <c r="S167">
        <v>87.8</v>
      </c>
      <c r="T167" s="5">
        <f t="shared" si="35"/>
        <v>0.76993166287015946</v>
      </c>
      <c r="U167" s="37">
        <v>0</v>
      </c>
      <c r="V167" s="4">
        <f t="shared" si="26"/>
        <v>16.296296296296294</v>
      </c>
      <c r="W167" s="39">
        <v>0</v>
      </c>
      <c r="X167">
        <v>4</v>
      </c>
      <c r="Y167" s="40">
        <v>0</v>
      </c>
      <c r="Z167">
        <v>6.42</v>
      </c>
      <c r="AA167" s="23">
        <f t="shared" si="28"/>
        <v>1.4837333333333333</v>
      </c>
      <c r="AB167" s="84">
        <v>0</v>
      </c>
      <c r="AC167" s="5">
        <v>5.2</v>
      </c>
      <c r="AD167" s="37">
        <v>0</v>
      </c>
      <c r="AE167">
        <v>3</v>
      </c>
      <c r="AF167" s="5">
        <v>6.36</v>
      </c>
      <c r="AG167" s="37">
        <v>1</v>
      </c>
      <c r="AH167" s="5">
        <v>1.1499999999999999</v>
      </c>
      <c r="AI167" s="37">
        <v>0</v>
      </c>
      <c r="AJ167" s="5">
        <v>3.64</v>
      </c>
      <c r="AK167" s="37">
        <v>1</v>
      </c>
      <c r="AL167" s="5">
        <v>2.2000000000000002</v>
      </c>
      <c r="AM167" s="37">
        <v>0</v>
      </c>
      <c r="AN167" s="4">
        <f t="shared" si="27"/>
        <v>2.8909090909090907</v>
      </c>
      <c r="AO167" s="37">
        <v>0</v>
      </c>
      <c r="AP167">
        <v>127</v>
      </c>
      <c r="AQ167" s="38">
        <v>0</v>
      </c>
      <c r="AR167">
        <v>91</v>
      </c>
      <c r="AS167" s="37">
        <v>1</v>
      </c>
      <c r="AT167">
        <v>69</v>
      </c>
      <c r="AU167">
        <v>36</v>
      </c>
      <c r="AV167">
        <v>6.6</v>
      </c>
      <c r="AW167" s="37">
        <v>1</v>
      </c>
      <c r="AX167">
        <v>3862</v>
      </c>
      <c r="AY167">
        <v>92.6</v>
      </c>
      <c r="AZ167">
        <v>98.6</v>
      </c>
      <c r="BA167">
        <v>691</v>
      </c>
      <c r="BB167">
        <v>15.5</v>
      </c>
      <c r="BC167">
        <v>560.20000000000005</v>
      </c>
      <c r="BD167">
        <v>64.099999999999994</v>
      </c>
      <c r="BE167">
        <v>26.7</v>
      </c>
      <c r="BF167">
        <v>123.7</v>
      </c>
      <c r="BG167">
        <v>23</v>
      </c>
      <c r="BH167">
        <v>9.6</v>
      </c>
      <c r="BI167">
        <v>67.099999999999994</v>
      </c>
      <c r="BJ167">
        <v>15.4</v>
      </c>
      <c r="BK167">
        <v>2.6</v>
      </c>
      <c r="BL167">
        <v>66</v>
      </c>
      <c r="BM167">
        <v>14.9</v>
      </c>
      <c r="BN167">
        <v>3.8</v>
      </c>
      <c r="BO167">
        <v>3.2</v>
      </c>
      <c r="BP167">
        <v>0.52</v>
      </c>
      <c r="BQ167">
        <v>0.16</v>
      </c>
      <c r="BR167">
        <v>774</v>
      </c>
      <c r="BS167">
        <v>344.1</v>
      </c>
      <c r="BT167">
        <v>6182</v>
      </c>
      <c r="BU167">
        <v>2857</v>
      </c>
      <c r="BV167">
        <v>29.54</v>
      </c>
      <c r="BW167">
        <v>13.81</v>
      </c>
      <c r="BX167">
        <v>2.25</v>
      </c>
      <c r="BY167">
        <v>30.8</v>
      </c>
      <c r="BZ167">
        <v>83.8</v>
      </c>
      <c r="CA167">
        <v>9.7899999999999991</v>
      </c>
      <c r="CB167">
        <v>8.5299999999999994</v>
      </c>
      <c r="CC167">
        <v>33.4</v>
      </c>
      <c r="CD167">
        <v>3.62</v>
      </c>
      <c r="CE167">
        <v>3.1</v>
      </c>
      <c r="CF167">
        <v>320.3</v>
      </c>
      <c r="CG167">
        <v>76.400000000000006</v>
      </c>
      <c r="CH167">
        <v>264</v>
      </c>
      <c r="CI167">
        <v>7.12</v>
      </c>
      <c r="CJ167">
        <v>3.2</v>
      </c>
      <c r="CK167">
        <v>1</v>
      </c>
      <c r="CL167" s="42" t="str">
        <f t="shared" si="29"/>
        <v>1</v>
      </c>
      <c r="CM167" s="4">
        <v>13.666666666666666</v>
      </c>
      <c r="CN167" s="4">
        <v>0.27333333333333332</v>
      </c>
      <c r="CO167">
        <v>3</v>
      </c>
      <c r="CP167" s="42" t="str">
        <f t="shared" si="30"/>
        <v>1</v>
      </c>
      <c r="CQ167" s="4">
        <v>73.666666666666671</v>
      </c>
      <c r="CR167" s="4">
        <v>1.1296296296296298</v>
      </c>
      <c r="CS167" s="43" t="str">
        <f t="shared" si="31"/>
        <v>1</v>
      </c>
      <c r="CT167" s="4">
        <f t="shared" si="32"/>
        <v>87.333333333333343</v>
      </c>
      <c r="CU167" s="4">
        <f t="shared" si="33"/>
        <v>1.4029629629629632</v>
      </c>
      <c r="CV167" s="4">
        <v>1</v>
      </c>
    </row>
    <row r="168" spans="1:100" x14ac:dyDescent="0.3">
      <c r="A168" s="15" t="s">
        <v>398</v>
      </c>
      <c r="B168" s="17">
        <v>0</v>
      </c>
      <c r="C168" s="3">
        <v>35</v>
      </c>
      <c r="D168">
        <v>3</v>
      </c>
      <c r="E168">
        <v>1</v>
      </c>
      <c r="F168">
        <v>2</v>
      </c>
      <c r="G168">
        <v>0</v>
      </c>
      <c r="H168">
        <v>0</v>
      </c>
      <c r="I168">
        <v>0</v>
      </c>
      <c r="J168" s="4">
        <v>68.900000000000006</v>
      </c>
      <c r="K168" s="4">
        <f t="shared" si="37"/>
        <v>1.63</v>
      </c>
      <c r="L168">
        <v>163</v>
      </c>
      <c r="M168" s="4">
        <f t="shared" si="36"/>
        <v>17.982900000000001</v>
      </c>
      <c r="N168" s="4">
        <v>48.2</v>
      </c>
      <c r="O168" s="4">
        <v>26.1</v>
      </c>
      <c r="P168" s="40">
        <v>1</v>
      </c>
      <c r="Q168">
        <v>90.7</v>
      </c>
      <c r="R168" s="37">
        <v>1</v>
      </c>
      <c r="S168">
        <v>97.3</v>
      </c>
      <c r="T168" s="5">
        <f t="shared" si="35"/>
        <v>0.93216855087358685</v>
      </c>
      <c r="U168" s="37">
        <v>1</v>
      </c>
      <c r="V168" s="4">
        <f t="shared" si="26"/>
        <v>25.932477699574697</v>
      </c>
      <c r="W168" s="39">
        <v>1</v>
      </c>
      <c r="X168">
        <v>11</v>
      </c>
      <c r="Y168" s="37">
        <v>1</v>
      </c>
      <c r="Z168">
        <v>8.1</v>
      </c>
      <c r="AA168" s="23">
        <f t="shared" si="28"/>
        <v>2.1360024000000002</v>
      </c>
      <c r="AB168" s="84">
        <v>0</v>
      </c>
      <c r="AC168" s="5">
        <v>5.9333400000000003</v>
      </c>
      <c r="AD168" s="37">
        <v>1</v>
      </c>
      <c r="AE168" s="5">
        <v>3</v>
      </c>
      <c r="AF168" s="5">
        <v>6.1400899999999998</v>
      </c>
      <c r="AG168" s="37">
        <v>1</v>
      </c>
      <c r="AH168" s="5">
        <v>1.06711</v>
      </c>
      <c r="AI168" s="37">
        <v>0</v>
      </c>
      <c r="AJ168" s="5">
        <v>4.3150000000000004</v>
      </c>
      <c r="AK168" s="37">
        <v>1</v>
      </c>
      <c r="AL168" s="5">
        <v>1.34005</v>
      </c>
      <c r="AM168" s="37">
        <v>0</v>
      </c>
      <c r="AN168" s="4">
        <f t="shared" si="27"/>
        <v>4.5819857468004921</v>
      </c>
      <c r="AO168" s="37">
        <v>1</v>
      </c>
      <c r="AP168">
        <v>138</v>
      </c>
      <c r="AQ168" s="37">
        <v>1</v>
      </c>
      <c r="AR168">
        <v>84</v>
      </c>
      <c r="AS168" s="37">
        <v>0</v>
      </c>
      <c r="AT168">
        <v>81</v>
      </c>
      <c r="AU168">
        <v>54</v>
      </c>
      <c r="AV168">
        <v>6.4</v>
      </c>
      <c r="AW168" s="37">
        <v>1</v>
      </c>
      <c r="AX168">
        <v>4014</v>
      </c>
      <c r="AY168">
        <v>84.4</v>
      </c>
      <c r="AZ168">
        <v>92.5</v>
      </c>
      <c r="BA168">
        <v>753.6</v>
      </c>
      <c r="BB168">
        <v>3.8</v>
      </c>
      <c r="BC168">
        <v>536</v>
      </c>
      <c r="BD168">
        <v>155.9</v>
      </c>
      <c r="BE168">
        <v>141</v>
      </c>
      <c r="BF168">
        <v>380.6</v>
      </c>
      <c r="BG168">
        <v>20.7</v>
      </c>
      <c r="BH168">
        <v>8.4</v>
      </c>
      <c r="BI168">
        <v>70.400000000000006</v>
      </c>
      <c r="BJ168">
        <v>12.7</v>
      </c>
      <c r="BK168">
        <v>13.2</v>
      </c>
      <c r="BL168">
        <v>56.7</v>
      </c>
      <c r="BM168">
        <v>13.7</v>
      </c>
      <c r="BN168">
        <v>4.0999999999999996</v>
      </c>
      <c r="BO168">
        <v>3.13</v>
      </c>
      <c r="BP168">
        <v>0.54</v>
      </c>
      <c r="BQ168">
        <v>1.1100000000000001</v>
      </c>
      <c r="BR168">
        <v>563</v>
      </c>
      <c r="BS168">
        <v>271.10000000000002</v>
      </c>
      <c r="BT168">
        <v>3583</v>
      </c>
      <c r="BU168">
        <v>2376</v>
      </c>
      <c r="BV168">
        <v>22.5</v>
      </c>
      <c r="BW168">
        <v>11.76</v>
      </c>
      <c r="BX168">
        <v>1.97</v>
      </c>
      <c r="BY168">
        <v>17</v>
      </c>
      <c r="BZ168">
        <v>76.8</v>
      </c>
      <c r="CA168">
        <v>1.27</v>
      </c>
      <c r="CB168">
        <v>1.37</v>
      </c>
      <c r="CC168">
        <v>26.2</v>
      </c>
      <c r="CD168">
        <v>1.96</v>
      </c>
      <c r="CE168">
        <v>2.39</v>
      </c>
      <c r="CF168">
        <v>257.3</v>
      </c>
      <c r="CG168">
        <v>25.3</v>
      </c>
      <c r="CH168">
        <v>523</v>
      </c>
      <c r="CI168">
        <v>3.21</v>
      </c>
      <c r="CJ168">
        <v>3.1</v>
      </c>
      <c r="CK168">
        <v>0</v>
      </c>
      <c r="CL168" s="42" t="str">
        <f t="shared" si="29"/>
        <v>1</v>
      </c>
      <c r="CM168">
        <v>0</v>
      </c>
      <c r="CN168" s="4">
        <v>0</v>
      </c>
      <c r="CO168">
        <v>5</v>
      </c>
      <c r="CP168" s="42" t="str">
        <f t="shared" si="30"/>
        <v>1</v>
      </c>
      <c r="CQ168" s="4">
        <v>127</v>
      </c>
      <c r="CR168" s="4">
        <v>1.9074074074074074</v>
      </c>
      <c r="CS168" s="43" t="str">
        <f t="shared" si="31"/>
        <v>1</v>
      </c>
      <c r="CT168" s="4">
        <f t="shared" si="32"/>
        <v>127</v>
      </c>
      <c r="CU168" s="4">
        <f t="shared" si="33"/>
        <v>1.9074074074074074</v>
      </c>
      <c r="CV168" s="4">
        <v>1</v>
      </c>
    </row>
    <row r="169" spans="1:100" x14ac:dyDescent="0.3">
      <c r="A169" s="15" t="s">
        <v>399</v>
      </c>
      <c r="B169" s="17">
        <v>0</v>
      </c>
      <c r="C169" s="3">
        <v>42</v>
      </c>
      <c r="D169">
        <v>3</v>
      </c>
      <c r="E169">
        <v>2</v>
      </c>
      <c r="F169">
        <v>2</v>
      </c>
      <c r="G169">
        <v>0</v>
      </c>
      <c r="H169">
        <v>1</v>
      </c>
      <c r="I169">
        <v>1</v>
      </c>
      <c r="J169" s="4">
        <v>59.2</v>
      </c>
      <c r="K169" s="4">
        <f t="shared" si="37"/>
        <v>1.59</v>
      </c>
      <c r="L169">
        <v>159</v>
      </c>
      <c r="M169" s="4">
        <f t="shared" si="36"/>
        <v>14.859200000000001</v>
      </c>
      <c r="N169" s="4">
        <v>42</v>
      </c>
      <c r="O169" s="4">
        <v>25.1</v>
      </c>
      <c r="P169" s="40">
        <v>1</v>
      </c>
      <c r="Q169">
        <v>90.6</v>
      </c>
      <c r="R169" s="37">
        <v>1</v>
      </c>
      <c r="S169">
        <v>88.8</v>
      </c>
      <c r="T169" s="5">
        <f t="shared" si="35"/>
        <v>1.0202702702702702</v>
      </c>
      <c r="U169" s="37">
        <v>1</v>
      </c>
      <c r="V169" s="4">
        <f t="shared" si="26"/>
        <v>23.416795221708</v>
      </c>
      <c r="W169" s="39">
        <v>1</v>
      </c>
      <c r="X169">
        <v>11</v>
      </c>
      <c r="Y169" s="37">
        <v>1</v>
      </c>
      <c r="AA169" s="23"/>
      <c r="AB169" s="84"/>
      <c r="AC169" s="5">
        <v>7.3478899999999996</v>
      </c>
      <c r="AD169" s="37">
        <v>1</v>
      </c>
      <c r="AE169" s="5">
        <v>16.180800000000001</v>
      </c>
      <c r="AF169" s="5">
        <v>7.9377000000000004</v>
      </c>
      <c r="AG169" s="37">
        <v>1</v>
      </c>
      <c r="AH169" s="5">
        <v>1.2733300000000001</v>
      </c>
      <c r="AI169" s="37">
        <v>0</v>
      </c>
      <c r="AJ169" s="5">
        <v>6.0752800000000002</v>
      </c>
      <c r="AK169" s="37">
        <v>1</v>
      </c>
      <c r="AL169" s="5">
        <v>1.2836399999999999</v>
      </c>
      <c r="AM169" s="37">
        <v>0</v>
      </c>
      <c r="AN169" s="4">
        <f t="shared" si="27"/>
        <v>6.183743105543611</v>
      </c>
      <c r="AO169" s="37">
        <v>1</v>
      </c>
      <c r="AP169">
        <v>109</v>
      </c>
      <c r="AQ169" s="38">
        <v>0</v>
      </c>
      <c r="AR169">
        <v>68</v>
      </c>
      <c r="AS169" s="37">
        <v>0</v>
      </c>
      <c r="AT169">
        <v>84</v>
      </c>
      <c r="AU169">
        <v>41</v>
      </c>
      <c r="AV169">
        <v>5.9</v>
      </c>
      <c r="AW169" s="37">
        <v>1</v>
      </c>
      <c r="AX169">
        <v>3514</v>
      </c>
      <c r="AY169">
        <v>79.2</v>
      </c>
      <c r="AZ169">
        <v>68.2</v>
      </c>
      <c r="BA169">
        <v>686.7</v>
      </c>
      <c r="BB169">
        <v>8</v>
      </c>
      <c r="BC169">
        <v>548.29999999999995</v>
      </c>
      <c r="BD169">
        <v>57.3</v>
      </c>
      <c r="BE169">
        <v>51.5</v>
      </c>
      <c r="BF169">
        <v>159</v>
      </c>
      <c r="BG169">
        <v>17.5</v>
      </c>
      <c r="BH169">
        <v>9</v>
      </c>
      <c r="BI169">
        <v>73.3</v>
      </c>
      <c r="BJ169">
        <v>11.9</v>
      </c>
      <c r="BK169">
        <v>5.5</v>
      </c>
      <c r="BL169">
        <v>46.3</v>
      </c>
      <c r="BM169">
        <v>5</v>
      </c>
      <c r="BN169">
        <v>1.9</v>
      </c>
      <c r="BO169">
        <v>1.59</v>
      </c>
      <c r="BP169">
        <v>0.16</v>
      </c>
      <c r="BQ169">
        <v>0</v>
      </c>
      <c r="BR169">
        <v>551</v>
      </c>
      <c r="BS169">
        <v>336.9</v>
      </c>
      <c r="BT169">
        <v>3783</v>
      </c>
      <c r="BU169">
        <v>2708</v>
      </c>
      <c r="BV169">
        <v>16.64</v>
      </c>
      <c r="BW169">
        <v>11.7</v>
      </c>
      <c r="BX169">
        <v>1.97</v>
      </c>
      <c r="BY169">
        <v>18.3</v>
      </c>
      <c r="BZ169">
        <v>40.5</v>
      </c>
      <c r="CA169">
        <v>0.9</v>
      </c>
      <c r="CB169">
        <v>1.06</v>
      </c>
      <c r="CC169">
        <v>27.7</v>
      </c>
      <c r="CD169">
        <v>0.94</v>
      </c>
      <c r="CE169">
        <v>1.61</v>
      </c>
      <c r="CF169">
        <v>251</v>
      </c>
      <c r="CG169">
        <v>28.7</v>
      </c>
      <c r="CH169">
        <v>314</v>
      </c>
      <c r="CI169">
        <v>1.36</v>
      </c>
      <c r="CJ169">
        <v>1.4</v>
      </c>
      <c r="CK169">
        <v>1</v>
      </c>
      <c r="CL169" s="42" t="str">
        <f t="shared" si="29"/>
        <v>2</v>
      </c>
      <c r="CM169" s="4">
        <v>138.66666666666666</v>
      </c>
      <c r="CN169" s="4">
        <v>2.773333333333333</v>
      </c>
      <c r="CO169">
        <v>4</v>
      </c>
      <c r="CP169" s="42" t="str">
        <f t="shared" si="30"/>
        <v>2</v>
      </c>
      <c r="CQ169" s="4">
        <v>240.33333333333334</v>
      </c>
      <c r="CR169" s="4">
        <v>3.0925925925925926</v>
      </c>
      <c r="CS169" s="43" t="str">
        <f t="shared" si="31"/>
        <v>3</v>
      </c>
      <c r="CT169" s="4">
        <f t="shared" si="32"/>
        <v>379</v>
      </c>
      <c r="CU169" s="4">
        <f t="shared" si="33"/>
        <v>5.8659259259259251</v>
      </c>
      <c r="CV169" s="4">
        <v>4</v>
      </c>
    </row>
    <row r="170" spans="1:100" x14ac:dyDescent="0.3">
      <c r="A170" s="15" t="s">
        <v>400</v>
      </c>
      <c r="B170" s="17">
        <v>0</v>
      </c>
      <c r="C170" s="3">
        <v>34</v>
      </c>
      <c r="D170">
        <v>3</v>
      </c>
      <c r="E170">
        <v>1</v>
      </c>
      <c r="F170">
        <v>2</v>
      </c>
      <c r="G170">
        <v>2</v>
      </c>
      <c r="H170">
        <v>2</v>
      </c>
      <c r="I170">
        <v>1</v>
      </c>
      <c r="J170" s="4">
        <v>79.400000000000006</v>
      </c>
      <c r="K170" s="4">
        <f t="shared" si="37"/>
        <v>1.78</v>
      </c>
      <c r="L170">
        <v>178</v>
      </c>
      <c r="M170" s="4">
        <f t="shared" si="36"/>
        <v>20.961599999999997</v>
      </c>
      <c r="N170" s="4">
        <v>55.4</v>
      </c>
      <c r="O170" s="4">
        <v>26.4</v>
      </c>
      <c r="P170" s="40">
        <v>1</v>
      </c>
      <c r="Q170">
        <v>95.8</v>
      </c>
      <c r="R170" s="37">
        <v>1</v>
      </c>
      <c r="S170">
        <v>98.2</v>
      </c>
      <c r="T170" s="5">
        <f t="shared" si="35"/>
        <v>0.97556008146639506</v>
      </c>
      <c r="U170" s="37">
        <v>1</v>
      </c>
      <c r="V170" s="4">
        <f t="shared" si="26"/>
        <v>25.059967175861633</v>
      </c>
      <c r="W170" s="39">
        <v>1</v>
      </c>
      <c r="X170">
        <v>11</v>
      </c>
      <c r="Y170" s="37">
        <v>1</v>
      </c>
      <c r="Z170">
        <v>12.16</v>
      </c>
      <c r="AA170" s="23">
        <f t="shared" si="28"/>
        <v>2.8535466666666669</v>
      </c>
      <c r="AB170" s="84">
        <v>0</v>
      </c>
      <c r="AC170" s="13">
        <v>5.28</v>
      </c>
      <c r="AD170" s="37">
        <v>0</v>
      </c>
      <c r="AE170">
        <v>3</v>
      </c>
      <c r="AF170" s="5">
        <v>5.42</v>
      </c>
      <c r="AG170" s="37">
        <v>1</v>
      </c>
      <c r="AH170" s="5">
        <v>1.46</v>
      </c>
      <c r="AI170" s="37">
        <v>0</v>
      </c>
      <c r="AJ170" s="5">
        <v>3.58</v>
      </c>
      <c r="AK170" s="37">
        <v>1</v>
      </c>
      <c r="AL170" s="5">
        <v>1.18</v>
      </c>
      <c r="AM170" s="37">
        <v>0</v>
      </c>
      <c r="AN170" s="4">
        <f t="shared" si="27"/>
        <v>4.593220338983051</v>
      </c>
      <c r="AO170" s="37">
        <v>1</v>
      </c>
      <c r="AP170">
        <v>114</v>
      </c>
      <c r="AQ170" s="38">
        <v>0</v>
      </c>
      <c r="AR170">
        <v>76</v>
      </c>
      <c r="AS170" s="37">
        <v>0</v>
      </c>
      <c r="AT170">
        <v>82</v>
      </c>
      <c r="AU170">
        <v>38</v>
      </c>
      <c r="AV170">
        <v>5.4</v>
      </c>
      <c r="AW170" s="37">
        <v>1</v>
      </c>
      <c r="AX170">
        <v>2201</v>
      </c>
      <c r="AY170">
        <v>61.3</v>
      </c>
      <c r="AZ170">
        <v>70</v>
      </c>
      <c r="BA170">
        <v>351.9</v>
      </c>
      <c r="BB170">
        <v>10</v>
      </c>
      <c r="BC170">
        <v>265.2</v>
      </c>
      <c r="BD170">
        <v>60.2</v>
      </c>
      <c r="BE170">
        <v>33</v>
      </c>
      <c r="BF170">
        <v>104.5</v>
      </c>
      <c r="BG170">
        <v>28.6</v>
      </c>
      <c r="BH170">
        <v>11.1</v>
      </c>
      <c r="BI170">
        <v>60</v>
      </c>
      <c r="BJ170">
        <v>21.6</v>
      </c>
      <c r="BK170">
        <v>5.6</v>
      </c>
      <c r="BL170">
        <v>52.9</v>
      </c>
      <c r="BM170">
        <v>6.9</v>
      </c>
      <c r="BN170">
        <v>2.4</v>
      </c>
      <c r="BO170">
        <v>1.89</v>
      </c>
      <c r="BP170">
        <v>0.25</v>
      </c>
      <c r="BQ170">
        <v>0.05</v>
      </c>
      <c r="BR170">
        <v>550</v>
      </c>
      <c r="BS170">
        <v>291</v>
      </c>
      <c r="BT170">
        <v>5952</v>
      </c>
      <c r="BU170">
        <v>2512</v>
      </c>
      <c r="BV170">
        <v>15.62</v>
      </c>
      <c r="BW170">
        <v>8.48</v>
      </c>
      <c r="BX170">
        <v>1.95</v>
      </c>
      <c r="BY170">
        <v>25.6</v>
      </c>
      <c r="BZ170">
        <v>50.6</v>
      </c>
      <c r="CA170">
        <v>0.68</v>
      </c>
      <c r="CB170">
        <v>0.67</v>
      </c>
      <c r="CC170">
        <v>16.5</v>
      </c>
      <c r="CD170">
        <v>1.07</v>
      </c>
      <c r="CE170">
        <v>1.42</v>
      </c>
      <c r="CF170">
        <v>425.3</v>
      </c>
      <c r="CG170">
        <v>137.4</v>
      </c>
      <c r="CH170">
        <v>453</v>
      </c>
      <c r="CI170">
        <v>7.26</v>
      </c>
      <c r="CJ170">
        <v>2.7</v>
      </c>
      <c r="CK170">
        <v>4</v>
      </c>
      <c r="CL170" s="42" t="str">
        <f t="shared" si="29"/>
        <v>2</v>
      </c>
      <c r="CM170">
        <v>116</v>
      </c>
      <c r="CN170" s="4">
        <v>2.3199999999999998</v>
      </c>
      <c r="CO170">
        <v>3</v>
      </c>
      <c r="CP170" s="42" t="str">
        <f t="shared" si="30"/>
        <v>1</v>
      </c>
      <c r="CQ170" s="4">
        <v>89.333333333333329</v>
      </c>
      <c r="CR170" s="4">
        <v>1.5654320987654322</v>
      </c>
      <c r="CS170" s="43" t="str">
        <f t="shared" si="31"/>
        <v>2</v>
      </c>
      <c r="CT170" s="4">
        <f t="shared" si="32"/>
        <v>205.33333333333331</v>
      </c>
      <c r="CU170" s="4">
        <f t="shared" si="33"/>
        <v>3.8854320987654321</v>
      </c>
      <c r="CV170" s="4">
        <v>3</v>
      </c>
    </row>
    <row r="171" spans="1:100" x14ac:dyDescent="0.3">
      <c r="A171" s="15" t="s">
        <v>401</v>
      </c>
      <c r="B171" s="17">
        <v>0</v>
      </c>
      <c r="C171" s="3">
        <v>47</v>
      </c>
      <c r="D171">
        <v>3</v>
      </c>
      <c r="E171">
        <v>1</v>
      </c>
      <c r="F171">
        <v>2</v>
      </c>
      <c r="G171">
        <v>0</v>
      </c>
      <c r="H171">
        <v>0</v>
      </c>
      <c r="I171">
        <v>0</v>
      </c>
      <c r="J171" s="4">
        <v>80.400000000000006</v>
      </c>
      <c r="K171" s="4">
        <f t="shared" si="37"/>
        <v>1.62</v>
      </c>
      <c r="L171">
        <v>162</v>
      </c>
      <c r="M171" s="4">
        <f t="shared" si="36"/>
        <v>25.2456</v>
      </c>
      <c r="N171" s="4">
        <v>52.3</v>
      </c>
      <c r="O171" s="4">
        <v>31.4</v>
      </c>
      <c r="P171" s="40">
        <v>1</v>
      </c>
      <c r="Q171">
        <v>106.4</v>
      </c>
      <c r="R171" s="37">
        <v>1</v>
      </c>
      <c r="S171">
        <v>97.9</v>
      </c>
      <c r="T171" s="5">
        <f t="shared" si="35"/>
        <v>1.0868232890704801</v>
      </c>
      <c r="U171" s="37">
        <v>1</v>
      </c>
      <c r="V171" s="4">
        <f t="shared" si="26"/>
        <v>30.635573845450384</v>
      </c>
      <c r="W171" s="39">
        <v>1</v>
      </c>
      <c r="X171">
        <v>16</v>
      </c>
      <c r="Y171" s="37">
        <v>1</v>
      </c>
      <c r="Z171">
        <v>10.59</v>
      </c>
      <c r="AA171" s="23">
        <f t="shared" si="28"/>
        <v>2.6785639999999997</v>
      </c>
      <c r="AB171" s="84">
        <v>0</v>
      </c>
      <c r="AC171" s="5">
        <v>5.6909999999999998</v>
      </c>
      <c r="AD171" s="37">
        <v>1</v>
      </c>
      <c r="AE171" s="5">
        <v>13.92975</v>
      </c>
      <c r="AF171" s="5">
        <v>5.3703200000000004</v>
      </c>
      <c r="AG171" s="37">
        <v>1</v>
      </c>
      <c r="AH171" s="5">
        <v>1.12256</v>
      </c>
      <c r="AI171" s="37">
        <v>0</v>
      </c>
      <c r="AJ171" s="5">
        <v>3.8011400000000002</v>
      </c>
      <c r="AK171" s="37">
        <v>1</v>
      </c>
      <c r="AL171" s="5">
        <v>1.0589299999999999</v>
      </c>
      <c r="AM171" s="37">
        <v>0</v>
      </c>
      <c r="AN171" s="4">
        <f t="shared" si="27"/>
        <v>5.0714589255191571</v>
      </c>
      <c r="AO171" s="37">
        <v>1</v>
      </c>
      <c r="AP171">
        <v>138</v>
      </c>
      <c r="AQ171" s="37">
        <v>1</v>
      </c>
      <c r="AR171">
        <v>91</v>
      </c>
      <c r="AS171" s="37">
        <v>1</v>
      </c>
      <c r="AT171">
        <v>79</v>
      </c>
      <c r="AU171">
        <v>47</v>
      </c>
      <c r="AV171">
        <v>7.1</v>
      </c>
      <c r="AW171" s="37">
        <v>1</v>
      </c>
      <c r="AX171">
        <v>1841</v>
      </c>
      <c r="AY171">
        <v>43.3</v>
      </c>
      <c r="AZ171">
        <v>48.6</v>
      </c>
      <c r="BA171">
        <v>327.2</v>
      </c>
      <c r="BB171">
        <v>5.9</v>
      </c>
      <c r="BC171">
        <v>264.39999999999998</v>
      </c>
      <c r="BD171">
        <v>33.200000000000003</v>
      </c>
      <c r="BE171">
        <v>27.8</v>
      </c>
      <c r="BF171">
        <v>91.3</v>
      </c>
      <c r="BG171">
        <v>23.7</v>
      </c>
      <c r="BH171">
        <v>9.4</v>
      </c>
      <c r="BI171">
        <v>66.599999999999994</v>
      </c>
      <c r="BJ171">
        <v>17.7</v>
      </c>
      <c r="BK171">
        <v>5.7</v>
      </c>
      <c r="BL171">
        <v>36.299999999999997</v>
      </c>
      <c r="BM171">
        <v>6.3</v>
      </c>
      <c r="BN171">
        <v>2.2999999999999998</v>
      </c>
      <c r="BO171">
        <v>1.8</v>
      </c>
      <c r="BP171">
        <v>0.26</v>
      </c>
      <c r="BQ171">
        <v>0.15</v>
      </c>
      <c r="BR171">
        <v>191</v>
      </c>
      <c r="BS171">
        <v>9569.2999999999993</v>
      </c>
      <c r="BT171">
        <v>1975</v>
      </c>
      <c r="BU171">
        <v>128230</v>
      </c>
      <c r="BV171">
        <v>8.8000000000000007</v>
      </c>
      <c r="BW171">
        <v>6.69</v>
      </c>
      <c r="BX171">
        <v>48.4</v>
      </c>
      <c r="BY171">
        <v>34</v>
      </c>
      <c r="BZ171">
        <v>55.7</v>
      </c>
      <c r="CA171">
        <v>0.41</v>
      </c>
      <c r="CB171">
        <v>94.26</v>
      </c>
      <c r="CC171">
        <v>13.2</v>
      </c>
      <c r="CD171">
        <v>0.78</v>
      </c>
      <c r="CE171">
        <v>1.41</v>
      </c>
      <c r="CF171">
        <v>14203.3</v>
      </c>
      <c r="CG171">
        <v>16.5</v>
      </c>
      <c r="CH171">
        <v>132</v>
      </c>
      <c r="CI171">
        <v>0.72</v>
      </c>
      <c r="CJ171">
        <v>1</v>
      </c>
      <c r="CK171">
        <v>2</v>
      </c>
      <c r="CL171" s="42" t="str">
        <f t="shared" si="29"/>
        <v>1</v>
      </c>
      <c r="CM171">
        <v>78</v>
      </c>
      <c r="CN171" s="4">
        <v>1.56</v>
      </c>
      <c r="CO171">
        <v>7</v>
      </c>
      <c r="CP171" s="42" t="str">
        <f t="shared" si="30"/>
        <v>1</v>
      </c>
      <c r="CQ171" s="4">
        <v>148.66666666666666</v>
      </c>
      <c r="CR171" s="4">
        <v>2.2790123456790123</v>
      </c>
      <c r="CS171" s="43" t="str">
        <f t="shared" si="31"/>
        <v>2</v>
      </c>
      <c r="CT171" s="4">
        <f t="shared" si="32"/>
        <v>226.66666666666666</v>
      </c>
      <c r="CU171" s="4">
        <f t="shared" si="33"/>
        <v>3.8390123456790124</v>
      </c>
      <c r="CV171" s="4">
        <v>3</v>
      </c>
    </row>
    <row r="172" spans="1:100" x14ac:dyDescent="0.3">
      <c r="A172" s="15" t="s">
        <v>402</v>
      </c>
      <c r="B172" s="17">
        <v>0</v>
      </c>
      <c r="C172" s="3">
        <v>33</v>
      </c>
      <c r="D172">
        <v>3</v>
      </c>
      <c r="E172">
        <v>2</v>
      </c>
      <c r="F172">
        <v>2</v>
      </c>
      <c r="G172">
        <v>0</v>
      </c>
      <c r="H172">
        <v>2</v>
      </c>
      <c r="I172">
        <v>1</v>
      </c>
      <c r="J172" s="4">
        <v>54.8</v>
      </c>
      <c r="K172" s="4">
        <f t="shared" si="37"/>
        <v>1.61</v>
      </c>
      <c r="L172">
        <v>161</v>
      </c>
      <c r="M172" s="4">
        <f t="shared" si="36"/>
        <v>10.8504</v>
      </c>
      <c r="N172" s="4">
        <v>41.6</v>
      </c>
      <c r="O172" s="4">
        <v>19.8</v>
      </c>
      <c r="P172" s="40">
        <v>0</v>
      </c>
      <c r="Q172">
        <v>74.900000000000006</v>
      </c>
      <c r="R172" s="37">
        <v>0</v>
      </c>
      <c r="S172">
        <v>85.3</v>
      </c>
      <c r="T172" s="5">
        <f t="shared" si="35"/>
        <v>0.87807737397420882</v>
      </c>
      <c r="U172" s="37">
        <v>0</v>
      </c>
      <c r="V172" s="4">
        <f t="shared" si="26"/>
        <v>21.141159677481575</v>
      </c>
      <c r="W172" s="39">
        <v>0</v>
      </c>
      <c r="X172">
        <v>6</v>
      </c>
      <c r="Y172" s="40">
        <v>0</v>
      </c>
      <c r="Z172">
        <v>8.2100000000000009</v>
      </c>
      <c r="AA172" s="23">
        <f t="shared" si="28"/>
        <v>1.8476440800000002</v>
      </c>
      <c r="AB172" s="84">
        <v>0</v>
      </c>
      <c r="AC172" s="5">
        <v>5.06358</v>
      </c>
      <c r="AD172" s="37">
        <v>0</v>
      </c>
      <c r="AE172" s="5">
        <v>5.7045000000000003</v>
      </c>
      <c r="AF172" s="5">
        <v>8.0194799999999997</v>
      </c>
      <c r="AG172" s="37">
        <v>1</v>
      </c>
      <c r="AH172" s="5">
        <v>1.71722</v>
      </c>
      <c r="AI172" s="37">
        <v>1</v>
      </c>
      <c r="AJ172" s="5">
        <v>4.9211799999999997</v>
      </c>
      <c r="AK172" s="37">
        <v>1</v>
      </c>
      <c r="AL172" s="5">
        <v>2.3177500000000002</v>
      </c>
      <c r="AM172" s="37">
        <v>0</v>
      </c>
      <c r="AN172" s="4">
        <f t="shared" si="27"/>
        <v>3.4600280444396501</v>
      </c>
      <c r="AO172" s="37">
        <v>0</v>
      </c>
      <c r="AP172">
        <v>122</v>
      </c>
      <c r="AQ172" s="38">
        <v>0</v>
      </c>
      <c r="AR172">
        <v>76</v>
      </c>
      <c r="AS172" s="37">
        <v>0</v>
      </c>
      <c r="AT172">
        <v>70</v>
      </c>
      <c r="AU172">
        <v>47</v>
      </c>
      <c r="AV172">
        <v>5.7</v>
      </c>
      <c r="AW172" s="37">
        <v>1</v>
      </c>
      <c r="AX172">
        <v>2561</v>
      </c>
      <c r="AY172">
        <v>90.7</v>
      </c>
      <c r="AZ172">
        <v>58</v>
      </c>
      <c r="BA172">
        <v>445.4</v>
      </c>
      <c r="BB172">
        <v>9.6</v>
      </c>
      <c r="BC172">
        <v>382.6</v>
      </c>
      <c r="BD172">
        <v>37.5</v>
      </c>
      <c r="BE172">
        <v>26.5</v>
      </c>
      <c r="BF172">
        <v>212</v>
      </c>
      <c r="BG172">
        <v>20.399999999999999</v>
      </c>
      <c r="BH172">
        <v>14.2</v>
      </c>
      <c r="BI172">
        <v>65.2</v>
      </c>
      <c r="BJ172">
        <v>13.7</v>
      </c>
      <c r="BK172">
        <v>3.9</v>
      </c>
      <c r="BL172">
        <v>38.9</v>
      </c>
      <c r="BM172">
        <v>7.3</v>
      </c>
      <c r="BN172">
        <v>3.2</v>
      </c>
      <c r="BO172">
        <v>2.8</v>
      </c>
      <c r="BP172">
        <v>0.2</v>
      </c>
      <c r="BQ172">
        <v>0.25</v>
      </c>
      <c r="BR172">
        <v>370</v>
      </c>
      <c r="BS172">
        <v>275.2</v>
      </c>
      <c r="BT172">
        <v>4435</v>
      </c>
      <c r="BU172">
        <v>2441</v>
      </c>
      <c r="BV172">
        <v>14.48</v>
      </c>
      <c r="BW172">
        <v>9.4700000000000006</v>
      </c>
      <c r="BX172">
        <v>1.42</v>
      </c>
      <c r="BY172">
        <v>70.400000000000006</v>
      </c>
      <c r="BZ172">
        <v>27.7</v>
      </c>
      <c r="CA172">
        <v>0.76</v>
      </c>
      <c r="CB172">
        <v>0.6</v>
      </c>
      <c r="CC172">
        <v>32</v>
      </c>
      <c r="CD172">
        <v>1.1599999999999999</v>
      </c>
      <c r="CE172">
        <v>2.99</v>
      </c>
      <c r="CF172">
        <v>281.8</v>
      </c>
      <c r="CG172">
        <v>14.5</v>
      </c>
      <c r="CH172">
        <v>238</v>
      </c>
      <c r="CI172">
        <v>3.04</v>
      </c>
      <c r="CJ172">
        <v>2.2999999999999998</v>
      </c>
      <c r="CK172">
        <v>2</v>
      </c>
      <c r="CL172" s="42" t="str">
        <f t="shared" si="29"/>
        <v>1</v>
      </c>
      <c r="CM172" s="4">
        <v>20.333333333333332</v>
      </c>
      <c r="CN172" s="4">
        <v>0.40666666666666662</v>
      </c>
      <c r="CO172">
        <v>6</v>
      </c>
      <c r="CP172" s="42" t="str">
        <f t="shared" si="30"/>
        <v>1</v>
      </c>
      <c r="CQ172" s="4">
        <v>79</v>
      </c>
      <c r="CR172" s="4">
        <v>1.5222222222222221</v>
      </c>
      <c r="CS172" s="43" t="str">
        <f t="shared" si="31"/>
        <v>1</v>
      </c>
      <c r="CT172" s="4">
        <f t="shared" si="32"/>
        <v>99.333333333333329</v>
      </c>
      <c r="CU172" s="4">
        <f t="shared" si="33"/>
        <v>1.9288888888888889</v>
      </c>
      <c r="CV172" s="4">
        <v>1</v>
      </c>
    </row>
    <row r="173" spans="1:100" x14ac:dyDescent="0.3">
      <c r="A173" s="15" t="s">
        <v>403</v>
      </c>
      <c r="B173" s="17">
        <v>0</v>
      </c>
      <c r="C173" s="3">
        <v>33</v>
      </c>
      <c r="D173">
        <v>3</v>
      </c>
      <c r="E173">
        <v>1</v>
      </c>
      <c r="F173">
        <v>2</v>
      </c>
      <c r="G173">
        <v>0</v>
      </c>
      <c r="H173">
        <v>1</v>
      </c>
      <c r="I173">
        <v>1</v>
      </c>
      <c r="J173" s="4">
        <v>67</v>
      </c>
      <c r="K173" s="4">
        <f t="shared" si="37"/>
        <v>1.73</v>
      </c>
      <c r="L173">
        <v>173</v>
      </c>
      <c r="M173" s="4">
        <f t="shared" si="36"/>
        <v>15.007999999999999</v>
      </c>
      <c r="N173" s="4">
        <v>49.3</v>
      </c>
      <c r="O173" s="4">
        <v>22.4</v>
      </c>
      <c r="P173" s="40">
        <v>0</v>
      </c>
      <c r="Q173">
        <v>84.8</v>
      </c>
      <c r="R173" s="37">
        <v>0</v>
      </c>
      <c r="S173">
        <v>96.3</v>
      </c>
      <c r="T173" s="5">
        <f t="shared" si="35"/>
        <v>0.88058151609553481</v>
      </c>
      <c r="U173" s="37">
        <v>0</v>
      </c>
      <c r="V173" s="4">
        <f t="shared" si="26"/>
        <v>22.386314277122523</v>
      </c>
      <c r="W173" s="39">
        <v>0</v>
      </c>
      <c r="X173">
        <v>9</v>
      </c>
      <c r="Y173" s="40">
        <v>0</v>
      </c>
      <c r="Z173">
        <v>7.14</v>
      </c>
      <c r="AA173" s="23">
        <f t="shared" si="28"/>
        <v>1.6998689866666665</v>
      </c>
      <c r="AB173" s="84">
        <v>0</v>
      </c>
      <c r="AC173" s="5">
        <v>5.3567299999999998</v>
      </c>
      <c r="AD173" s="37">
        <v>0</v>
      </c>
      <c r="AE173" s="5">
        <v>22.14594</v>
      </c>
      <c r="AF173" s="5">
        <v>5.1328500000000004</v>
      </c>
      <c r="AG173" s="37">
        <v>1</v>
      </c>
      <c r="AH173" s="5">
        <v>0.77990000000000004</v>
      </c>
      <c r="AI173" s="37">
        <v>0</v>
      </c>
      <c r="AJ173" s="5">
        <v>3.4622199999999999</v>
      </c>
      <c r="AK173" s="37">
        <v>1</v>
      </c>
      <c r="AL173" s="5">
        <v>1.31613</v>
      </c>
      <c r="AM173" s="37">
        <v>0</v>
      </c>
      <c r="AN173" s="4">
        <f t="shared" si="27"/>
        <v>3.8999566912083155</v>
      </c>
      <c r="AO173" s="37">
        <v>0</v>
      </c>
      <c r="AP173">
        <v>133</v>
      </c>
      <c r="AQ173" s="37">
        <v>1</v>
      </c>
      <c r="AR173">
        <v>81</v>
      </c>
      <c r="AS173" s="37">
        <v>0</v>
      </c>
      <c r="AT173">
        <v>89</v>
      </c>
      <c r="AU173">
        <v>52</v>
      </c>
      <c r="AV173">
        <v>5.9</v>
      </c>
      <c r="AW173" s="37">
        <v>1</v>
      </c>
      <c r="AX173">
        <v>2466</v>
      </c>
      <c r="AY173">
        <v>57.1</v>
      </c>
      <c r="AZ173">
        <v>66.900000000000006</v>
      </c>
      <c r="BA173">
        <v>434.8</v>
      </c>
      <c r="BB173">
        <v>6.8</v>
      </c>
      <c r="BC173">
        <v>353.2</v>
      </c>
      <c r="BD173">
        <v>56.4</v>
      </c>
      <c r="BE173">
        <v>45.8</v>
      </c>
      <c r="BF173">
        <v>237.4</v>
      </c>
      <c r="BG173">
        <v>24.4</v>
      </c>
      <c r="BH173">
        <v>9.3000000000000007</v>
      </c>
      <c r="BI173">
        <v>66.099999999999994</v>
      </c>
      <c r="BJ173">
        <v>16.5</v>
      </c>
      <c r="BK173">
        <v>7</v>
      </c>
      <c r="BL173">
        <v>45.2</v>
      </c>
      <c r="BM173">
        <v>8.6</v>
      </c>
      <c r="BN173">
        <v>1.9</v>
      </c>
      <c r="BO173">
        <v>1.68</v>
      </c>
      <c r="BP173">
        <v>0.13</v>
      </c>
      <c r="BQ173">
        <v>0.05</v>
      </c>
      <c r="BR173">
        <v>317</v>
      </c>
      <c r="BS173">
        <v>187.6</v>
      </c>
      <c r="BT173">
        <v>3029</v>
      </c>
      <c r="BU173">
        <v>1865</v>
      </c>
      <c r="BV173">
        <v>12.65</v>
      </c>
      <c r="BW173">
        <v>8.52</v>
      </c>
      <c r="BX173">
        <v>1.53</v>
      </c>
      <c r="BY173">
        <v>21.1</v>
      </c>
      <c r="BZ173">
        <v>66.599999999999994</v>
      </c>
      <c r="CA173">
        <v>0.54</v>
      </c>
      <c r="CB173">
        <v>0.6</v>
      </c>
      <c r="CC173">
        <v>17.899999999999999</v>
      </c>
      <c r="CD173">
        <v>0.6</v>
      </c>
      <c r="CE173">
        <v>1.1299999999999999</v>
      </c>
      <c r="CF173">
        <v>278</v>
      </c>
      <c r="CG173">
        <v>29.8</v>
      </c>
      <c r="CH173">
        <v>331</v>
      </c>
      <c r="CI173">
        <v>5.83</v>
      </c>
      <c r="CJ173">
        <v>2.2000000000000002</v>
      </c>
      <c r="CK173">
        <v>2</v>
      </c>
      <c r="CL173" s="42" t="str">
        <f t="shared" si="29"/>
        <v>1</v>
      </c>
      <c r="CM173" s="4">
        <v>56.666666666666664</v>
      </c>
      <c r="CN173" s="4">
        <v>1.1333333333333333</v>
      </c>
      <c r="CO173">
        <v>5</v>
      </c>
      <c r="CP173" s="42" t="str">
        <f t="shared" si="30"/>
        <v>1</v>
      </c>
      <c r="CQ173" s="4">
        <v>114.33333333333333</v>
      </c>
      <c r="CR173" s="4">
        <v>2.1111111111111112</v>
      </c>
      <c r="CS173" s="43" t="str">
        <f t="shared" si="31"/>
        <v>2</v>
      </c>
      <c r="CT173" s="4">
        <f t="shared" si="32"/>
        <v>171</v>
      </c>
      <c r="CU173" s="4">
        <f t="shared" si="33"/>
        <v>3.2444444444444445</v>
      </c>
      <c r="CV173" s="4">
        <v>3</v>
      </c>
    </row>
    <row r="174" spans="1:100" x14ac:dyDescent="0.3">
      <c r="A174" s="15" t="s">
        <v>404</v>
      </c>
      <c r="B174" s="17">
        <v>0</v>
      </c>
      <c r="C174" s="3">
        <v>33</v>
      </c>
      <c r="D174">
        <v>3</v>
      </c>
      <c r="E174">
        <v>2</v>
      </c>
      <c r="F174">
        <v>2</v>
      </c>
      <c r="G174">
        <v>0</v>
      </c>
      <c r="H174">
        <v>1</v>
      </c>
      <c r="I174">
        <v>1</v>
      </c>
      <c r="J174" s="4">
        <v>59</v>
      </c>
      <c r="K174" s="4">
        <f t="shared" si="37"/>
        <v>1.66</v>
      </c>
      <c r="L174">
        <v>166</v>
      </c>
      <c r="M174" s="4">
        <f t="shared" si="36"/>
        <v>12.625999999999999</v>
      </c>
      <c r="N174" s="4">
        <v>44</v>
      </c>
      <c r="O174" s="4">
        <v>21.4</v>
      </c>
      <c r="P174" s="40">
        <v>0</v>
      </c>
      <c r="Q174">
        <v>77.599999999999994</v>
      </c>
      <c r="R174" s="37">
        <v>0</v>
      </c>
      <c r="S174">
        <v>88.6</v>
      </c>
      <c r="T174" s="5">
        <f t="shared" si="35"/>
        <v>0.87584650112866813</v>
      </c>
      <c r="U174" s="37">
        <v>0</v>
      </c>
      <c r="V174" s="4">
        <f t="shared" si="26"/>
        <v>21.410944984758313</v>
      </c>
      <c r="W174" s="39">
        <v>0</v>
      </c>
      <c r="X174">
        <v>7</v>
      </c>
      <c r="Y174" s="40">
        <v>0</v>
      </c>
      <c r="Z174">
        <v>8.3000000000000007</v>
      </c>
      <c r="AA174" s="23">
        <f t="shared" si="28"/>
        <v>1.6597676000000001</v>
      </c>
      <c r="AB174" s="84">
        <v>0</v>
      </c>
      <c r="AC174" s="5">
        <v>4.4993699999999999</v>
      </c>
      <c r="AD174" s="37">
        <v>0</v>
      </c>
      <c r="AE174" s="5">
        <v>13.006209999999999</v>
      </c>
      <c r="AF174" s="5">
        <v>8.9298999999999999</v>
      </c>
      <c r="AG174" s="37">
        <v>1</v>
      </c>
      <c r="AH174" s="5">
        <v>2.18486</v>
      </c>
      <c r="AI174" s="37">
        <v>1</v>
      </c>
      <c r="AJ174" s="5">
        <v>5.97675</v>
      </c>
      <c r="AK174" s="37">
        <v>1</v>
      </c>
      <c r="AL174" s="5">
        <v>1.96004</v>
      </c>
      <c r="AM174" s="37">
        <v>0</v>
      </c>
      <c r="AN174" s="4">
        <f t="shared" si="27"/>
        <v>4.5559784494194</v>
      </c>
      <c r="AO174" s="37">
        <v>1</v>
      </c>
      <c r="AP174">
        <v>126</v>
      </c>
      <c r="AQ174" s="38">
        <v>0</v>
      </c>
      <c r="AR174">
        <v>81</v>
      </c>
      <c r="AS174" s="37">
        <v>0</v>
      </c>
      <c r="AT174">
        <v>81</v>
      </c>
      <c r="AU174">
        <v>45</v>
      </c>
      <c r="AV174">
        <v>5.6</v>
      </c>
      <c r="AW174" s="37">
        <v>1</v>
      </c>
      <c r="AX174">
        <v>2011</v>
      </c>
      <c r="AY174">
        <v>43.9</v>
      </c>
      <c r="AZ174">
        <v>32.5</v>
      </c>
      <c r="BA174">
        <v>409.9</v>
      </c>
      <c r="BB174">
        <v>6.7</v>
      </c>
      <c r="BC174">
        <v>361.6</v>
      </c>
      <c r="BD174">
        <v>42</v>
      </c>
      <c r="BE174">
        <v>36</v>
      </c>
      <c r="BF174">
        <v>13.9</v>
      </c>
      <c r="BG174">
        <v>14.6</v>
      </c>
      <c r="BH174">
        <v>8.6999999999999993</v>
      </c>
      <c r="BI174">
        <v>76.400000000000006</v>
      </c>
      <c r="BJ174">
        <v>9.4</v>
      </c>
      <c r="BK174">
        <v>6.7</v>
      </c>
      <c r="BL174">
        <v>21</v>
      </c>
      <c r="BM174">
        <v>3.2</v>
      </c>
      <c r="BN174">
        <v>2.1</v>
      </c>
      <c r="BO174">
        <v>1.97</v>
      </c>
      <c r="BP174">
        <v>0.08</v>
      </c>
      <c r="BQ174">
        <v>0</v>
      </c>
      <c r="BR174">
        <v>176</v>
      </c>
      <c r="BS174">
        <v>151.30000000000001</v>
      </c>
      <c r="BT174">
        <v>2189</v>
      </c>
      <c r="BU174">
        <v>1351</v>
      </c>
      <c r="BV174">
        <v>7.68</v>
      </c>
      <c r="BW174">
        <v>6.84</v>
      </c>
      <c r="BX174">
        <v>1.23</v>
      </c>
      <c r="BY174">
        <v>57.3</v>
      </c>
      <c r="BZ174">
        <v>55.4</v>
      </c>
      <c r="CA174">
        <v>0.5</v>
      </c>
      <c r="CB174">
        <v>0.36</v>
      </c>
      <c r="CC174">
        <v>17.899999999999999</v>
      </c>
      <c r="CD174">
        <v>0.95</v>
      </c>
      <c r="CE174">
        <v>0.92</v>
      </c>
      <c r="CF174">
        <v>96.9</v>
      </c>
      <c r="CG174">
        <v>12.5</v>
      </c>
      <c r="CH174">
        <v>103</v>
      </c>
      <c r="CI174">
        <v>1.92</v>
      </c>
      <c r="CJ174">
        <v>1.1000000000000001</v>
      </c>
      <c r="CK174">
        <v>0</v>
      </c>
      <c r="CL174" s="42" t="str">
        <f t="shared" si="29"/>
        <v>1</v>
      </c>
      <c r="CM174">
        <v>0</v>
      </c>
      <c r="CN174" s="4">
        <v>0</v>
      </c>
      <c r="CO174">
        <v>5</v>
      </c>
      <c r="CP174" s="42" t="str">
        <f t="shared" si="30"/>
        <v>1</v>
      </c>
      <c r="CQ174" s="4">
        <v>107.33333333333333</v>
      </c>
      <c r="CR174" s="4">
        <v>1</v>
      </c>
      <c r="CS174" s="43" t="str">
        <f t="shared" si="31"/>
        <v>1</v>
      </c>
      <c r="CT174" s="4">
        <f t="shared" si="32"/>
        <v>107.33333333333333</v>
      </c>
      <c r="CU174" s="4">
        <f t="shared" si="33"/>
        <v>1</v>
      </c>
      <c r="CV174" s="4">
        <v>1</v>
      </c>
    </row>
    <row r="175" spans="1:100" x14ac:dyDescent="0.3">
      <c r="A175" s="15" t="s">
        <v>405</v>
      </c>
      <c r="B175" s="17">
        <v>0</v>
      </c>
      <c r="C175" s="3">
        <v>35</v>
      </c>
      <c r="D175">
        <v>3</v>
      </c>
      <c r="E175">
        <v>1</v>
      </c>
      <c r="F175">
        <v>2</v>
      </c>
      <c r="G175">
        <v>0</v>
      </c>
      <c r="H175">
        <v>0</v>
      </c>
      <c r="I175">
        <v>1</v>
      </c>
      <c r="J175" s="4">
        <v>65.5</v>
      </c>
      <c r="K175" s="4">
        <f t="shared" si="37"/>
        <v>1.62</v>
      </c>
      <c r="L175">
        <v>162</v>
      </c>
      <c r="M175" s="4">
        <f t="shared" si="36"/>
        <v>16.3095</v>
      </c>
      <c r="N175" s="4">
        <v>46.6</v>
      </c>
      <c r="O175" s="4">
        <v>24.9</v>
      </c>
      <c r="P175" s="40">
        <v>1</v>
      </c>
      <c r="Q175">
        <v>89.4</v>
      </c>
      <c r="R175" s="37">
        <v>0</v>
      </c>
      <c r="S175">
        <v>92.8</v>
      </c>
      <c r="T175" s="5">
        <f t="shared" si="35"/>
        <v>0.96336206896551735</v>
      </c>
      <c r="U175" s="37">
        <v>1</v>
      </c>
      <c r="V175" s="4">
        <f t="shared" si="26"/>
        <v>24.958085657674129</v>
      </c>
      <c r="W175" s="39">
        <v>1</v>
      </c>
      <c r="X175">
        <v>11</v>
      </c>
      <c r="Y175" s="37">
        <v>1</v>
      </c>
      <c r="Z175">
        <v>6.08</v>
      </c>
      <c r="AA175" s="23">
        <f t="shared" si="28"/>
        <v>1.5735580444444446</v>
      </c>
      <c r="AB175" s="84">
        <v>0</v>
      </c>
      <c r="AC175" s="5">
        <v>5.8231999999999999</v>
      </c>
      <c r="AD175" s="37">
        <v>1</v>
      </c>
      <c r="AE175" s="5">
        <v>10.82802</v>
      </c>
      <c r="AF175" s="5">
        <v>7.7925399999999998</v>
      </c>
      <c r="AG175" s="37">
        <v>1</v>
      </c>
      <c r="AH175" s="5">
        <v>2.5644200000000001</v>
      </c>
      <c r="AI175" s="37">
        <v>1</v>
      </c>
      <c r="AJ175" s="5">
        <v>5.22194</v>
      </c>
      <c r="AK175" s="37">
        <v>1</v>
      </c>
      <c r="AL175" s="5">
        <v>1.4049499999999999</v>
      </c>
      <c r="AM175" s="37">
        <v>0</v>
      </c>
      <c r="AN175" s="4">
        <f t="shared" si="27"/>
        <v>5.5464891989038758</v>
      </c>
      <c r="AO175" s="37">
        <v>1</v>
      </c>
      <c r="AP175">
        <v>143</v>
      </c>
      <c r="AQ175" s="37">
        <v>1</v>
      </c>
      <c r="AR175">
        <v>93</v>
      </c>
      <c r="AS175" s="37">
        <v>1</v>
      </c>
      <c r="AT175">
        <v>84</v>
      </c>
      <c r="AU175">
        <v>49</v>
      </c>
      <c r="AV175">
        <v>6.4</v>
      </c>
      <c r="AW175" s="37">
        <v>0</v>
      </c>
      <c r="AX175">
        <v>2846</v>
      </c>
      <c r="AY175">
        <v>62.8</v>
      </c>
      <c r="AZ175">
        <v>59.1</v>
      </c>
      <c r="BA175">
        <v>547.9</v>
      </c>
      <c r="BB175">
        <v>7.1</v>
      </c>
      <c r="BC175">
        <v>452</v>
      </c>
      <c r="BD175">
        <v>54.2</v>
      </c>
      <c r="BE175">
        <v>41.8</v>
      </c>
      <c r="BF175">
        <v>39</v>
      </c>
      <c r="BG175">
        <v>18.7</v>
      </c>
      <c r="BH175">
        <v>8.8000000000000007</v>
      </c>
      <c r="BI175">
        <v>72.2</v>
      </c>
      <c r="BJ175">
        <v>12.3</v>
      </c>
      <c r="BK175">
        <v>5.5</v>
      </c>
      <c r="BL175">
        <v>39</v>
      </c>
      <c r="BM175">
        <v>4.4000000000000004</v>
      </c>
      <c r="BN175">
        <v>3.2</v>
      </c>
      <c r="BO175">
        <v>2.61</v>
      </c>
      <c r="BP175">
        <v>0.34</v>
      </c>
      <c r="BQ175">
        <v>0.06</v>
      </c>
      <c r="BR175">
        <v>403</v>
      </c>
      <c r="BS175">
        <v>256.2</v>
      </c>
      <c r="BT175">
        <v>3771</v>
      </c>
      <c r="BU175">
        <v>2463</v>
      </c>
      <c r="BV175">
        <v>15.35</v>
      </c>
      <c r="BW175">
        <v>9.9</v>
      </c>
      <c r="BX175">
        <v>1.96</v>
      </c>
      <c r="BY175">
        <v>10.8</v>
      </c>
      <c r="BZ175">
        <v>14.8</v>
      </c>
      <c r="CA175">
        <v>0.81</v>
      </c>
      <c r="CB175">
        <v>0.54</v>
      </c>
      <c r="CC175">
        <v>18.7</v>
      </c>
      <c r="CD175">
        <v>0.68</v>
      </c>
      <c r="CE175">
        <v>1.31</v>
      </c>
      <c r="CF175">
        <v>312.39999999999998</v>
      </c>
      <c r="CG175">
        <v>65</v>
      </c>
      <c r="CH175">
        <v>767</v>
      </c>
      <c r="CI175">
        <v>1.1399999999999999</v>
      </c>
      <c r="CJ175">
        <v>2.2000000000000002</v>
      </c>
      <c r="CK175">
        <v>2</v>
      </c>
      <c r="CL175" s="42" t="str">
        <f t="shared" si="29"/>
        <v>1</v>
      </c>
      <c r="CM175">
        <v>62</v>
      </c>
      <c r="CN175" s="4">
        <v>1.24</v>
      </c>
      <c r="CO175">
        <v>6</v>
      </c>
      <c r="CP175" s="42" t="str">
        <f t="shared" si="30"/>
        <v>2</v>
      </c>
      <c r="CQ175" s="4">
        <v>281.33333333333331</v>
      </c>
      <c r="CR175" s="4">
        <v>2.1111111111111112</v>
      </c>
      <c r="CS175" s="43" t="str">
        <f t="shared" si="31"/>
        <v>3</v>
      </c>
      <c r="CT175" s="4">
        <f t="shared" si="32"/>
        <v>343.33333333333331</v>
      </c>
      <c r="CU175" s="4">
        <f t="shared" si="33"/>
        <v>3.3511111111111109</v>
      </c>
      <c r="CV175" s="4">
        <v>3</v>
      </c>
    </row>
    <row r="176" spans="1:100" x14ac:dyDescent="0.3">
      <c r="A176" s="15" t="s">
        <v>406</v>
      </c>
      <c r="B176" s="17">
        <v>0</v>
      </c>
      <c r="C176" s="3">
        <v>34</v>
      </c>
      <c r="D176">
        <v>3</v>
      </c>
      <c r="E176">
        <v>1</v>
      </c>
      <c r="F176">
        <v>1</v>
      </c>
      <c r="G176">
        <v>0</v>
      </c>
      <c r="H176">
        <v>0</v>
      </c>
      <c r="I176">
        <v>0</v>
      </c>
      <c r="J176" s="4">
        <v>57.4</v>
      </c>
      <c r="K176" s="4">
        <f t="shared" si="37"/>
        <v>1.71</v>
      </c>
      <c r="L176">
        <v>171</v>
      </c>
      <c r="M176" s="4">
        <f t="shared" si="36"/>
        <v>9.3561999999999994</v>
      </c>
      <c r="N176" s="4">
        <v>45.5</v>
      </c>
      <c r="O176" s="4">
        <v>16.3</v>
      </c>
      <c r="P176" s="40">
        <v>0</v>
      </c>
      <c r="Q176">
        <v>75.900000000000006</v>
      </c>
      <c r="R176" s="37">
        <v>0</v>
      </c>
      <c r="S176">
        <v>85.6</v>
      </c>
      <c r="T176" s="5">
        <f t="shared" si="35"/>
        <v>0.88668224299065435</v>
      </c>
      <c r="U176" s="37">
        <v>0</v>
      </c>
      <c r="V176" s="4">
        <f t="shared" si="26"/>
        <v>19.629971615197839</v>
      </c>
      <c r="W176" s="39">
        <v>0</v>
      </c>
      <c r="X176">
        <v>5</v>
      </c>
      <c r="Y176" s="40">
        <v>0</v>
      </c>
      <c r="Z176">
        <v>5.58</v>
      </c>
      <c r="AA176" s="23">
        <f t="shared" si="28"/>
        <v>1.43775024</v>
      </c>
      <c r="AB176" s="84">
        <v>0</v>
      </c>
      <c r="AC176" s="5">
        <v>5.7973800000000004</v>
      </c>
      <c r="AD176" s="37">
        <v>1</v>
      </c>
      <c r="AE176" s="5">
        <v>3</v>
      </c>
      <c r="AF176" s="5">
        <v>6.6240800000000002</v>
      </c>
      <c r="AG176" s="37">
        <v>1</v>
      </c>
      <c r="AH176" s="5">
        <v>0.98662000000000005</v>
      </c>
      <c r="AI176" s="37">
        <v>0</v>
      </c>
      <c r="AJ176" s="5">
        <v>4.7640700000000002</v>
      </c>
      <c r="AK176" s="37">
        <v>1</v>
      </c>
      <c r="AL176" s="5">
        <v>1.4115500000000001</v>
      </c>
      <c r="AM176" s="37">
        <v>0</v>
      </c>
      <c r="AN176" s="4">
        <f t="shared" si="27"/>
        <v>4.6927703588254044</v>
      </c>
      <c r="AO176" s="37">
        <v>1</v>
      </c>
      <c r="AP176">
        <v>117</v>
      </c>
      <c r="AQ176" s="38">
        <v>0</v>
      </c>
      <c r="AR176">
        <v>76</v>
      </c>
      <c r="AS176" s="37">
        <v>0</v>
      </c>
      <c r="AT176">
        <v>91</v>
      </c>
      <c r="AU176">
        <v>41</v>
      </c>
      <c r="AV176">
        <v>5.5</v>
      </c>
      <c r="AW176" s="37">
        <v>1</v>
      </c>
      <c r="AX176">
        <v>2231</v>
      </c>
      <c r="AY176">
        <v>44.6</v>
      </c>
      <c r="AZ176">
        <v>48.1</v>
      </c>
      <c r="BA176">
        <v>430.5</v>
      </c>
      <c r="BB176">
        <v>2.2999999999999998</v>
      </c>
      <c r="BC176">
        <v>351.3</v>
      </c>
      <c r="BD176">
        <v>57.3</v>
      </c>
      <c r="BE176">
        <v>50.6</v>
      </c>
      <c r="BF176">
        <v>36.4</v>
      </c>
      <c r="BG176">
        <v>19.399999999999999</v>
      </c>
      <c r="BH176">
        <v>8</v>
      </c>
      <c r="BI176">
        <v>72.3</v>
      </c>
      <c r="BJ176">
        <v>9.6999999999999993</v>
      </c>
      <c r="BK176">
        <v>8.5</v>
      </c>
      <c r="BL176">
        <v>24</v>
      </c>
      <c r="BM176">
        <v>5.0999999999999996</v>
      </c>
      <c r="BN176">
        <v>2.2999999999999998</v>
      </c>
      <c r="BO176">
        <v>1.88</v>
      </c>
      <c r="BP176">
        <v>0.38</v>
      </c>
      <c r="BQ176">
        <v>0.04</v>
      </c>
      <c r="BR176">
        <v>166</v>
      </c>
      <c r="BS176">
        <v>158.4</v>
      </c>
      <c r="BT176">
        <v>3515</v>
      </c>
      <c r="BU176">
        <v>1358</v>
      </c>
      <c r="BV176">
        <v>7.22</v>
      </c>
      <c r="BW176">
        <v>6.84</v>
      </c>
      <c r="BX176">
        <v>1.75</v>
      </c>
      <c r="BY176">
        <v>6</v>
      </c>
      <c r="BZ176">
        <v>12.5</v>
      </c>
      <c r="CA176">
        <v>0.34</v>
      </c>
      <c r="CB176">
        <v>0.28999999999999998</v>
      </c>
      <c r="CC176">
        <v>12.1</v>
      </c>
      <c r="CD176">
        <v>0.3</v>
      </c>
      <c r="CE176">
        <v>1.55</v>
      </c>
      <c r="CF176">
        <v>206.5</v>
      </c>
      <c r="CG176">
        <v>16.3</v>
      </c>
      <c r="CH176">
        <v>178</v>
      </c>
      <c r="CI176">
        <v>2.94</v>
      </c>
      <c r="CJ176">
        <v>1.3</v>
      </c>
      <c r="CK176">
        <v>1</v>
      </c>
      <c r="CL176" s="42" t="str">
        <f t="shared" si="29"/>
        <v>1</v>
      </c>
      <c r="CM176">
        <v>16</v>
      </c>
      <c r="CN176" s="4">
        <v>0.32</v>
      </c>
      <c r="CO176">
        <v>3</v>
      </c>
      <c r="CP176" s="42" t="str">
        <f t="shared" si="30"/>
        <v>2</v>
      </c>
      <c r="CQ176" s="4">
        <v>150</v>
      </c>
      <c r="CR176" s="4">
        <v>1.4814814814814814</v>
      </c>
      <c r="CS176" s="43" t="str">
        <f t="shared" si="31"/>
        <v>2</v>
      </c>
      <c r="CT176" s="4">
        <f t="shared" si="32"/>
        <v>166</v>
      </c>
      <c r="CU176" s="4">
        <f t="shared" si="33"/>
        <v>1.8014814814814815</v>
      </c>
      <c r="CV176" s="4">
        <v>1</v>
      </c>
    </row>
    <row r="177" spans="1:100" x14ac:dyDescent="0.3">
      <c r="A177" s="15" t="s">
        <v>407</v>
      </c>
      <c r="B177" s="17">
        <v>0</v>
      </c>
      <c r="C177" s="3">
        <v>34</v>
      </c>
      <c r="D177">
        <v>3</v>
      </c>
      <c r="E177">
        <v>1</v>
      </c>
      <c r="F177">
        <v>2</v>
      </c>
      <c r="G177">
        <v>0</v>
      </c>
      <c r="H177">
        <v>0</v>
      </c>
      <c r="I177">
        <v>0</v>
      </c>
      <c r="J177" s="4">
        <v>56.6</v>
      </c>
      <c r="K177" s="4">
        <f t="shared" si="37"/>
        <v>1.58</v>
      </c>
      <c r="L177">
        <v>158</v>
      </c>
      <c r="M177" s="4">
        <f t="shared" si="36"/>
        <v>12.112400000000001</v>
      </c>
      <c r="N177" s="4">
        <v>42.2</v>
      </c>
      <c r="O177" s="4">
        <v>21.4</v>
      </c>
      <c r="P177" s="40">
        <v>0</v>
      </c>
      <c r="Q177">
        <v>76.900000000000006</v>
      </c>
      <c r="R177" s="37">
        <v>0</v>
      </c>
      <c r="S177">
        <v>85.2</v>
      </c>
      <c r="T177" s="5">
        <f t="shared" si="35"/>
        <v>0.90258215962441313</v>
      </c>
      <c r="U177" s="37">
        <v>1</v>
      </c>
      <c r="V177" s="4">
        <f t="shared" si="26"/>
        <v>22.672648614004164</v>
      </c>
      <c r="W177" s="39">
        <v>0</v>
      </c>
      <c r="X177">
        <v>8</v>
      </c>
      <c r="Y177" s="40">
        <v>0</v>
      </c>
      <c r="Z177">
        <v>6.16</v>
      </c>
      <c r="AA177" s="23">
        <f t="shared" si="28"/>
        <v>1.4163619555555556</v>
      </c>
      <c r="AB177" s="84">
        <v>0</v>
      </c>
      <c r="AC177" s="5">
        <v>5.1734</v>
      </c>
      <c r="AD177" s="37">
        <v>0</v>
      </c>
      <c r="AE177" s="5">
        <v>1.6113299999999999</v>
      </c>
      <c r="AF177" s="5">
        <v>6.90123</v>
      </c>
      <c r="AG177" s="37">
        <v>1</v>
      </c>
      <c r="AH177" s="5">
        <v>1.72898</v>
      </c>
      <c r="AI177" s="37">
        <v>1</v>
      </c>
      <c r="AJ177" s="5">
        <v>4.8003499999999999</v>
      </c>
      <c r="AK177" s="37">
        <v>1</v>
      </c>
      <c r="AL177" s="5">
        <v>1.31497</v>
      </c>
      <c r="AM177" s="37">
        <v>0</v>
      </c>
      <c r="AN177" s="4">
        <f t="shared" si="27"/>
        <v>5.2482033810657276</v>
      </c>
      <c r="AO177" s="37">
        <v>1</v>
      </c>
      <c r="AP177">
        <v>118</v>
      </c>
      <c r="AQ177" s="38">
        <v>0</v>
      </c>
      <c r="AR177">
        <v>82</v>
      </c>
      <c r="AS177" s="37">
        <v>0</v>
      </c>
      <c r="AT177">
        <v>74</v>
      </c>
      <c r="AU177">
        <v>36</v>
      </c>
      <c r="AV177">
        <v>5.5</v>
      </c>
      <c r="AW177" s="37">
        <v>1</v>
      </c>
      <c r="AX177">
        <v>3122</v>
      </c>
      <c r="AY177">
        <v>111.2</v>
      </c>
      <c r="AZ177">
        <v>76.3</v>
      </c>
      <c r="BA177">
        <v>527.79999999999995</v>
      </c>
      <c r="BB177">
        <v>11.5</v>
      </c>
      <c r="BC177">
        <v>407.5</v>
      </c>
      <c r="BD177">
        <v>84.1</v>
      </c>
      <c r="BE177">
        <v>58.3</v>
      </c>
      <c r="BF177">
        <v>227.9</v>
      </c>
      <c r="BG177">
        <v>22</v>
      </c>
      <c r="BH177">
        <v>14.2</v>
      </c>
      <c r="BI177">
        <v>63.4</v>
      </c>
      <c r="BJ177">
        <v>15.5</v>
      </c>
      <c r="BK177">
        <v>7</v>
      </c>
      <c r="BL177">
        <v>53.9</v>
      </c>
      <c r="BM177">
        <v>8.3000000000000007</v>
      </c>
      <c r="BN177">
        <v>4.3</v>
      </c>
      <c r="BO177">
        <v>2.9</v>
      </c>
      <c r="BP177">
        <v>0.82</v>
      </c>
      <c r="BQ177">
        <v>0</v>
      </c>
      <c r="BR177">
        <v>393</v>
      </c>
      <c r="BS177">
        <v>339.4</v>
      </c>
      <c r="BT177">
        <v>5691</v>
      </c>
      <c r="BU177">
        <v>3313</v>
      </c>
      <c r="BV177">
        <v>17.52</v>
      </c>
      <c r="BW177">
        <v>12.07</v>
      </c>
      <c r="BX177">
        <v>1.75</v>
      </c>
      <c r="BY177">
        <v>50.4</v>
      </c>
      <c r="BZ177">
        <v>40.4</v>
      </c>
      <c r="CA177">
        <v>0.85</v>
      </c>
      <c r="CB177">
        <v>0.88</v>
      </c>
      <c r="CC177">
        <v>38.9</v>
      </c>
      <c r="CD177">
        <v>1.37</v>
      </c>
      <c r="CE177">
        <v>4.3899999999999997</v>
      </c>
      <c r="CF177">
        <v>305.2</v>
      </c>
      <c r="CG177">
        <v>39.799999999999997</v>
      </c>
      <c r="CH177">
        <v>1107</v>
      </c>
      <c r="CI177">
        <v>3.99</v>
      </c>
      <c r="CJ177">
        <v>2.5</v>
      </c>
      <c r="CK177">
        <v>1</v>
      </c>
      <c r="CL177" s="42" t="str">
        <f t="shared" si="29"/>
        <v>1</v>
      </c>
      <c r="CM177">
        <v>32</v>
      </c>
      <c r="CN177" s="4">
        <v>0.64</v>
      </c>
      <c r="CO177">
        <v>4</v>
      </c>
      <c r="CP177" s="42" t="str">
        <f t="shared" si="30"/>
        <v>1</v>
      </c>
      <c r="CQ177" s="4">
        <v>96</v>
      </c>
      <c r="CR177" s="4">
        <v>2.0148148148148146</v>
      </c>
      <c r="CS177" s="43" t="str">
        <f t="shared" si="31"/>
        <v>1</v>
      </c>
      <c r="CT177" s="4">
        <f t="shared" si="32"/>
        <v>128</v>
      </c>
      <c r="CU177" s="4">
        <f t="shared" si="33"/>
        <v>2.6548148148148147</v>
      </c>
      <c r="CV177" s="4">
        <v>2</v>
      </c>
    </row>
    <row r="178" spans="1:100" x14ac:dyDescent="0.3">
      <c r="A178" s="15" t="s">
        <v>408</v>
      </c>
      <c r="B178" s="17">
        <v>0</v>
      </c>
      <c r="C178" s="3">
        <v>45</v>
      </c>
      <c r="D178">
        <v>3</v>
      </c>
      <c r="E178">
        <v>1</v>
      </c>
      <c r="F178">
        <v>2</v>
      </c>
      <c r="G178">
        <v>0</v>
      </c>
      <c r="H178">
        <v>0</v>
      </c>
      <c r="I178">
        <v>1</v>
      </c>
      <c r="J178" s="4">
        <v>64.5</v>
      </c>
      <c r="K178" s="4">
        <f t="shared" si="37"/>
        <v>1.61</v>
      </c>
      <c r="L178">
        <v>161</v>
      </c>
      <c r="M178" s="4">
        <f t="shared" si="36"/>
        <v>16.125</v>
      </c>
      <c r="N178" s="4">
        <v>45.9</v>
      </c>
      <c r="O178" s="4">
        <v>25</v>
      </c>
      <c r="P178" s="40">
        <v>1</v>
      </c>
      <c r="Q178">
        <v>89.3</v>
      </c>
      <c r="R178" s="37">
        <v>0</v>
      </c>
      <c r="S178">
        <v>95.4</v>
      </c>
      <c r="T178" s="5">
        <f t="shared" si="35"/>
        <v>0.93605870020964355</v>
      </c>
      <c r="U178" s="37">
        <v>1</v>
      </c>
      <c r="V178" s="4">
        <f t="shared" si="26"/>
        <v>24.883299255429957</v>
      </c>
      <c r="W178" s="39">
        <v>1</v>
      </c>
      <c r="X178">
        <v>12</v>
      </c>
      <c r="Y178" s="37">
        <v>1</v>
      </c>
      <c r="Z178">
        <v>12.29</v>
      </c>
      <c r="AA178" s="23">
        <f t="shared" si="28"/>
        <v>2.8735877155555558</v>
      </c>
      <c r="AB178" s="84">
        <v>0</v>
      </c>
      <c r="AC178" s="5">
        <v>5.26084</v>
      </c>
      <c r="AD178" s="37">
        <v>0</v>
      </c>
      <c r="AE178" s="5">
        <v>3</v>
      </c>
      <c r="AF178" s="5">
        <v>6.7959500000000004</v>
      </c>
      <c r="AG178" s="37">
        <v>1</v>
      </c>
      <c r="AH178" s="5">
        <v>0.89915999999999996</v>
      </c>
      <c r="AI178" s="37">
        <v>0</v>
      </c>
      <c r="AJ178" s="5">
        <v>5.1051099999999998</v>
      </c>
      <c r="AK178" s="37">
        <v>1</v>
      </c>
      <c r="AL178" s="5">
        <v>1.28213</v>
      </c>
      <c r="AM178" s="37">
        <v>0</v>
      </c>
      <c r="AN178" s="4">
        <f t="shared" si="27"/>
        <v>5.3005155483453317</v>
      </c>
      <c r="AO178" s="37">
        <v>1</v>
      </c>
      <c r="AP178">
        <v>117</v>
      </c>
      <c r="AQ178" s="38">
        <v>0</v>
      </c>
      <c r="AR178">
        <v>78</v>
      </c>
      <c r="AS178" s="37">
        <v>0</v>
      </c>
      <c r="AT178">
        <v>78</v>
      </c>
      <c r="AU178">
        <v>39</v>
      </c>
      <c r="AV178">
        <v>6.4</v>
      </c>
      <c r="AW178" s="37">
        <v>1</v>
      </c>
      <c r="AX178">
        <v>1256</v>
      </c>
      <c r="AY178">
        <v>25.8</v>
      </c>
      <c r="AZ178">
        <v>30.7</v>
      </c>
      <c r="BA178">
        <v>232.4</v>
      </c>
      <c r="BB178">
        <v>3.1</v>
      </c>
      <c r="BC178">
        <v>183.5</v>
      </c>
      <c r="BD178">
        <v>34.9</v>
      </c>
      <c r="BE178">
        <v>28.1</v>
      </c>
      <c r="BF178">
        <v>9.9</v>
      </c>
      <c r="BG178">
        <v>22</v>
      </c>
      <c r="BH178">
        <v>8.1999999999999993</v>
      </c>
      <c r="BI178">
        <v>69.400000000000006</v>
      </c>
      <c r="BJ178">
        <v>17.899999999999999</v>
      </c>
      <c r="BK178">
        <v>8.4</v>
      </c>
      <c r="BL178">
        <v>25</v>
      </c>
      <c r="BM178">
        <v>1.5</v>
      </c>
      <c r="BN178">
        <v>0.6</v>
      </c>
      <c r="BO178">
        <v>0.3</v>
      </c>
      <c r="BP178">
        <v>0.03</v>
      </c>
      <c r="BQ178">
        <v>0</v>
      </c>
      <c r="BR178">
        <v>107</v>
      </c>
      <c r="BS178">
        <v>130.80000000000001</v>
      </c>
      <c r="BT178">
        <v>2721</v>
      </c>
      <c r="BU178">
        <v>1154</v>
      </c>
      <c r="BV178">
        <v>6.57</v>
      </c>
      <c r="BW178">
        <v>4.1399999999999997</v>
      </c>
      <c r="BX178">
        <v>0.81</v>
      </c>
      <c r="BY178">
        <v>5.9</v>
      </c>
      <c r="BZ178">
        <v>4.2</v>
      </c>
      <c r="CA178">
        <v>0.25</v>
      </c>
      <c r="CB178">
        <v>0.18</v>
      </c>
      <c r="CC178">
        <v>8.8000000000000007</v>
      </c>
      <c r="CD178">
        <v>0.28000000000000003</v>
      </c>
      <c r="CE178">
        <v>0.61</v>
      </c>
      <c r="CF178">
        <v>141.19999999999999</v>
      </c>
      <c r="CG178">
        <v>8.8000000000000007</v>
      </c>
      <c r="CH178">
        <v>201</v>
      </c>
      <c r="CI178">
        <v>0.44</v>
      </c>
      <c r="CJ178">
        <v>0.6</v>
      </c>
      <c r="CK178">
        <v>0</v>
      </c>
      <c r="CL178" s="42" t="str">
        <f t="shared" si="29"/>
        <v>1</v>
      </c>
      <c r="CM178">
        <v>0</v>
      </c>
      <c r="CN178" s="4">
        <v>0</v>
      </c>
      <c r="CO178">
        <v>7</v>
      </c>
      <c r="CP178" s="42" t="str">
        <f t="shared" si="30"/>
        <v>1</v>
      </c>
      <c r="CQ178" s="4">
        <v>82.333333333333329</v>
      </c>
      <c r="CR178" s="4">
        <v>1.0308641975308641</v>
      </c>
      <c r="CS178" s="43" t="str">
        <f t="shared" si="31"/>
        <v>1</v>
      </c>
      <c r="CT178" s="4">
        <f t="shared" si="32"/>
        <v>82.333333333333329</v>
      </c>
      <c r="CU178" s="4">
        <f t="shared" si="33"/>
        <v>1.0308641975308641</v>
      </c>
      <c r="CV178" s="4">
        <v>1</v>
      </c>
    </row>
    <row r="179" spans="1:100" x14ac:dyDescent="0.3">
      <c r="A179" s="15" t="s">
        <v>409</v>
      </c>
      <c r="B179" s="17">
        <v>0</v>
      </c>
      <c r="C179" s="3">
        <v>53</v>
      </c>
      <c r="D179">
        <v>3</v>
      </c>
      <c r="E179">
        <v>1</v>
      </c>
      <c r="F179">
        <v>2</v>
      </c>
      <c r="G179">
        <v>0</v>
      </c>
      <c r="H179">
        <v>1</v>
      </c>
      <c r="I179">
        <v>1</v>
      </c>
      <c r="J179" s="4">
        <v>48.8</v>
      </c>
      <c r="K179" s="4">
        <f t="shared" si="37"/>
        <v>1.51</v>
      </c>
      <c r="L179">
        <v>151</v>
      </c>
      <c r="M179" s="4">
        <f t="shared" si="36"/>
        <v>9.1743999999999986</v>
      </c>
      <c r="N179" s="4">
        <v>37.5</v>
      </c>
      <c r="O179" s="4">
        <v>18.8</v>
      </c>
      <c r="P179" s="40">
        <v>0</v>
      </c>
      <c r="Q179">
        <v>78.400000000000006</v>
      </c>
      <c r="R179" s="37">
        <v>0</v>
      </c>
      <c r="S179">
        <v>81.900000000000006</v>
      </c>
      <c r="T179" s="5">
        <f t="shared" si="35"/>
        <v>0.95726495726495731</v>
      </c>
      <c r="U179" s="37">
        <v>1</v>
      </c>
      <c r="V179" s="4">
        <f t="shared" si="26"/>
        <v>21.402570062716546</v>
      </c>
      <c r="W179" s="39">
        <v>0</v>
      </c>
      <c r="X179">
        <v>8</v>
      </c>
      <c r="Y179" s="40">
        <v>0</v>
      </c>
      <c r="Z179">
        <v>6.35</v>
      </c>
      <c r="AA179" s="23">
        <f t="shared" si="28"/>
        <v>1.4467727111111111</v>
      </c>
      <c r="AB179" s="84">
        <v>0</v>
      </c>
      <c r="AC179" s="5">
        <v>5.12636</v>
      </c>
      <c r="AD179" s="37">
        <v>0</v>
      </c>
      <c r="AE179" s="5">
        <v>21.835899999999999</v>
      </c>
      <c r="AF179" s="5">
        <v>5.1559699999999999</v>
      </c>
      <c r="AG179" s="37">
        <v>1</v>
      </c>
      <c r="AH179" s="5">
        <v>1.7926800000000001</v>
      </c>
      <c r="AI179" s="37">
        <v>1</v>
      </c>
      <c r="AJ179" s="5">
        <v>3.36477</v>
      </c>
      <c r="AK179" s="37">
        <v>0</v>
      </c>
      <c r="AL179" s="5">
        <v>0.97633999999999999</v>
      </c>
      <c r="AM179" s="37">
        <v>1</v>
      </c>
      <c r="AN179" s="4">
        <f t="shared" si="27"/>
        <v>5.2809164840117173</v>
      </c>
      <c r="AO179" s="37">
        <v>1</v>
      </c>
      <c r="AP179">
        <v>113</v>
      </c>
      <c r="AQ179" s="38">
        <v>0</v>
      </c>
      <c r="AR179">
        <v>74</v>
      </c>
      <c r="AS179" s="37">
        <v>0</v>
      </c>
      <c r="AT179">
        <v>69</v>
      </c>
      <c r="AU179">
        <v>39</v>
      </c>
      <c r="AV179">
        <v>7.2</v>
      </c>
      <c r="AW179" s="37">
        <v>1</v>
      </c>
      <c r="AX179">
        <v>1445</v>
      </c>
      <c r="AY179">
        <v>32</v>
      </c>
      <c r="AZ179">
        <v>38.6</v>
      </c>
      <c r="BA179">
        <v>257.5</v>
      </c>
      <c r="BB179">
        <v>5.6</v>
      </c>
      <c r="BC179">
        <v>235</v>
      </c>
      <c r="BD179">
        <v>14</v>
      </c>
      <c r="BE179">
        <v>8.5</v>
      </c>
      <c r="BF179">
        <v>19.899999999999999</v>
      </c>
      <c r="BG179">
        <v>24</v>
      </c>
      <c r="BH179">
        <v>8.9</v>
      </c>
      <c r="BI179">
        <v>66.8</v>
      </c>
      <c r="BJ179">
        <v>17.899999999999999</v>
      </c>
      <c r="BK179">
        <v>2.2000000000000002</v>
      </c>
      <c r="BL179">
        <v>28.8</v>
      </c>
      <c r="BM179">
        <v>3</v>
      </c>
      <c r="BN179">
        <v>1.7</v>
      </c>
      <c r="BO179">
        <v>1.03</v>
      </c>
      <c r="BP179">
        <v>0.47</v>
      </c>
      <c r="BQ179">
        <v>0</v>
      </c>
      <c r="BR179">
        <v>191</v>
      </c>
      <c r="BS179">
        <v>127.2</v>
      </c>
      <c r="BT179">
        <v>2488</v>
      </c>
      <c r="BU179">
        <v>1064</v>
      </c>
      <c r="BV179">
        <v>7.07</v>
      </c>
      <c r="BW179">
        <v>4.93</v>
      </c>
      <c r="BX179">
        <v>1.05</v>
      </c>
      <c r="BY179">
        <v>35.6</v>
      </c>
      <c r="BZ179">
        <v>25</v>
      </c>
      <c r="CA179">
        <v>0.25</v>
      </c>
      <c r="CB179">
        <v>0.22</v>
      </c>
      <c r="CC179">
        <v>12.3</v>
      </c>
      <c r="CD179">
        <v>0.48</v>
      </c>
      <c r="CE179">
        <v>3.16</v>
      </c>
      <c r="CF179">
        <v>106.7</v>
      </c>
      <c r="CG179">
        <v>12.7</v>
      </c>
      <c r="CH179">
        <v>71</v>
      </c>
      <c r="CI179">
        <v>3.41</v>
      </c>
      <c r="CJ179">
        <v>1</v>
      </c>
      <c r="CK179">
        <v>0</v>
      </c>
      <c r="CL179" s="42" t="str">
        <f t="shared" si="29"/>
        <v>1</v>
      </c>
      <c r="CM179">
        <v>0</v>
      </c>
      <c r="CN179" s="4">
        <v>0</v>
      </c>
      <c r="CO179">
        <v>3</v>
      </c>
      <c r="CP179" s="42" t="str">
        <f t="shared" si="30"/>
        <v>2</v>
      </c>
      <c r="CQ179" s="4">
        <v>149.33333333333334</v>
      </c>
      <c r="CR179" s="4">
        <v>1.7382716049382716</v>
      </c>
      <c r="CS179" s="43" t="str">
        <f t="shared" si="31"/>
        <v>2</v>
      </c>
      <c r="CT179" s="4">
        <f t="shared" si="32"/>
        <v>149.33333333333334</v>
      </c>
      <c r="CU179" s="4">
        <f t="shared" si="33"/>
        <v>1.7382716049382716</v>
      </c>
      <c r="CV179" s="4">
        <v>1</v>
      </c>
    </row>
    <row r="180" spans="1:100" x14ac:dyDescent="0.3">
      <c r="A180" s="15" t="s">
        <v>410</v>
      </c>
      <c r="B180" s="17">
        <v>0</v>
      </c>
      <c r="C180" s="3">
        <v>48</v>
      </c>
      <c r="D180">
        <v>3</v>
      </c>
      <c r="E180">
        <v>1</v>
      </c>
      <c r="F180">
        <v>2</v>
      </c>
      <c r="G180">
        <v>0</v>
      </c>
      <c r="H180">
        <v>1</v>
      </c>
      <c r="I180">
        <v>0</v>
      </c>
      <c r="J180" s="4">
        <v>62.8</v>
      </c>
      <c r="K180" s="4">
        <f t="shared" si="37"/>
        <v>1.63</v>
      </c>
      <c r="L180">
        <v>163</v>
      </c>
      <c r="M180" s="4">
        <f t="shared" si="36"/>
        <v>13.815999999999999</v>
      </c>
      <c r="N180" s="4">
        <v>46.4</v>
      </c>
      <c r="O180" s="4">
        <v>22</v>
      </c>
      <c r="P180" s="40">
        <v>0</v>
      </c>
      <c r="Q180">
        <v>81.7</v>
      </c>
      <c r="R180" s="37">
        <v>0</v>
      </c>
      <c r="S180">
        <v>85.9</v>
      </c>
      <c r="T180" s="5">
        <f t="shared" si="35"/>
        <v>0.95110593713620484</v>
      </c>
      <c r="U180" s="37">
        <v>1</v>
      </c>
      <c r="V180" s="4">
        <f t="shared" si="26"/>
        <v>23.636568933719751</v>
      </c>
      <c r="W180" s="39">
        <v>1</v>
      </c>
      <c r="X180">
        <v>11</v>
      </c>
      <c r="Y180" s="37">
        <v>1</v>
      </c>
      <c r="Z180">
        <v>5.72</v>
      </c>
      <c r="AA180" s="23">
        <f t="shared" si="28"/>
        <v>1.2385401599999999</v>
      </c>
      <c r="AB180" s="84">
        <v>0</v>
      </c>
      <c r="AC180" s="5">
        <v>4.87188</v>
      </c>
      <c r="AD180" s="37">
        <v>0</v>
      </c>
      <c r="AE180" s="5">
        <v>16.61758</v>
      </c>
      <c r="AF180" s="5">
        <v>6.6802000000000001</v>
      </c>
      <c r="AG180" s="37">
        <v>1</v>
      </c>
      <c r="AH180" s="5">
        <v>1.7501</v>
      </c>
      <c r="AI180" s="37">
        <v>1</v>
      </c>
      <c r="AJ180" s="5">
        <v>4.7577999999999996</v>
      </c>
      <c r="AK180" s="37">
        <v>1</v>
      </c>
      <c r="AL180" s="5">
        <v>1.1268899999999999</v>
      </c>
      <c r="AM180" s="37">
        <v>0</v>
      </c>
      <c r="AN180" s="4">
        <f t="shared" si="27"/>
        <v>5.9279965213996046</v>
      </c>
      <c r="AO180" s="37">
        <v>1</v>
      </c>
      <c r="AP180">
        <v>142</v>
      </c>
      <c r="AQ180" s="37">
        <v>1</v>
      </c>
      <c r="AR180">
        <v>103</v>
      </c>
      <c r="AS180" s="37">
        <v>1</v>
      </c>
      <c r="AT180">
        <v>92</v>
      </c>
      <c r="AU180">
        <v>40</v>
      </c>
      <c r="AV180">
        <v>7.5</v>
      </c>
      <c r="AW180" s="37">
        <v>1</v>
      </c>
      <c r="AX180">
        <v>2700</v>
      </c>
      <c r="AY180">
        <v>60.6</v>
      </c>
      <c r="AZ180">
        <v>64.2</v>
      </c>
      <c r="BA180">
        <v>498.9</v>
      </c>
      <c r="BB180">
        <v>8.6</v>
      </c>
      <c r="BC180">
        <v>417.3</v>
      </c>
      <c r="BD180">
        <v>49.6</v>
      </c>
      <c r="BE180">
        <v>37.700000000000003</v>
      </c>
      <c r="BF180">
        <v>44.5</v>
      </c>
      <c r="BG180">
        <v>21.4</v>
      </c>
      <c r="BH180">
        <v>9</v>
      </c>
      <c r="BI180">
        <v>69.3</v>
      </c>
      <c r="BJ180">
        <v>16.2</v>
      </c>
      <c r="BK180">
        <v>5.2</v>
      </c>
      <c r="BL180">
        <v>48.6</v>
      </c>
      <c r="BM180">
        <v>6.8</v>
      </c>
      <c r="BN180">
        <v>2.7</v>
      </c>
      <c r="BO180">
        <v>2.2799999999999998</v>
      </c>
      <c r="BP180">
        <v>0.15</v>
      </c>
      <c r="BQ180">
        <v>0.15</v>
      </c>
      <c r="BR180">
        <v>374</v>
      </c>
      <c r="BS180">
        <v>248.5</v>
      </c>
      <c r="BT180">
        <v>4106</v>
      </c>
      <c r="BU180">
        <v>2145</v>
      </c>
      <c r="BV180">
        <v>13.72</v>
      </c>
      <c r="BW180">
        <v>10.039999999999999</v>
      </c>
      <c r="BX180">
        <v>2.25</v>
      </c>
      <c r="BY180">
        <v>39.1</v>
      </c>
      <c r="BZ180">
        <v>67.099999999999994</v>
      </c>
      <c r="CA180">
        <v>0.59</v>
      </c>
      <c r="CB180">
        <v>0.51</v>
      </c>
      <c r="CC180">
        <v>22.3</v>
      </c>
      <c r="CD180">
        <v>1.18</v>
      </c>
      <c r="CE180">
        <v>1.6</v>
      </c>
      <c r="CF180">
        <v>279.3</v>
      </c>
      <c r="CG180">
        <v>21</v>
      </c>
      <c r="CH180">
        <v>196</v>
      </c>
      <c r="CI180">
        <v>2.83</v>
      </c>
      <c r="CJ180">
        <v>1.8</v>
      </c>
      <c r="CK180">
        <v>2</v>
      </c>
      <c r="CL180" s="42" t="str">
        <f t="shared" si="29"/>
        <v>1</v>
      </c>
      <c r="CM180" s="4">
        <v>31.666666666666668</v>
      </c>
      <c r="CN180" s="4">
        <v>0.6333333333333333</v>
      </c>
      <c r="CO180">
        <v>6</v>
      </c>
      <c r="CP180" s="42" t="str">
        <f t="shared" si="30"/>
        <v>1</v>
      </c>
      <c r="CQ180" s="4">
        <v>145</v>
      </c>
      <c r="CR180" s="4">
        <v>2.1555555555555554</v>
      </c>
      <c r="CS180" s="43" t="str">
        <f t="shared" si="31"/>
        <v>2</v>
      </c>
      <c r="CT180" s="4">
        <f t="shared" si="32"/>
        <v>176.66666666666666</v>
      </c>
      <c r="CU180" s="4">
        <f t="shared" si="33"/>
        <v>2.7888888888888888</v>
      </c>
      <c r="CV180" s="4">
        <v>2</v>
      </c>
    </row>
    <row r="181" spans="1:100" x14ac:dyDescent="0.3">
      <c r="A181" s="15" t="s">
        <v>411</v>
      </c>
      <c r="B181" s="17">
        <v>0</v>
      </c>
      <c r="C181" s="3">
        <v>33</v>
      </c>
      <c r="D181">
        <v>3</v>
      </c>
      <c r="E181">
        <v>2</v>
      </c>
      <c r="F181">
        <v>2</v>
      </c>
      <c r="G181">
        <v>0</v>
      </c>
      <c r="H181">
        <v>1</v>
      </c>
      <c r="I181">
        <v>0</v>
      </c>
      <c r="J181" s="4">
        <v>60.2</v>
      </c>
      <c r="K181" s="4">
        <f t="shared" si="37"/>
        <v>1.69</v>
      </c>
      <c r="L181">
        <v>169</v>
      </c>
      <c r="M181" s="4">
        <f t="shared" si="36"/>
        <v>11.979800000000001</v>
      </c>
      <c r="N181" s="4">
        <v>45.7</v>
      </c>
      <c r="O181" s="4">
        <v>19.899999999999999</v>
      </c>
      <c r="P181" s="40">
        <v>0</v>
      </c>
      <c r="Q181">
        <v>86.3</v>
      </c>
      <c r="R181" s="37">
        <v>0</v>
      </c>
      <c r="S181">
        <v>88.7</v>
      </c>
      <c r="T181" s="5">
        <f t="shared" si="35"/>
        <v>0.97294250281848926</v>
      </c>
      <c r="U181" s="37">
        <v>1</v>
      </c>
      <c r="V181" s="4">
        <f t="shared" si="26"/>
        <v>21.077693358075702</v>
      </c>
      <c r="W181" s="39">
        <v>0</v>
      </c>
      <c r="X181">
        <v>7</v>
      </c>
      <c r="Y181" s="40">
        <v>0</v>
      </c>
      <c r="Z181">
        <v>6.18</v>
      </c>
      <c r="AA181" s="23">
        <f t="shared" si="28"/>
        <v>1.3032274133333335</v>
      </c>
      <c r="AB181" s="84">
        <v>0</v>
      </c>
      <c r="AC181" s="5">
        <v>4.7447600000000003</v>
      </c>
      <c r="AD181" s="37">
        <v>0</v>
      </c>
      <c r="AE181" s="5">
        <v>3</v>
      </c>
      <c r="AF181" s="5">
        <v>5.4392199999999997</v>
      </c>
      <c r="AG181" s="37">
        <v>1</v>
      </c>
      <c r="AH181" s="5">
        <v>0.91849999999999998</v>
      </c>
      <c r="AI181" s="37">
        <v>0</v>
      </c>
      <c r="AJ181" s="5">
        <v>3.9803999999999999</v>
      </c>
      <c r="AK181" s="37">
        <v>1</v>
      </c>
      <c r="AL181" s="5">
        <v>1.04131</v>
      </c>
      <c r="AM181" s="37">
        <v>0</v>
      </c>
      <c r="AN181" s="4">
        <f t="shared" si="27"/>
        <v>5.2234397057552506</v>
      </c>
      <c r="AO181" s="37">
        <v>1</v>
      </c>
      <c r="AP181">
        <v>125</v>
      </c>
      <c r="AQ181" s="38">
        <v>0</v>
      </c>
      <c r="AR181">
        <v>79</v>
      </c>
      <c r="AS181" s="37">
        <v>0</v>
      </c>
      <c r="AT181">
        <v>76</v>
      </c>
      <c r="AU181">
        <v>46</v>
      </c>
      <c r="AV181">
        <v>5.6</v>
      </c>
      <c r="AW181" s="37">
        <v>1</v>
      </c>
      <c r="AX181">
        <v>2020</v>
      </c>
      <c r="AY181">
        <v>43.4</v>
      </c>
      <c r="AZ181">
        <v>44.7</v>
      </c>
      <c r="BA181">
        <v>383.5</v>
      </c>
      <c r="BB181">
        <v>8.8000000000000007</v>
      </c>
      <c r="BC181">
        <v>350.5</v>
      </c>
      <c r="BD181">
        <v>22.6</v>
      </c>
      <c r="BE181">
        <v>16.899999999999999</v>
      </c>
      <c r="BF181">
        <v>7.4</v>
      </c>
      <c r="BG181">
        <v>19.899999999999999</v>
      </c>
      <c r="BH181">
        <v>8.6</v>
      </c>
      <c r="BI181">
        <v>71.2</v>
      </c>
      <c r="BJ181">
        <v>14.6</v>
      </c>
      <c r="BK181">
        <v>3.1</v>
      </c>
      <c r="BL181">
        <v>32.9</v>
      </c>
      <c r="BM181">
        <v>6.4</v>
      </c>
      <c r="BN181">
        <v>2.2000000000000002</v>
      </c>
      <c r="BO181">
        <v>1.9</v>
      </c>
      <c r="BP181">
        <v>0.08</v>
      </c>
      <c r="BQ181">
        <v>0</v>
      </c>
      <c r="BR181">
        <v>258</v>
      </c>
      <c r="BS181">
        <v>140.1</v>
      </c>
      <c r="BT181">
        <v>2791</v>
      </c>
      <c r="BU181">
        <v>1307</v>
      </c>
      <c r="BV181">
        <v>10.79</v>
      </c>
      <c r="BW181">
        <v>8.0500000000000007</v>
      </c>
      <c r="BX181">
        <v>1.71</v>
      </c>
      <c r="BY181">
        <v>43.9</v>
      </c>
      <c r="BZ181">
        <v>60.7</v>
      </c>
      <c r="CA181">
        <v>0.43</v>
      </c>
      <c r="CB181">
        <v>0.27</v>
      </c>
      <c r="CC181">
        <v>13.1</v>
      </c>
      <c r="CD181">
        <v>0.79</v>
      </c>
      <c r="CE181">
        <v>0.56000000000000005</v>
      </c>
      <c r="CF181">
        <v>154.6</v>
      </c>
      <c r="CG181">
        <v>9.3000000000000007</v>
      </c>
      <c r="CH181">
        <v>100</v>
      </c>
      <c r="CI181">
        <v>0.79</v>
      </c>
      <c r="CJ181">
        <v>1.4</v>
      </c>
      <c r="CK181">
        <v>0</v>
      </c>
      <c r="CL181" s="42" t="str">
        <f t="shared" si="29"/>
        <v>1</v>
      </c>
      <c r="CM181">
        <v>0</v>
      </c>
      <c r="CN181" s="4">
        <v>0</v>
      </c>
      <c r="CO181">
        <v>3</v>
      </c>
      <c r="CP181" s="42" t="str">
        <f t="shared" si="30"/>
        <v>1</v>
      </c>
      <c r="CQ181" s="4">
        <v>50.666666666666664</v>
      </c>
      <c r="CR181" s="4">
        <v>1.4320987654320989</v>
      </c>
      <c r="CS181" s="43" t="str">
        <f t="shared" si="31"/>
        <v>1</v>
      </c>
      <c r="CT181" s="4">
        <f t="shared" si="32"/>
        <v>50.666666666666664</v>
      </c>
      <c r="CU181" s="4">
        <f t="shared" si="33"/>
        <v>1.4320987654320989</v>
      </c>
      <c r="CV181" s="4">
        <v>1</v>
      </c>
    </row>
    <row r="182" spans="1:100" x14ac:dyDescent="0.3">
      <c r="A182" s="15" t="s">
        <v>412</v>
      </c>
      <c r="B182" s="17">
        <v>0</v>
      </c>
      <c r="C182" s="3">
        <v>52</v>
      </c>
      <c r="D182">
        <v>2</v>
      </c>
      <c r="E182">
        <v>2</v>
      </c>
      <c r="F182">
        <v>2</v>
      </c>
      <c r="G182">
        <v>0</v>
      </c>
      <c r="H182">
        <v>1</v>
      </c>
      <c r="I182">
        <v>0</v>
      </c>
      <c r="J182" s="4">
        <v>58.4</v>
      </c>
      <c r="K182" s="4">
        <f t="shared" si="37"/>
        <v>1.63</v>
      </c>
      <c r="L182">
        <v>163</v>
      </c>
      <c r="M182" s="4">
        <f t="shared" si="36"/>
        <v>13.14</v>
      </c>
      <c r="N182" s="4">
        <v>42.9</v>
      </c>
      <c r="O182" s="4">
        <v>22.5</v>
      </c>
      <c r="P182" s="40">
        <v>0</v>
      </c>
      <c r="Q182">
        <v>88.4</v>
      </c>
      <c r="R182" s="37">
        <v>0</v>
      </c>
      <c r="S182">
        <v>88.9</v>
      </c>
      <c r="T182" s="5">
        <f t="shared" si="35"/>
        <v>0.99437570303712031</v>
      </c>
      <c r="U182" s="37">
        <v>1</v>
      </c>
      <c r="V182" s="4">
        <f t="shared" si="26"/>
        <v>21.980503594414543</v>
      </c>
      <c r="W182" s="39">
        <v>0</v>
      </c>
      <c r="X182">
        <v>11</v>
      </c>
      <c r="Y182" s="37">
        <v>1</v>
      </c>
      <c r="Z182">
        <v>6.66</v>
      </c>
      <c r="AA182" s="23">
        <f t="shared" si="28"/>
        <v>1.8601439200000001</v>
      </c>
      <c r="AB182" s="84">
        <v>0</v>
      </c>
      <c r="AC182" s="5">
        <v>6.2842700000000002</v>
      </c>
      <c r="AD182" s="37">
        <v>1</v>
      </c>
      <c r="AE182" s="5">
        <v>10.27012</v>
      </c>
      <c r="AF182" s="5">
        <v>8.1091800000000003</v>
      </c>
      <c r="AG182" s="37">
        <v>1</v>
      </c>
      <c r="AH182" s="5">
        <v>2.3530799999999998</v>
      </c>
      <c r="AI182" s="37">
        <v>1</v>
      </c>
      <c r="AJ182" s="5">
        <v>5.2846700000000002</v>
      </c>
      <c r="AK182" s="37">
        <v>1</v>
      </c>
      <c r="AL182" s="5">
        <v>1.75492</v>
      </c>
      <c r="AM182" s="37">
        <v>0</v>
      </c>
      <c r="AN182" s="4">
        <f t="shared" si="27"/>
        <v>4.6208260205593419</v>
      </c>
      <c r="AO182" s="37">
        <v>1</v>
      </c>
      <c r="AP182">
        <v>147</v>
      </c>
      <c r="AQ182" s="37">
        <v>1</v>
      </c>
      <c r="AR182">
        <v>92</v>
      </c>
      <c r="AS182" s="37">
        <v>1</v>
      </c>
      <c r="AT182">
        <v>75</v>
      </c>
      <c r="AU182">
        <v>55</v>
      </c>
      <c r="AV182">
        <v>8.1</v>
      </c>
      <c r="AW182" s="37">
        <v>0</v>
      </c>
      <c r="AX182">
        <v>2312</v>
      </c>
      <c r="AY182">
        <v>60.3</v>
      </c>
      <c r="AZ182">
        <v>70</v>
      </c>
      <c r="BA182">
        <v>382.5</v>
      </c>
      <c r="BB182">
        <v>7.4</v>
      </c>
      <c r="BC182">
        <v>303.39999999999998</v>
      </c>
      <c r="BD182">
        <v>54</v>
      </c>
      <c r="BE182">
        <v>37.5</v>
      </c>
      <c r="BF182">
        <v>66.3</v>
      </c>
      <c r="BG182">
        <v>27.2</v>
      </c>
      <c r="BH182">
        <v>10.4</v>
      </c>
      <c r="BI182">
        <v>62</v>
      </c>
      <c r="BJ182">
        <v>18.8</v>
      </c>
      <c r="BK182">
        <v>6.1</v>
      </c>
      <c r="BL182">
        <v>66.400000000000006</v>
      </c>
      <c r="BM182">
        <v>15.5</v>
      </c>
      <c r="BN182">
        <v>7</v>
      </c>
      <c r="BO182">
        <v>6.34</v>
      </c>
      <c r="BP182">
        <v>0.36</v>
      </c>
      <c r="BQ182">
        <v>0.24</v>
      </c>
      <c r="BR182">
        <v>586</v>
      </c>
      <c r="BS182">
        <v>235.8</v>
      </c>
      <c r="BT182">
        <v>3914</v>
      </c>
      <c r="BU182">
        <v>2256</v>
      </c>
      <c r="BV182">
        <v>12.86</v>
      </c>
      <c r="BW182">
        <v>8.9600000000000009</v>
      </c>
      <c r="BX182">
        <v>1.85</v>
      </c>
      <c r="BY182">
        <v>33.6</v>
      </c>
      <c r="BZ182">
        <v>89.4</v>
      </c>
      <c r="CA182">
        <v>0.57999999999999996</v>
      </c>
      <c r="CB182">
        <v>0.76</v>
      </c>
      <c r="CC182">
        <v>18.8</v>
      </c>
      <c r="CD182">
        <v>1.01</v>
      </c>
      <c r="CE182">
        <v>1.59</v>
      </c>
      <c r="CF182">
        <v>224.6</v>
      </c>
      <c r="CG182">
        <v>12.5</v>
      </c>
      <c r="CH182">
        <v>311</v>
      </c>
      <c r="CI182">
        <v>1.22</v>
      </c>
      <c r="CJ182">
        <v>3.1</v>
      </c>
      <c r="CK182">
        <v>0</v>
      </c>
      <c r="CL182" s="42" t="str">
        <f t="shared" si="29"/>
        <v>1</v>
      </c>
      <c r="CM182">
        <v>0</v>
      </c>
      <c r="CN182" s="4">
        <v>0</v>
      </c>
      <c r="CO182">
        <v>2</v>
      </c>
      <c r="CP182" s="42" t="str">
        <f t="shared" si="30"/>
        <v>1</v>
      </c>
      <c r="CQ182" s="4">
        <v>114.66666666666667</v>
      </c>
      <c r="CR182" s="4">
        <v>2.4296296296296296</v>
      </c>
      <c r="CS182" s="43" t="str">
        <f t="shared" si="31"/>
        <v>1</v>
      </c>
      <c r="CT182" s="4">
        <f t="shared" si="32"/>
        <v>114.66666666666667</v>
      </c>
      <c r="CU182" s="4">
        <f t="shared" si="33"/>
        <v>2.4296296296296296</v>
      </c>
      <c r="CV182" s="4">
        <v>2</v>
      </c>
    </row>
    <row r="183" spans="1:100" x14ac:dyDescent="0.3">
      <c r="A183" s="15" t="s">
        <v>413</v>
      </c>
      <c r="B183" s="17">
        <v>0</v>
      </c>
      <c r="C183" s="3">
        <v>30</v>
      </c>
      <c r="D183">
        <v>1</v>
      </c>
      <c r="E183">
        <v>3</v>
      </c>
      <c r="F183">
        <v>1</v>
      </c>
      <c r="G183">
        <v>1</v>
      </c>
      <c r="H183">
        <v>0</v>
      </c>
      <c r="I183">
        <v>1</v>
      </c>
      <c r="J183" s="4">
        <v>43.9</v>
      </c>
      <c r="K183" s="4">
        <f t="shared" si="37"/>
        <v>1.64</v>
      </c>
      <c r="L183">
        <v>164</v>
      </c>
      <c r="M183" s="4">
        <f t="shared" si="36"/>
        <v>13.0383</v>
      </c>
      <c r="N183" s="4">
        <v>45.6</v>
      </c>
      <c r="O183" s="4">
        <v>29.7</v>
      </c>
      <c r="P183" s="40">
        <v>1</v>
      </c>
      <c r="Q183">
        <v>85.5</v>
      </c>
      <c r="R183" s="37">
        <v>0</v>
      </c>
      <c r="S183">
        <v>93.1</v>
      </c>
      <c r="T183" s="5">
        <f t="shared" si="35"/>
        <v>0.91836734693877553</v>
      </c>
      <c r="U183" s="37">
        <v>1</v>
      </c>
      <c r="V183" s="4">
        <f t="shared" si="26"/>
        <v>16.322129684711484</v>
      </c>
      <c r="W183" s="39">
        <v>0</v>
      </c>
      <c r="X183">
        <v>15</v>
      </c>
      <c r="Y183" s="37">
        <v>1</v>
      </c>
      <c r="Z183">
        <v>6.8</v>
      </c>
      <c r="AA183" s="23">
        <f t="shared" si="28"/>
        <v>1.1888636444444445</v>
      </c>
      <c r="AB183" s="84">
        <v>0</v>
      </c>
      <c r="AC183" s="5">
        <v>3.9337399999999998</v>
      </c>
      <c r="AD183" s="37">
        <v>0</v>
      </c>
      <c r="AE183" s="5">
        <v>44.127850000000002</v>
      </c>
      <c r="AF183" s="5">
        <v>6.4078999999999997</v>
      </c>
      <c r="AG183" s="37">
        <v>1</v>
      </c>
      <c r="AH183" s="5">
        <v>1.5266500000000001</v>
      </c>
      <c r="AI183" s="37">
        <v>0</v>
      </c>
      <c r="AJ183" s="5">
        <v>4.5265700000000004</v>
      </c>
      <c r="AK183" s="37">
        <v>1</v>
      </c>
      <c r="AL183" s="5">
        <v>1.1874</v>
      </c>
      <c r="AM183" s="37">
        <v>0</v>
      </c>
      <c r="AN183" s="4">
        <f t="shared" si="27"/>
        <v>5.3965807646959743</v>
      </c>
      <c r="AO183" s="37">
        <v>1</v>
      </c>
      <c r="AP183">
        <v>125</v>
      </c>
      <c r="AQ183" s="38">
        <v>0</v>
      </c>
      <c r="AR183">
        <v>85</v>
      </c>
      <c r="AS183" s="37">
        <v>1</v>
      </c>
      <c r="AT183">
        <v>87</v>
      </c>
      <c r="AU183">
        <v>40</v>
      </c>
      <c r="AV183">
        <v>5.5</v>
      </c>
      <c r="AW183" s="37">
        <v>1</v>
      </c>
      <c r="AX183">
        <v>2418</v>
      </c>
      <c r="AY183">
        <v>66.3</v>
      </c>
      <c r="AZ183">
        <v>43.9</v>
      </c>
      <c r="BA183">
        <v>467</v>
      </c>
      <c r="BB183">
        <v>7.9</v>
      </c>
      <c r="BC183">
        <v>395.9</v>
      </c>
      <c r="BD183">
        <v>50.5</v>
      </c>
      <c r="BE183">
        <v>43.7</v>
      </c>
      <c r="BF183">
        <v>69.2</v>
      </c>
      <c r="BG183">
        <v>16.399999999999999</v>
      </c>
      <c r="BH183">
        <v>11</v>
      </c>
      <c r="BI183">
        <v>72.400000000000006</v>
      </c>
      <c r="BJ183">
        <v>11.2</v>
      </c>
      <c r="BK183">
        <v>6.8</v>
      </c>
      <c r="BL183">
        <v>30</v>
      </c>
      <c r="BM183">
        <v>4.4000000000000004</v>
      </c>
      <c r="BN183">
        <v>3.2</v>
      </c>
      <c r="BO183">
        <v>2.5</v>
      </c>
      <c r="BP183">
        <v>0.43</v>
      </c>
      <c r="BQ183">
        <v>0</v>
      </c>
      <c r="BR183">
        <v>282</v>
      </c>
      <c r="BS183">
        <v>175.8</v>
      </c>
      <c r="BT183">
        <v>3601</v>
      </c>
      <c r="BU183">
        <v>1703</v>
      </c>
      <c r="BV183">
        <v>8.56</v>
      </c>
      <c r="BW183">
        <v>8.83</v>
      </c>
      <c r="BX183">
        <v>1.47</v>
      </c>
      <c r="BY183">
        <v>79.5</v>
      </c>
      <c r="BZ183">
        <v>73.900000000000006</v>
      </c>
      <c r="CA183">
        <v>0.44</v>
      </c>
      <c r="CB183">
        <v>0.55000000000000004</v>
      </c>
      <c r="CC183">
        <v>19.3</v>
      </c>
      <c r="CD183">
        <v>1.29</v>
      </c>
      <c r="CE183">
        <v>3.61</v>
      </c>
      <c r="CF183">
        <v>207.6</v>
      </c>
      <c r="CG183">
        <v>32.1</v>
      </c>
      <c r="CH183">
        <v>356</v>
      </c>
      <c r="CI183">
        <v>2.0299999999999998</v>
      </c>
      <c r="CJ183">
        <v>1.2</v>
      </c>
      <c r="CK183" s="26"/>
      <c r="CL183" s="42" t="str">
        <f t="shared" si="29"/>
        <v>1</v>
      </c>
      <c r="CM183">
        <v>0</v>
      </c>
      <c r="CN183" s="4" t="e">
        <v>#DIV/0!</v>
      </c>
      <c r="CO183" s="26"/>
      <c r="CP183" s="42" t="str">
        <f t="shared" si="30"/>
        <v>1</v>
      </c>
      <c r="CQ183" s="4">
        <v>0</v>
      </c>
      <c r="CR183" s="4">
        <v>0</v>
      </c>
      <c r="CS183" s="43" t="str">
        <f t="shared" si="31"/>
        <v>1</v>
      </c>
      <c r="CT183" s="4">
        <f t="shared" si="32"/>
        <v>0</v>
      </c>
      <c r="CU183" s="4" t="e">
        <f t="shared" si="33"/>
        <v>#DIV/0!</v>
      </c>
    </row>
    <row r="184" spans="1:100" x14ac:dyDescent="0.3">
      <c r="A184" s="15" t="s">
        <v>414</v>
      </c>
      <c r="B184" s="17">
        <v>0</v>
      </c>
      <c r="C184">
        <v>44</v>
      </c>
      <c r="D184">
        <v>2</v>
      </c>
      <c r="E184">
        <v>2</v>
      </c>
      <c r="F184">
        <v>0</v>
      </c>
      <c r="G184">
        <v>0</v>
      </c>
      <c r="H184">
        <v>1</v>
      </c>
      <c r="I184">
        <v>1</v>
      </c>
      <c r="J184">
        <v>88.3</v>
      </c>
      <c r="K184">
        <v>1.74</v>
      </c>
      <c r="L184">
        <v>174</v>
      </c>
      <c r="M184" s="4">
        <f t="shared" si="36"/>
        <v>21.810099999999998</v>
      </c>
      <c r="N184" s="4">
        <v>58</v>
      </c>
      <c r="O184" s="4">
        <v>24.7</v>
      </c>
      <c r="P184" s="40">
        <v>1</v>
      </c>
      <c r="Q184">
        <v>103</v>
      </c>
      <c r="R184" s="37">
        <v>1</v>
      </c>
      <c r="S184">
        <v>107</v>
      </c>
      <c r="T184" s="5">
        <f t="shared" si="35"/>
        <v>0.96261682242990654</v>
      </c>
      <c r="U184" s="37">
        <v>1</v>
      </c>
      <c r="V184" s="4">
        <f t="shared" si="26"/>
        <v>29.165015193552648</v>
      </c>
      <c r="W184" s="39">
        <v>1</v>
      </c>
      <c r="X184">
        <v>9</v>
      </c>
      <c r="Y184" s="40">
        <v>0</v>
      </c>
      <c r="AA184" s="23"/>
      <c r="AB184" s="84"/>
      <c r="AC184" s="5">
        <v>4.75</v>
      </c>
      <c r="AD184" s="37">
        <v>0</v>
      </c>
      <c r="AE184">
        <v>3</v>
      </c>
      <c r="AF184" s="5">
        <v>4.66</v>
      </c>
      <c r="AG184" s="37">
        <v>0</v>
      </c>
      <c r="AH184" s="5">
        <v>1.1299999999999999</v>
      </c>
      <c r="AI184" s="37">
        <v>0</v>
      </c>
      <c r="AJ184" s="5">
        <v>3.37</v>
      </c>
      <c r="AK184" s="37">
        <v>0</v>
      </c>
      <c r="AL184" s="5">
        <v>0.78</v>
      </c>
      <c r="AM184" s="37">
        <v>1</v>
      </c>
      <c r="AN184" s="4">
        <f t="shared" si="27"/>
        <v>5.9743589743589745</v>
      </c>
      <c r="AO184" s="37">
        <v>1</v>
      </c>
      <c r="AP184">
        <v>153</v>
      </c>
      <c r="AQ184" s="37">
        <v>1</v>
      </c>
      <c r="AR184">
        <v>97</v>
      </c>
      <c r="AS184" s="37">
        <v>1</v>
      </c>
      <c r="AT184">
        <v>86</v>
      </c>
      <c r="AU184">
        <v>56</v>
      </c>
      <c r="AV184">
        <v>7.1</v>
      </c>
      <c r="AW184" s="37">
        <v>1</v>
      </c>
      <c r="AX184">
        <v>1776</v>
      </c>
      <c r="AY184">
        <v>48.9</v>
      </c>
      <c r="AZ184">
        <v>56.7</v>
      </c>
      <c r="BA184">
        <v>284.60000000000002</v>
      </c>
      <c r="BB184">
        <v>6.3</v>
      </c>
      <c r="BC184">
        <v>161</v>
      </c>
      <c r="BD184">
        <v>60.1</v>
      </c>
      <c r="BE184">
        <v>41.9</v>
      </c>
      <c r="BF184">
        <v>76.2</v>
      </c>
      <c r="BG184">
        <v>28.7</v>
      </c>
      <c r="BH184">
        <v>11</v>
      </c>
      <c r="BI184">
        <v>60.1</v>
      </c>
      <c r="BJ184">
        <v>12.3</v>
      </c>
      <c r="BK184">
        <v>8.8000000000000007</v>
      </c>
      <c r="BL184">
        <v>24.3</v>
      </c>
      <c r="BM184">
        <v>6.4</v>
      </c>
      <c r="BN184">
        <v>1.8</v>
      </c>
      <c r="BO184">
        <v>1.5</v>
      </c>
      <c r="BP184">
        <v>0.21</v>
      </c>
      <c r="BQ184">
        <v>0</v>
      </c>
      <c r="BR184">
        <v>555</v>
      </c>
      <c r="BS184">
        <v>222</v>
      </c>
      <c r="BT184">
        <v>2934</v>
      </c>
      <c r="BU184">
        <v>1674</v>
      </c>
      <c r="BV184">
        <v>9.4</v>
      </c>
      <c r="BW184">
        <v>5.96</v>
      </c>
      <c r="BX184">
        <v>1.63</v>
      </c>
      <c r="BY184">
        <v>12.9</v>
      </c>
      <c r="BZ184">
        <v>13.8</v>
      </c>
      <c r="CA184">
        <v>0.63</v>
      </c>
      <c r="CB184">
        <v>0.96</v>
      </c>
      <c r="CC184">
        <v>13.2</v>
      </c>
      <c r="CD184">
        <v>0.52</v>
      </c>
      <c r="CE184">
        <v>1.23</v>
      </c>
      <c r="CF184">
        <v>187.4</v>
      </c>
      <c r="CG184">
        <v>71.8</v>
      </c>
      <c r="CH184">
        <v>348</v>
      </c>
      <c r="CI184">
        <v>8.7799999999999994</v>
      </c>
      <c r="CJ184">
        <v>0.8</v>
      </c>
      <c r="CK184">
        <v>3</v>
      </c>
      <c r="CL184" s="42" t="str">
        <f t="shared" si="29"/>
        <v>3</v>
      </c>
      <c r="CM184" s="4">
        <v>201.33333333333334</v>
      </c>
      <c r="CN184" s="4">
        <v>4.0266666666666673</v>
      </c>
      <c r="CO184">
        <v>5</v>
      </c>
      <c r="CP184" s="42" t="str">
        <f t="shared" si="30"/>
        <v>2</v>
      </c>
      <c r="CQ184" s="4">
        <v>160.33333333333334</v>
      </c>
      <c r="CR184" s="4">
        <v>2.9691358024691361</v>
      </c>
      <c r="CS184" s="43" t="str">
        <f t="shared" si="31"/>
        <v>3</v>
      </c>
      <c r="CT184" s="4">
        <f t="shared" si="32"/>
        <v>361.66666666666669</v>
      </c>
      <c r="CU184" s="4">
        <f t="shared" si="33"/>
        <v>6.9958024691358034</v>
      </c>
      <c r="CV184" s="4">
        <v>4</v>
      </c>
    </row>
    <row r="185" spans="1:100" x14ac:dyDescent="0.3">
      <c r="A185" s="15" t="s">
        <v>415</v>
      </c>
      <c r="B185" s="17">
        <v>0</v>
      </c>
      <c r="C185" s="3">
        <v>50</v>
      </c>
      <c r="D185">
        <v>1</v>
      </c>
      <c r="E185">
        <v>3</v>
      </c>
      <c r="F185">
        <v>2</v>
      </c>
      <c r="G185">
        <v>0</v>
      </c>
      <c r="H185">
        <v>1</v>
      </c>
      <c r="I185">
        <v>0</v>
      </c>
      <c r="J185" s="4">
        <v>68.3</v>
      </c>
      <c r="K185" s="4">
        <f t="shared" ref="K185:K216" si="38">L185/100</f>
        <v>1.66</v>
      </c>
      <c r="L185">
        <v>166</v>
      </c>
      <c r="M185" s="4">
        <f t="shared" si="36"/>
        <v>16.187099999999997</v>
      </c>
      <c r="N185" s="4">
        <v>49.4</v>
      </c>
      <c r="O185" s="4">
        <v>23.7</v>
      </c>
      <c r="P185" s="40">
        <v>1</v>
      </c>
      <c r="Q185">
        <v>86.4</v>
      </c>
      <c r="R185" s="37">
        <v>0</v>
      </c>
      <c r="S185">
        <v>91.3</v>
      </c>
      <c r="T185" s="5">
        <f t="shared" si="35"/>
        <v>0.94633077765607898</v>
      </c>
      <c r="U185" s="37">
        <v>1</v>
      </c>
      <c r="V185" s="4">
        <f t="shared" si="26"/>
        <v>24.785890550152416</v>
      </c>
      <c r="W185" s="39">
        <v>1</v>
      </c>
      <c r="X185">
        <v>13</v>
      </c>
      <c r="Y185" s="37">
        <v>1</v>
      </c>
      <c r="Z185">
        <v>6.47</v>
      </c>
      <c r="AA185" s="23">
        <f t="shared" si="28"/>
        <v>1.3938910488888889</v>
      </c>
      <c r="AB185" s="84">
        <v>0</v>
      </c>
      <c r="AC185" s="5">
        <v>4.8473800000000002</v>
      </c>
      <c r="AD185" s="37">
        <v>0</v>
      </c>
      <c r="AE185" s="5">
        <v>13.479419999999999</v>
      </c>
      <c r="AF185" s="5">
        <v>5.6857800000000003</v>
      </c>
      <c r="AG185" s="37">
        <v>1</v>
      </c>
      <c r="AH185" s="5">
        <v>0.63466</v>
      </c>
      <c r="AI185" s="37">
        <v>0</v>
      </c>
      <c r="AJ185" s="5">
        <v>3.8190900000000001</v>
      </c>
      <c r="AK185" s="37">
        <v>1</v>
      </c>
      <c r="AL185" s="5">
        <v>1.5782099999999999</v>
      </c>
      <c r="AM185" s="37">
        <v>0</v>
      </c>
      <c r="AN185" s="4">
        <f t="shared" si="27"/>
        <v>3.6026764499021047</v>
      </c>
      <c r="AO185" s="37">
        <v>0</v>
      </c>
      <c r="AP185">
        <v>142</v>
      </c>
      <c r="AQ185" s="37">
        <v>1</v>
      </c>
      <c r="AR185">
        <v>80</v>
      </c>
      <c r="AS185" s="37">
        <v>0</v>
      </c>
      <c r="AT185">
        <v>87</v>
      </c>
      <c r="AU185">
        <v>62</v>
      </c>
      <c r="AV185">
        <v>7.9</v>
      </c>
      <c r="AW185" s="37">
        <v>0</v>
      </c>
      <c r="AX185">
        <v>3391</v>
      </c>
      <c r="AY185">
        <v>119.6</v>
      </c>
      <c r="AZ185">
        <v>54</v>
      </c>
      <c r="BA185">
        <v>643.4</v>
      </c>
      <c r="BB185">
        <v>6.8</v>
      </c>
      <c r="BC185">
        <v>532.79999999999995</v>
      </c>
      <c r="BD185">
        <v>47.3</v>
      </c>
      <c r="BE185">
        <v>19.5</v>
      </c>
      <c r="BF185">
        <v>387.9</v>
      </c>
      <c r="BG185">
        <v>14.3</v>
      </c>
      <c r="BH185">
        <v>14.1</v>
      </c>
      <c r="BI185">
        <v>71.2</v>
      </c>
      <c r="BJ185">
        <v>6.8</v>
      </c>
      <c r="BK185">
        <v>2.2000000000000002</v>
      </c>
      <c r="BL185">
        <v>37.6</v>
      </c>
      <c r="BM185">
        <v>7.2</v>
      </c>
      <c r="BN185">
        <v>2.1</v>
      </c>
      <c r="BO185">
        <v>1.66</v>
      </c>
      <c r="BP185">
        <v>0.28000000000000003</v>
      </c>
      <c r="BQ185">
        <v>0.18</v>
      </c>
      <c r="BR185">
        <v>524</v>
      </c>
      <c r="BS185">
        <v>326.39999999999998</v>
      </c>
      <c r="BT185">
        <v>6147</v>
      </c>
      <c r="BU185">
        <v>3089</v>
      </c>
      <c r="BV185">
        <v>19.7</v>
      </c>
      <c r="BW185">
        <v>11.65</v>
      </c>
      <c r="BX185">
        <v>1.38</v>
      </c>
      <c r="BY185">
        <v>71.400000000000006</v>
      </c>
      <c r="BZ185">
        <v>72.8</v>
      </c>
      <c r="CA185">
        <v>1.1299999999999999</v>
      </c>
      <c r="CB185">
        <v>1.4</v>
      </c>
      <c r="CC185">
        <v>45.6</v>
      </c>
      <c r="CD185">
        <v>2.85</v>
      </c>
      <c r="CE185">
        <v>9.65</v>
      </c>
      <c r="CF185">
        <v>327.7</v>
      </c>
      <c r="CG185">
        <v>129.80000000000001</v>
      </c>
      <c r="CH185">
        <v>520</v>
      </c>
      <c r="CI185">
        <v>22.82</v>
      </c>
      <c r="CJ185">
        <v>3.1</v>
      </c>
      <c r="CK185">
        <v>6</v>
      </c>
      <c r="CL185" s="42" t="str">
        <f t="shared" si="29"/>
        <v>4</v>
      </c>
      <c r="CM185">
        <v>338</v>
      </c>
      <c r="CN185" s="4">
        <v>6.76</v>
      </c>
      <c r="CO185">
        <v>3</v>
      </c>
      <c r="CP185" s="42" t="str">
        <f t="shared" si="30"/>
        <v>1</v>
      </c>
      <c r="CQ185" s="4">
        <v>140</v>
      </c>
      <c r="CR185" s="4">
        <v>0.81481481481481488</v>
      </c>
      <c r="CS185" s="43" t="str">
        <f t="shared" si="31"/>
        <v>4</v>
      </c>
      <c r="CT185" s="4">
        <f t="shared" si="32"/>
        <v>478</v>
      </c>
      <c r="CU185" s="4">
        <f t="shared" si="33"/>
        <v>7.5748148148148147</v>
      </c>
      <c r="CV185" s="4">
        <v>4</v>
      </c>
    </row>
    <row r="186" spans="1:100" x14ac:dyDescent="0.3">
      <c r="A186" s="15" t="s">
        <v>416</v>
      </c>
      <c r="B186" s="17">
        <v>0</v>
      </c>
      <c r="C186">
        <v>54</v>
      </c>
      <c r="D186">
        <v>2</v>
      </c>
      <c r="E186">
        <v>2</v>
      </c>
      <c r="F186">
        <v>1</v>
      </c>
      <c r="G186">
        <v>0</v>
      </c>
      <c r="H186">
        <v>0</v>
      </c>
      <c r="I186">
        <v>1</v>
      </c>
      <c r="J186">
        <v>62.9</v>
      </c>
      <c r="K186" s="4">
        <f t="shared" si="38"/>
        <v>1.6440000000000001</v>
      </c>
      <c r="L186">
        <v>164.4</v>
      </c>
      <c r="M186" s="4">
        <f t="shared" si="36"/>
        <v>16.605599999999999</v>
      </c>
      <c r="N186" s="4">
        <v>43.5</v>
      </c>
      <c r="O186">
        <v>26.4</v>
      </c>
      <c r="P186" s="40">
        <v>1</v>
      </c>
      <c r="Q186">
        <v>92.2</v>
      </c>
      <c r="R186" s="37">
        <v>1</v>
      </c>
      <c r="S186">
        <v>89.8</v>
      </c>
      <c r="T186" s="5">
        <f t="shared" si="35"/>
        <v>1.0267260579064588</v>
      </c>
      <c r="U186" s="37">
        <v>1</v>
      </c>
      <c r="V186" s="4">
        <f t="shared" si="26"/>
        <v>23.272713280172386</v>
      </c>
      <c r="W186" s="39">
        <v>1</v>
      </c>
      <c r="X186">
        <v>13</v>
      </c>
      <c r="Y186" s="37">
        <v>1</v>
      </c>
      <c r="AA186" s="23"/>
      <c r="AB186" s="84"/>
      <c r="AC186" s="5">
        <v>4.7699999999999996</v>
      </c>
      <c r="AD186" s="37">
        <v>0</v>
      </c>
      <c r="AE186" s="5">
        <v>18.96</v>
      </c>
      <c r="AF186" s="5">
        <v>5.36</v>
      </c>
      <c r="AG186" s="37">
        <v>1</v>
      </c>
      <c r="AH186" s="5">
        <v>1.26</v>
      </c>
      <c r="AI186" s="37">
        <v>0</v>
      </c>
      <c r="AJ186" s="5">
        <v>2.97</v>
      </c>
      <c r="AK186" s="37">
        <v>0</v>
      </c>
      <c r="AL186" s="5">
        <v>1.82</v>
      </c>
      <c r="AM186" s="37">
        <v>0</v>
      </c>
      <c r="AN186" s="4">
        <f t="shared" si="27"/>
        <v>2.9450549450549453</v>
      </c>
      <c r="AO186" s="37">
        <v>0</v>
      </c>
      <c r="AP186">
        <v>127</v>
      </c>
      <c r="AQ186" s="38">
        <v>0</v>
      </c>
      <c r="AR186">
        <v>84</v>
      </c>
      <c r="AS186" s="37">
        <v>0</v>
      </c>
      <c r="AT186">
        <v>70</v>
      </c>
      <c r="AU186">
        <v>43</v>
      </c>
      <c r="AV186">
        <v>7.8</v>
      </c>
      <c r="AW186" s="37">
        <v>1</v>
      </c>
      <c r="AX186">
        <v>2204</v>
      </c>
      <c r="AY186">
        <v>48.2</v>
      </c>
      <c r="AZ186">
        <v>49.9</v>
      </c>
      <c r="BA186">
        <v>413.6</v>
      </c>
      <c r="BB186">
        <v>8.6999999999999993</v>
      </c>
      <c r="BC186">
        <v>275.5</v>
      </c>
      <c r="BD186">
        <v>97.5</v>
      </c>
      <c r="BE186">
        <v>75.2</v>
      </c>
      <c r="BF186">
        <v>47.7</v>
      </c>
      <c r="BG186">
        <v>20.399999999999999</v>
      </c>
      <c r="BH186">
        <v>8.6999999999999993</v>
      </c>
      <c r="BI186">
        <v>70.400000000000006</v>
      </c>
      <c r="BJ186">
        <v>10.8</v>
      </c>
      <c r="BK186">
        <v>12.8</v>
      </c>
      <c r="BL186">
        <v>26.5</v>
      </c>
      <c r="BM186">
        <v>4</v>
      </c>
      <c r="BN186">
        <v>1.7</v>
      </c>
      <c r="BO186">
        <v>0.88</v>
      </c>
      <c r="BP186">
        <v>0.17</v>
      </c>
      <c r="BQ186">
        <v>0</v>
      </c>
      <c r="BR186">
        <v>830</v>
      </c>
      <c r="BS186">
        <v>322.39999999999998</v>
      </c>
      <c r="BT186">
        <v>3069</v>
      </c>
      <c r="BU186">
        <v>3016</v>
      </c>
      <c r="BV186">
        <v>21.3</v>
      </c>
      <c r="BW186">
        <v>6.59</v>
      </c>
      <c r="BX186">
        <v>1.91</v>
      </c>
      <c r="BY186">
        <v>7.5</v>
      </c>
      <c r="BZ186">
        <v>13.8</v>
      </c>
      <c r="CA186">
        <v>0.7</v>
      </c>
      <c r="CB186">
        <v>1</v>
      </c>
      <c r="CC186">
        <v>16.8</v>
      </c>
      <c r="CD186">
        <v>0.69</v>
      </c>
      <c r="CE186">
        <v>2.02</v>
      </c>
      <c r="CF186">
        <v>173.4</v>
      </c>
      <c r="CG186">
        <v>16.3</v>
      </c>
      <c r="CH186">
        <v>163</v>
      </c>
      <c r="CI186">
        <v>5.01</v>
      </c>
      <c r="CJ186">
        <v>1</v>
      </c>
      <c r="CK186">
        <v>1</v>
      </c>
      <c r="CL186" s="42" t="str">
        <f t="shared" si="29"/>
        <v>1</v>
      </c>
      <c r="CM186">
        <v>59</v>
      </c>
      <c r="CN186" s="4">
        <v>1.18</v>
      </c>
      <c r="CO186">
        <v>4</v>
      </c>
      <c r="CP186" s="42" t="str">
        <f t="shared" si="30"/>
        <v>1</v>
      </c>
      <c r="CQ186" s="4">
        <v>134</v>
      </c>
      <c r="CR186" s="4">
        <v>0.91358024691358031</v>
      </c>
      <c r="CS186" s="43" t="str">
        <f t="shared" si="31"/>
        <v>2</v>
      </c>
      <c r="CT186" s="4">
        <f t="shared" si="32"/>
        <v>193</v>
      </c>
      <c r="CU186" s="4">
        <f t="shared" si="33"/>
        <v>2.0935802469135805</v>
      </c>
      <c r="CV186" s="4">
        <v>2</v>
      </c>
    </row>
    <row r="187" spans="1:100" x14ac:dyDescent="0.3">
      <c r="A187" s="15" t="s">
        <v>417</v>
      </c>
      <c r="B187" s="17">
        <v>0</v>
      </c>
      <c r="C187">
        <v>30</v>
      </c>
      <c r="D187">
        <v>2</v>
      </c>
      <c r="E187">
        <v>2</v>
      </c>
      <c r="F187">
        <v>2</v>
      </c>
      <c r="G187">
        <v>2</v>
      </c>
      <c r="H187">
        <v>1</v>
      </c>
      <c r="I187">
        <v>1</v>
      </c>
      <c r="J187">
        <v>71.2</v>
      </c>
      <c r="K187" s="4">
        <f t="shared" si="38"/>
        <v>1.6559999999999999</v>
      </c>
      <c r="L187">
        <v>165.6</v>
      </c>
      <c r="M187" s="4">
        <f t="shared" si="36"/>
        <v>19.010400000000001</v>
      </c>
      <c r="N187" s="4">
        <v>49.3</v>
      </c>
      <c r="O187" s="4">
        <v>26.7</v>
      </c>
      <c r="P187" s="40">
        <v>1</v>
      </c>
      <c r="Q187">
        <v>89.4</v>
      </c>
      <c r="R187" s="37">
        <v>0</v>
      </c>
      <c r="S187">
        <v>95.8</v>
      </c>
      <c r="T187" s="5">
        <f t="shared" si="35"/>
        <v>0.93319415448851784</v>
      </c>
      <c r="U187" s="37">
        <v>1</v>
      </c>
      <c r="V187" s="4">
        <f t="shared" si="26"/>
        <v>25.963266353940583</v>
      </c>
      <c r="W187" s="39">
        <v>1</v>
      </c>
      <c r="X187">
        <v>11</v>
      </c>
      <c r="Y187" s="37">
        <v>1</v>
      </c>
      <c r="AA187" s="23"/>
      <c r="AB187" s="84"/>
      <c r="AC187" s="5">
        <v>4.01</v>
      </c>
      <c r="AD187" s="37">
        <v>0</v>
      </c>
      <c r="AE187" s="5">
        <v>11.23</v>
      </c>
      <c r="AF187" s="5">
        <v>6.53</v>
      </c>
      <c r="AG187" s="37">
        <v>1</v>
      </c>
      <c r="AH187" s="5">
        <v>1.77</v>
      </c>
      <c r="AI187" s="37">
        <v>1</v>
      </c>
      <c r="AJ187" s="5">
        <v>4.6900000000000004</v>
      </c>
      <c r="AK187" s="37">
        <v>1</v>
      </c>
      <c r="AL187" s="5">
        <v>1.03</v>
      </c>
      <c r="AM187" s="37">
        <v>0</v>
      </c>
      <c r="AN187" s="4">
        <f t="shared" si="27"/>
        <v>6.3398058252427187</v>
      </c>
      <c r="AO187" s="37">
        <v>1</v>
      </c>
      <c r="AP187">
        <v>140</v>
      </c>
      <c r="AQ187" s="37">
        <v>1</v>
      </c>
      <c r="AR187">
        <v>88</v>
      </c>
      <c r="AS187" s="37">
        <v>1</v>
      </c>
      <c r="AT187">
        <v>83</v>
      </c>
      <c r="AU187">
        <v>52</v>
      </c>
      <c r="AV187">
        <v>6</v>
      </c>
      <c r="AW187" s="37">
        <v>0</v>
      </c>
      <c r="AX187">
        <v>2930</v>
      </c>
      <c r="AY187">
        <v>73.7</v>
      </c>
      <c r="AZ187">
        <v>57.8</v>
      </c>
      <c r="BA187">
        <v>562.1</v>
      </c>
      <c r="BB187">
        <v>7</v>
      </c>
      <c r="BC187">
        <v>471.2</v>
      </c>
      <c r="BD187">
        <v>72.5</v>
      </c>
      <c r="BE187">
        <v>59.1</v>
      </c>
      <c r="BF187">
        <v>134.9</v>
      </c>
      <c r="BG187">
        <v>17.7</v>
      </c>
      <c r="BH187">
        <v>10.1</v>
      </c>
      <c r="BI187">
        <v>71.900000000000006</v>
      </c>
      <c r="BJ187">
        <v>11.6</v>
      </c>
      <c r="BK187">
        <v>7.6</v>
      </c>
      <c r="BL187">
        <v>37.6</v>
      </c>
      <c r="BM187">
        <v>7.2</v>
      </c>
      <c r="BN187">
        <v>2.1</v>
      </c>
      <c r="BO187">
        <v>1.66</v>
      </c>
      <c r="BP187">
        <v>0.28000000000000003</v>
      </c>
      <c r="BQ187">
        <v>0.18</v>
      </c>
      <c r="BR187">
        <v>451</v>
      </c>
      <c r="BS187">
        <v>252.9</v>
      </c>
      <c r="BT187">
        <v>3267</v>
      </c>
      <c r="BU187">
        <v>2217</v>
      </c>
      <c r="BV187">
        <v>13.44</v>
      </c>
      <c r="BW187">
        <v>9.89</v>
      </c>
      <c r="BX187">
        <v>1.69</v>
      </c>
      <c r="BY187">
        <v>24.8</v>
      </c>
      <c r="BZ187">
        <v>27</v>
      </c>
      <c r="CA187">
        <v>0.82</v>
      </c>
      <c r="CB187">
        <v>0.62</v>
      </c>
      <c r="CC187">
        <v>23.4</v>
      </c>
      <c r="CD187">
        <v>0.77</v>
      </c>
      <c r="CE187">
        <v>2.1800000000000002</v>
      </c>
      <c r="CF187">
        <v>253.2</v>
      </c>
      <c r="CG187">
        <v>13.4</v>
      </c>
      <c r="CH187">
        <v>215</v>
      </c>
      <c r="CI187">
        <v>1.1000000000000001</v>
      </c>
      <c r="CJ187">
        <v>1.7</v>
      </c>
      <c r="CK187">
        <v>0</v>
      </c>
      <c r="CL187" s="42" t="str">
        <f t="shared" si="29"/>
        <v>1</v>
      </c>
      <c r="CM187">
        <v>0</v>
      </c>
      <c r="CN187" s="4">
        <v>0</v>
      </c>
      <c r="CO187">
        <v>5</v>
      </c>
      <c r="CP187" s="42" t="str">
        <f t="shared" si="30"/>
        <v>1</v>
      </c>
      <c r="CQ187" s="4">
        <v>132.66666666666666</v>
      </c>
      <c r="CR187" s="4">
        <v>1.9074074074074074</v>
      </c>
      <c r="CS187" s="43" t="str">
        <f t="shared" si="31"/>
        <v>1</v>
      </c>
      <c r="CT187" s="4">
        <f t="shared" si="32"/>
        <v>132.66666666666666</v>
      </c>
      <c r="CU187" s="4">
        <f t="shared" si="33"/>
        <v>1.9074074074074074</v>
      </c>
      <c r="CV187" s="4">
        <v>1</v>
      </c>
    </row>
    <row r="188" spans="1:100" x14ac:dyDescent="0.3">
      <c r="A188" s="15" t="s">
        <v>418</v>
      </c>
      <c r="B188" s="17">
        <v>0</v>
      </c>
      <c r="C188" s="3">
        <v>45</v>
      </c>
      <c r="D188">
        <v>2</v>
      </c>
      <c r="E188">
        <v>2</v>
      </c>
      <c r="F188">
        <v>1</v>
      </c>
      <c r="G188">
        <v>0</v>
      </c>
      <c r="H188">
        <v>1</v>
      </c>
      <c r="I188">
        <v>1</v>
      </c>
      <c r="J188" s="4">
        <v>56.2</v>
      </c>
      <c r="K188" s="4">
        <f t="shared" si="38"/>
        <v>1.63</v>
      </c>
      <c r="L188">
        <v>163</v>
      </c>
      <c r="M188" s="4">
        <f t="shared" si="36"/>
        <v>11.521000000000001</v>
      </c>
      <c r="N188" s="4">
        <v>42.4</v>
      </c>
      <c r="O188" s="4">
        <v>20.5</v>
      </c>
      <c r="P188" s="40">
        <v>0</v>
      </c>
      <c r="Q188">
        <v>78.599999999999994</v>
      </c>
      <c r="R188" s="37">
        <v>0</v>
      </c>
      <c r="S188">
        <v>92.4</v>
      </c>
      <c r="T188" s="5">
        <f t="shared" si="35"/>
        <v>0.85064935064935054</v>
      </c>
      <c r="U188" s="37">
        <v>0</v>
      </c>
      <c r="V188" s="4">
        <f t="shared" si="26"/>
        <v>21.152470924761943</v>
      </c>
      <c r="W188" s="39">
        <v>0</v>
      </c>
      <c r="X188">
        <v>9</v>
      </c>
      <c r="Y188" s="40">
        <v>0</v>
      </c>
      <c r="Z188">
        <v>9.1999999999999993</v>
      </c>
      <c r="AA188" s="23">
        <f t="shared" si="28"/>
        <v>1.9161596444444444</v>
      </c>
      <c r="AB188" s="84">
        <v>0</v>
      </c>
      <c r="AC188" s="5">
        <v>4.6862599999999999</v>
      </c>
      <c r="AD188" s="37">
        <v>0</v>
      </c>
      <c r="AE188" s="5">
        <v>31.591989999999999</v>
      </c>
      <c r="AF188" s="5">
        <v>6.5937900000000003</v>
      </c>
      <c r="AG188" s="37">
        <v>1</v>
      </c>
      <c r="AH188" s="5">
        <v>1.3626</v>
      </c>
      <c r="AI188" s="37">
        <v>0</v>
      </c>
      <c r="AJ188" s="5">
        <v>4.74099</v>
      </c>
      <c r="AK188" s="37">
        <v>1</v>
      </c>
      <c r="AL188" s="5">
        <v>1.2334400000000001</v>
      </c>
      <c r="AM188" s="37">
        <v>0</v>
      </c>
      <c r="AN188" s="4">
        <f t="shared" si="27"/>
        <v>5.3458538720975479</v>
      </c>
      <c r="AO188" s="37">
        <v>1</v>
      </c>
      <c r="AP188">
        <v>109</v>
      </c>
      <c r="AQ188" s="38">
        <v>0</v>
      </c>
      <c r="AR188">
        <v>73</v>
      </c>
      <c r="AS188" s="37">
        <v>0</v>
      </c>
      <c r="AT188">
        <v>89</v>
      </c>
      <c r="AU188">
        <v>36</v>
      </c>
      <c r="AV188">
        <v>6.2</v>
      </c>
      <c r="AW188" s="37">
        <v>1</v>
      </c>
      <c r="AX188">
        <v>2012</v>
      </c>
      <c r="AY188">
        <v>56.5</v>
      </c>
      <c r="AZ188">
        <v>36</v>
      </c>
      <c r="BA188">
        <v>388.4</v>
      </c>
      <c r="BB188">
        <v>4</v>
      </c>
      <c r="BC188">
        <v>326.89999999999998</v>
      </c>
      <c r="BD188">
        <v>42.9</v>
      </c>
      <c r="BE188">
        <v>28.3</v>
      </c>
      <c r="BF188">
        <v>41.1</v>
      </c>
      <c r="BG188">
        <v>16.100000000000001</v>
      </c>
      <c r="BH188">
        <v>11.2</v>
      </c>
      <c r="BI188">
        <v>72.400000000000006</v>
      </c>
      <c r="BJ188">
        <v>11.5</v>
      </c>
      <c r="BK188">
        <v>5.3</v>
      </c>
      <c r="BL188">
        <v>25.6</v>
      </c>
      <c r="BM188">
        <v>3.4</v>
      </c>
      <c r="BN188">
        <v>1.1000000000000001</v>
      </c>
      <c r="BO188">
        <v>0.85</v>
      </c>
      <c r="BP188">
        <v>0.13</v>
      </c>
      <c r="BQ188">
        <v>0.25</v>
      </c>
      <c r="BR188">
        <v>410</v>
      </c>
      <c r="BS188">
        <v>177.5</v>
      </c>
      <c r="BT188">
        <v>2947</v>
      </c>
      <c r="BU188">
        <v>1784</v>
      </c>
      <c r="BV188">
        <v>10.7</v>
      </c>
      <c r="BW188">
        <v>7.15</v>
      </c>
      <c r="BX188">
        <v>1.02</v>
      </c>
      <c r="BY188">
        <v>3.2</v>
      </c>
      <c r="BZ188">
        <v>51.9</v>
      </c>
      <c r="CA188">
        <v>0.48</v>
      </c>
      <c r="CB188">
        <v>0.63</v>
      </c>
      <c r="CC188">
        <v>21.5</v>
      </c>
      <c r="CD188">
        <v>0.83</v>
      </c>
      <c r="CE188">
        <v>1.53</v>
      </c>
      <c r="CF188">
        <v>167.9</v>
      </c>
      <c r="CG188">
        <v>20.2</v>
      </c>
      <c r="CH188">
        <v>369</v>
      </c>
      <c r="CI188">
        <v>0.75</v>
      </c>
      <c r="CJ188">
        <v>1</v>
      </c>
      <c r="CK188">
        <v>0</v>
      </c>
      <c r="CL188" s="42" t="str">
        <f t="shared" si="29"/>
        <v>1</v>
      </c>
      <c r="CM188">
        <v>0</v>
      </c>
      <c r="CN188" s="4">
        <v>0</v>
      </c>
      <c r="CO188">
        <v>4</v>
      </c>
      <c r="CP188" s="42" t="str">
        <f t="shared" si="30"/>
        <v>1</v>
      </c>
      <c r="CQ188" s="4">
        <v>136.33333333333334</v>
      </c>
      <c r="CR188" s="4">
        <v>2.7827160493827159</v>
      </c>
      <c r="CS188" s="43" t="str">
        <f t="shared" si="31"/>
        <v>1</v>
      </c>
      <c r="CT188" s="4">
        <f t="shared" si="32"/>
        <v>136.33333333333334</v>
      </c>
      <c r="CU188" s="4">
        <f t="shared" si="33"/>
        <v>2.7827160493827159</v>
      </c>
      <c r="CV188" s="4">
        <v>2</v>
      </c>
    </row>
    <row r="189" spans="1:100" x14ac:dyDescent="0.3">
      <c r="A189" s="15" t="s">
        <v>419</v>
      </c>
      <c r="B189" s="17">
        <v>0</v>
      </c>
      <c r="C189" s="3">
        <v>44</v>
      </c>
      <c r="D189">
        <v>1</v>
      </c>
      <c r="E189">
        <v>2</v>
      </c>
      <c r="F189">
        <v>2</v>
      </c>
      <c r="G189">
        <v>2</v>
      </c>
      <c r="H189">
        <v>2</v>
      </c>
      <c r="I189">
        <v>1</v>
      </c>
      <c r="J189" s="4">
        <v>68</v>
      </c>
      <c r="K189" s="4">
        <f t="shared" si="38"/>
        <v>1.68</v>
      </c>
      <c r="L189">
        <v>168</v>
      </c>
      <c r="M189" s="4">
        <f t="shared" si="36"/>
        <v>16.864000000000001</v>
      </c>
      <c r="N189" s="4">
        <v>48.4</v>
      </c>
      <c r="O189" s="4">
        <v>24.8</v>
      </c>
      <c r="P189" s="40">
        <v>1</v>
      </c>
      <c r="Q189">
        <v>93.4</v>
      </c>
      <c r="R189" s="37">
        <v>1</v>
      </c>
      <c r="S189">
        <v>97.9</v>
      </c>
      <c r="T189" s="5">
        <f t="shared" si="35"/>
        <v>0.95403472931562816</v>
      </c>
      <c r="U189" s="37">
        <v>1</v>
      </c>
      <c r="V189" s="4">
        <f t="shared" si="26"/>
        <v>24.092970521541954</v>
      </c>
      <c r="W189" s="39">
        <v>1</v>
      </c>
      <c r="X189">
        <v>12</v>
      </c>
      <c r="Y189" s="37">
        <v>1</v>
      </c>
      <c r="Z189">
        <v>8.24</v>
      </c>
      <c r="AA189" s="23">
        <f t="shared" si="28"/>
        <v>1.6252136533333335</v>
      </c>
      <c r="AB189" s="84">
        <v>0</v>
      </c>
      <c r="AC189" s="5">
        <v>4.4377800000000001</v>
      </c>
      <c r="AD189" s="37">
        <v>0</v>
      </c>
      <c r="AE189" s="5">
        <v>23.47317</v>
      </c>
      <c r="AF189" s="5">
        <v>7.12805</v>
      </c>
      <c r="AG189" s="37">
        <v>1</v>
      </c>
      <c r="AH189" s="5">
        <v>1.2334799999999999</v>
      </c>
      <c r="AI189" s="37">
        <v>0</v>
      </c>
      <c r="AJ189" s="5">
        <v>5.5248999999999997</v>
      </c>
      <c r="AK189" s="37">
        <v>1</v>
      </c>
      <c r="AL189" s="5">
        <v>1.0424800000000001</v>
      </c>
      <c r="AM189" s="37">
        <v>0</v>
      </c>
      <c r="AN189" s="4">
        <f t="shared" si="27"/>
        <v>6.8375892103445626</v>
      </c>
      <c r="AO189" s="37">
        <v>1</v>
      </c>
      <c r="AP189">
        <v>141</v>
      </c>
      <c r="AQ189" s="37">
        <v>1</v>
      </c>
      <c r="AR189">
        <v>87</v>
      </c>
      <c r="AS189" s="37">
        <v>1</v>
      </c>
      <c r="AT189">
        <v>66</v>
      </c>
      <c r="AU189">
        <v>54</v>
      </c>
      <c r="AV189">
        <v>7.1</v>
      </c>
      <c r="AW189" s="37">
        <v>0</v>
      </c>
      <c r="AX189">
        <v>2261</v>
      </c>
      <c r="AY189">
        <v>135</v>
      </c>
      <c r="AZ189">
        <v>52.2</v>
      </c>
      <c r="BA189">
        <v>332.3</v>
      </c>
      <c r="BB189">
        <v>10.1</v>
      </c>
      <c r="BC189">
        <v>297.2</v>
      </c>
      <c r="BD189">
        <v>17</v>
      </c>
      <c r="BE189">
        <v>5.8</v>
      </c>
      <c r="BF189">
        <v>369.2</v>
      </c>
      <c r="BG189">
        <v>20.8</v>
      </c>
      <c r="BH189">
        <v>23.9</v>
      </c>
      <c r="BI189">
        <v>55.1</v>
      </c>
      <c r="BJ189">
        <v>13.6</v>
      </c>
      <c r="BK189">
        <v>1</v>
      </c>
      <c r="BL189">
        <v>34.1</v>
      </c>
      <c r="BM189">
        <v>8.3000000000000007</v>
      </c>
      <c r="BN189">
        <v>4.5999999999999996</v>
      </c>
      <c r="BO189">
        <v>3.53</v>
      </c>
      <c r="BP189">
        <v>0.97</v>
      </c>
      <c r="BQ189">
        <v>0.06</v>
      </c>
      <c r="BR189">
        <v>332</v>
      </c>
      <c r="BS189">
        <v>282.10000000000002</v>
      </c>
      <c r="BT189">
        <v>4898</v>
      </c>
      <c r="BU189">
        <v>3204</v>
      </c>
      <c r="BV189">
        <v>13.5</v>
      </c>
      <c r="BW189">
        <v>12.24</v>
      </c>
      <c r="BX189">
        <v>1.99</v>
      </c>
      <c r="BY189">
        <v>114.8</v>
      </c>
      <c r="BZ189">
        <v>93.3</v>
      </c>
      <c r="CA189">
        <v>0.55000000000000004</v>
      </c>
      <c r="CB189">
        <v>0.82</v>
      </c>
      <c r="CC189">
        <v>48.8</v>
      </c>
      <c r="CD189">
        <v>2.0699999999999998</v>
      </c>
      <c r="CE189">
        <v>5.28</v>
      </c>
      <c r="CF189">
        <v>187.7</v>
      </c>
      <c r="CG189">
        <v>15.5</v>
      </c>
      <c r="CH189">
        <v>275</v>
      </c>
      <c r="CI189">
        <v>5.28</v>
      </c>
      <c r="CJ189">
        <v>1.6</v>
      </c>
      <c r="CK189">
        <v>1</v>
      </c>
      <c r="CL189" s="42" t="str">
        <f t="shared" si="29"/>
        <v>1</v>
      </c>
      <c r="CM189">
        <v>16</v>
      </c>
      <c r="CN189" s="4">
        <v>0.32</v>
      </c>
      <c r="CO189">
        <v>7</v>
      </c>
      <c r="CP189" s="42" t="str">
        <f t="shared" si="30"/>
        <v>1</v>
      </c>
      <c r="CQ189" s="4">
        <v>110.33333333333333</v>
      </c>
      <c r="CR189" s="4">
        <v>1.9135802469135801</v>
      </c>
      <c r="CS189" s="43" t="str">
        <f t="shared" si="31"/>
        <v>1</v>
      </c>
      <c r="CT189" s="4">
        <f t="shared" si="32"/>
        <v>126.33333333333333</v>
      </c>
      <c r="CU189" s="4">
        <f t="shared" si="33"/>
        <v>2.2335802469135801</v>
      </c>
      <c r="CV189" s="4">
        <v>2</v>
      </c>
    </row>
    <row r="190" spans="1:100" x14ac:dyDescent="0.3">
      <c r="A190" s="15" t="s">
        <v>420</v>
      </c>
      <c r="B190" s="17">
        <v>0</v>
      </c>
      <c r="C190" s="3">
        <v>35</v>
      </c>
      <c r="D190">
        <v>1</v>
      </c>
      <c r="E190">
        <v>3</v>
      </c>
      <c r="F190">
        <v>2</v>
      </c>
      <c r="G190">
        <v>1</v>
      </c>
      <c r="H190">
        <v>0</v>
      </c>
      <c r="I190">
        <v>0</v>
      </c>
      <c r="J190" s="4">
        <v>84.9</v>
      </c>
      <c r="K190" s="4">
        <f t="shared" si="38"/>
        <v>1.83</v>
      </c>
      <c r="L190">
        <v>183</v>
      </c>
      <c r="M190" s="4">
        <f t="shared" si="36"/>
        <v>21.904199999999999</v>
      </c>
      <c r="N190" s="4">
        <v>59.7</v>
      </c>
      <c r="O190" s="4">
        <v>25.8</v>
      </c>
      <c r="P190" s="40">
        <v>1</v>
      </c>
      <c r="Q190">
        <v>97.2</v>
      </c>
      <c r="R190" s="37">
        <v>1</v>
      </c>
      <c r="S190">
        <v>104.3</v>
      </c>
      <c r="T190" s="5">
        <f t="shared" si="35"/>
        <v>0.93192713326941523</v>
      </c>
      <c r="U190" s="37">
        <v>1</v>
      </c>
      <c r="V190" s="4">
        <f t="shared" si="26"/>
        <v>25.351607990683508</v>
      </c>
      <c r="W190" s="39">
        <v>1</v>
      </c>
      <c r="X190">
        <v>12</v>
      </c>
      <c r="Y190" s="37">
        <v>1</v>
      </c>
      <c r="Z190">
        <v>16.66</v>
      </c>
      <c r="AA190" s="23">
        <f t="shared" si="28"/>
        <v>3.8562420711111112</v>
      </c>
      <c r="AB190" s="84">
        <v>1</v>
      </c>
      <c r="AC190" s="5">
        <v>5.2080099999999998</v>
      </c>
      <c r="AD190" s="37">
        <v>0</v>
      </c>
      <c r="AE190" s="5">
        <v>17.307089999999999</v>
      </c>
      <c r="AF190" s="5">
        <v>7.4602199999999996</v>
      </c>
      <c r="AG190" s="37">
        <v>1</v>
      </c>
      <c r="AH190" s="5">
        <v>1.3583499999999999</v>
      </c>
      <c r="AI190" s="37">
        <v>0</v>
      </c>
      <c r="AJ190" s="5">
        <v>5.80335</v>
      </c>
      <c r="AK190" s="37">
        <v>1</v>
      </c>
      <c r="AL190" s="5">
        <v>1.0394399999999999</v>
      </c>
      <c r="AM190" s="37">
        <v>0</v>
      </c>
      <c r="AN190" s="4">
        <f t="shared" si="27"/>
        <v>7.1771530824290002</v>
      </c>
      <c r="AO190" s="37">
        <v>1</v>
      </c>
      <c r="AP190">
        <v>136</v>
      </c>
      <c r="AQ190" s="37">
        <v>1</v>
      </c>
      <c r="AR190">
        <v>76</v>
      </c>
      <c r="AS190" s="37">
        <v>0</v>
      </c>
      <c r="AT190">
        <v>79</v>
      </c>
      <c r="AU190">
        <v>60</v>
      </c>
      <c r="AV190">
        <v>6.2</v>
      </c>
      <c r="AW190" s="37">
        <v>1</v>
      </c>
      <c r="AX190">
        <v>3326</v>
      </c>
      <c r="AY190">
        <v>99</v>
      </c>
      <c r="AZ190">
        <v>79.599999999999994</v>
      </c>
      <c r="BA190">
        <v>586.70000000000005</v>
      </c>
      <c r="BB190">
        <v>10.199999999999999</v>
      </c>
      <c r="BC190">
        <v>524.1</v>
      </c>
      <c r="BD190">
        <v>32.1</v>
      </c>
      <c r="BE190">
        <v>18.2</v>
      </c>
      <c r="BF190">
        <v>251.3</v>
      </c>
      <c r="BG190">
        <v>21.5</v>
      </c>
      <c r="BH190">
        <v>11.9</v>
      </c>
      <c r="BI190">
        <v>66.099999999999994</v>
      </c>
      <c r="BJ190">
        <v>14.1</v>
      </c>
      <c r="BK190">
        <v>2.1</v>
      </c>
      <c r="BL190">
        <v>52</v>
      </c>
      <c r="BM190">
        <v>10.7</v>
      </c>
      <c r="BN190">
        <v>5.3</v>
      </c>
      <c r="BO190">
        <v>4.6399999999999997</v>
      </c>
      <c r="BP190">
        <v>0.33</v>
      </c>
      <c r="BQ190">
        <v>0</v>
      </c>
      <c r="BR190">
        <v>521</v>
      </c>
      <c r="BS190">
        <v>338.1</v>
      </c>
      <c r="BT190">
        <v>5320</v>
      </c>
      <c r="BU190">
        <v>3061</v>
      </c>
      <c r="BV190">
        <v>18.45</v>
      </c>
      <c r="BW190">
        <v>13.2</v>
      </c>
      <c r="BX190">
        <v>2.25</v>
      </c>
      <c r="BY190">
        <v>47</v>
      </c>
      <c r="BZ190">
        <v>55.6</v>
      </c>
      <c r="CA190">
        <v>5.87</v>
      </c>
      <c r="CB190">
        <v>4.99</v>
      </c>
      <c r="CC190">
        <v>33</v>
      </c>
      <c r="CD190">
        <v>1.21</v>
      </c>
      <c r="CE190">
        <v>1.25</v>
      </c>
      <c r="CF190">
        <v>406</v>
      </c>
      <c r="CG190">
        <v>43.1</v>
      </c>
      <c r="CH190">
        <v>993</v>
      </c>
      <c r="CI190">
        <v>2.94</v>
      </c>
      <c r="CJ190">
        <v>2.5</v>
      </c>
      <c r="CK190">
        <v>0</v>
      </c>
      <c r="CL190" s="42" t="str">
        <f t="shared" si="29"/>
        <v>1</v>
      </c>
      <c r="CM190">
        <v>0</v>
      </c>
      <c r="CN190" s="4">
        <v>0</v>
      </c>
      <c r="CO190">
        <v>3</v>
      </c>
      <c r="CP190" s="42" t="str">
        <f t="shared" si="30"/>
        <v>2</v>
      </c>
      <c r="CQ190" s="4">
        <v>173</v>
      </c>
      <c r="CR190" s="4">
        <v>1.5555555555555556</v>
      </c>
      <c r="CS190" s="43" t="str">
        <f t="shared" si="31"/>
        <v>2</v>
      </c>
      <c r="CT190" s="4">
        <f t="shared" si="32"/>
        <v>173</v>
      </c>
      <c r="CU190" s="4">
        <f t="shared" si="33"/>
        <v>1.5555555555555556</v>
      </c>
      <c r="CV190" s="4">
        <v>1</v>
      </c>
    </row>
    <row r="191" spans="1:100" x14ac:dyDescent="0.3">
      <c r="A191" s="15" t="s">
        <v>421</v>
      </c>
      <c r="B191" s="17">
        <v>0</v>
      </c>
      <c r="C191" s="3">
        <v>53</v>
      </c>
      <c r="D191">
        <v>2</v>
      </c>
      <c r="E191">
        <v>1</v>
      </c>
      <c r="F191">
        <v>2</v>
      </c>
      <c r="G191">
        <v>1</v>
      </c>
      <c r="H191">
        <v>0</v>
      </c>
      <c r="I191">
        <v>1</v>
      </c>
      <c r="J191" s="4">
        <v>57.9</v>
      </c>
      <c r="K191" s="4">
        <f t="shared" si="38"/>
        <v>1.66</v>
      </c>
      <c r="L191">
        <v>166</v>
      </c>
      <c r="M191" s="4">
        <f t="shared" si="36"/>
        <v>12.274800000000001</v>
      </c>
      <c r="N191" s="4">
        <v>43.2</v>
      </c>
      <c r="O191" s="4">
        <v>21.2</v>
      </c>
      <c r="P191" s="40">
        <v>0</v>
      </c>
      <c r="Q191">
        <v>81.2</v>
      </c>
      <c r="R191" s="37">
        <v>0</v>
      </c>
      <c r="S191">
        <v>91.8</v>
      </c>
      <c r="T191" s="5">
        <f t="shared" si="35"/>
        <v>0.88453159041394336</v>
      </c>
      <c r="U191" s="37">
        <v>0</v>
      </c>
      <c r="V191" s="4">
        <f t="shared" si="26"/>
        <v>21.011757874872988</v>
      </c>
      <c r="W191" s="39">
        <v>0</v>
      </c>
      <c r="X191">
        <v>10</v>
      </c>
      <c r="Y191" s="37">
        <v>1</v>
      </c>
      <c r="Z191">
        <v>9.7899999999999991</v>
      </c>
      <c r="AA191" s="23">
        <f t="shared" si="28"/>
        <v>2.2570475155555552</v>
      </c>
      <c r="AB191" s="84">
        <v>0</v>
      </c>
      <c r="AC191" s="5">
        <v>5.18729</v>
      </c>
      <c r="AD191" s="37">
        <v>0</v>
      </c>
      <c r="AE191" s="5">
        <v>29.140470000000001</v>
      </c>
      <c r="AF191" s="5">
        <v>4.2659200000000004</v>
      </c>
      <c r="AG191" s="37">
        <v>0</v>
      </c>
      <c r="AH191" s="5">
        <v>0.91662999999999994</v>
      </c>
      <c r="AI191" s="37">
        <v>0</v>
      </c>
      <c r="AJ191" s="5">
        <v>2.5968599999999999</v>
      </c>
      <c r="AK191" s="37">
        <v>0</v>
      </c>
      <c r="AL191" s="5">
        <v>1.2524</v>
      </c>
      <c r="AM191" s="37">
        <v>0</v>
      </c>
      <c r="AN191" s="4">
        <f t="shared" si="27"/>
        <v>3.4061961034813164</v>
      </c>
      <c r="AO191" s="37">
        <v>0</v>
      </c>
      <c r="AP191">
        <v>145</v>
      </c>
      <c r="AQ191" s="37">
        <v>1</v>
      </c>
      <c r="AR191">
        <v>91</v>
      </c>
      <c r="AS191" s="37">
        <v>1</v>
      </c>
      <c r="AT191">
        <v>69</v>
      </c>
      <c r="AU191">
        <v>54</v>
      </c>
      <c r="AV191">
        <v>8.1</v>
      </c>
      <c r="AW191" s="37">
        <v>0</v>
      </c>
      <c r="AX191">
        <v>2409</v>
      </c>
      <c r="AY191">
        <v>60.5</v>
      </c>
      <c r="AZ191">
        <v>36.9</v>
      </c>
      <c r="BA191">
        <v>488</v>
      </c>
      <c r="BB191">
        <v>6.6</v>
      </c>
      <c r="BC191">
        <v>435.8</v>
      </c>
      <c r="BD191">
        <v>38.700000000000003</v>
      </c>
      <c r="BE191">
        <v>34.4</v>
      </c>
      <c r="BF191">
        <v>87.3</v>
      </c>
      <c r="BG191">
        <v>13.8</v>
      </c>
      <c r="BH191">
        <v>10</v>
      </c>
      <c r="BI191">
        <v>76</v>
      </c>
      <c r="BJ191">
        <v>6.6</v>
      </c>
      <c r="BK191">
        <v>5.3</v>
      </c>
      <c r="BL191">
        <v>17.7</v>
      </c>
      <c r="BM191">
        <v>6.3</v>
      </c>
      <c r="BN191">
        <v>1.7</v>
      </c>
      <c r="BO191">
        <v>1.54</v>
      </c>
      <c r="BP191">
        <v>0.09</v>
      </c>
      <c r="BQ191">
        <v>0.02</v>
      </c>
      <c r="BR191">
        <v>291</v>
      </c>
      <c r="BS191">
        <v>173.6</v>
      </c>
      <c r="BT191">
        <v>2697</v>
      </c>
      <c r="BU191">
        <v>1546</v>
      </c>
      <c r="BV191">
        <v>9.34</v>
      </c>
      <c r="BW191">
        <v>7.94</v>
      </c>
      <c r="BX191">
        <v>1.22</v>
      </c>
      <c r="BY191">
        <v>11.4</v>
      </c>
      <c r="BZ191">
        <v>32.1</v>
      </c>
      <c r="CA191">
        <v>0.53</v>
      </c>
      <c r="CB191">
        <v>0.56000000000000005</v>
      </c>
      <c r="CC191">
        <v>23.2</v>
      </c>
      <c r="CD191">
        <v>0.62</v>
      </c>
      <c r="CE191">
        <v>0.82</v>
      </c>
      <c r="CF191">
        <v>192.6</v>
      </c>
      <c r="CG191">
        <v>6.9</v>
      </c>
      <c r="CH191">
        <v>249</v>
      </c>
      <c r="CI191">
        <v>1.1200000000000001</v>
      </c>
      <c r="CJ191">
        <v>1.7</v>
      </c>
      <c r="CK191">
        <v>0</v>
      </c>
      <c r="CL191" s="42" t="str">
        <f t="shared" si="29"/>
        <v>1</v>
      </c>
      <c r="CM191">
        <v>0</v>
      </c>
      <c r="CN191" s="4">
        <v>0</v>
      </c>
      <c r="CO191">
        <v>6</v>
      </c>
      <c r="CP191" s="42" t="str">
        <f t="shared" si="30"/>
        <v>1</v>
      </c>
      <c r="CQ191" s="4">
        <v>97</v>
      </c>
      <c r="CR191" s="4">
        <v>2.1617283950617283</v>
      </c>
      <c r="CS191" s="43" t="str">
        <f t="shared" si="31"/>
        <v>1</v>
      </c>
      <c r="CT191" s="4">
        <f t="shared" si="32"/>
        <v>97</v>
      </c>
      <c r="CU191" s="4">
        <f t="shared" si="33"/>
        <v>2.1617283950617283</v>
      </c>
      <c r="CV191" s="4">
        <v>2</v>
      </c>
    </row>
    <row r="192" spans="1:100" x14ac:dyDescent="0.3">
      <c r="A192" s="15" t="s">
        <v>422</v>
      </c>
      <c r="B192" s="17">
        <v>0</v>
      </c>
      <c r="C192">
        <v>43</v>
      </c>
      <c r="D192">
        <v>1</v>
      </c>
      <c r="E192">
        <v>3</v>
      </c>
      <c r="F192">
        <v>1</v>
      </c>
      <c r="G192">
        <v>0</v>
      </c>
      <c r="H192">
        <v>0</v>
      </c>
      <c r="I192">
        <v>0</v>
      </c>
      <c r="J192">
        <v>62.5</v>
      </c>
      <c r="K192" s="4">
        <f t="shared" si="38"/>
        <v>1.571</v>
      </c>
      <c r="L192">
        <v>157.1</v>
      </c>
      <c r="M192" s="4">
        <f t="shared" si="36"/>
        <v>16.9375</v>
      </c>
      <c r="N192" s="4">
        <v>42.7</v>
      </c>
      <c r="O192" s="4">
        <v>27.1</v>
      </c>
      <c r="P192" s="40">
        <v>1</v>
      </c>
      <c r="Q192">
        <v>90.9</v>
      </c>
      <c r="R192" s="37">
        <v>1</v>
      </c>
      <c r="S192">
        <v>92.6</v>
      </c>
      <c r="T192" s="5">
        <f t="shared" si="35"/>
        <v>0.98164146868250557</v>
      </c>
      <c r="U192" s="37">
        <v>1</v>
      </c>
      <c r="V192" s="4">
        <f t="shared" si="26"/>
        <v>25.323728414560374</v>
      </c>
      <c r="W192" s="39">
        <v>1</v>
      </c>
      <c r="X192">
        <v>12</v>
      </c>
      <c r="Y192" s="37">
        <v>1</v>
      </c>
      <c r="Z192">
        <v>21.08</v>
      </c>
      <c r="AA192" s="23">
        <f t="shared" si="28"/>
        <v>4.4612306666666663</v>
      </c>
      <c r="AB192" s="84">
        <v>1</v>
      </c>
      <c r="AC192" s="5">
        <v>4.7617500000000001</v>
      </c>
      <c r="AD192" s="37">
        <v>0</v>
      </c>
      <c r="AE192" s="5">
        <v>18.964200000000002</v>
      </c>
      <c r="AF192" s="5">
        <v>7.1935500000000001</v>
      </c>
      <c r="AG192" s="37">
        <v>1</v>
      </c>
      <c r="AH192" s="5">
        <v>1.8272600000000001</v>
      </c>
      <c r="AI192" s="37">
        <v>1</v>
      </c>
      <c r="AJ192" s="5">
        <v>5.0127199999999998</v>
      </c>
      <c r="AK192" s="37">
        <v>1</v>
      </c>
      <c r="AL192" s="5">
        <v>1.35026</v>
      </c>
      <c r="AM192" s="37">
        <v>0</v>
      </c>
      <c r="AN192" s="4">
        <f t="shared" si="27"/>
        <v>5.3275295128345652</v>
      </c>
      <c r="AO192" s="37">
        <v>1</v>
      </c>
      <c r="AP192">
        <v>129</v>
      </c>
      <c r="AQ192" s="38">
        <v>0</v>
      </c>
      <c r="AR192">
        <v>82</v>
      </c>
      <c r="AS192" s="37">
        <v>0</v>
      </c>
      <c r="AT192">
        <v>76</v>
      </c>
      <c r="AU192">
        <v>48</v>
      </c>
      <c r="AV192">
        <v>6.7</v>
      </c>
      <c r="AW192" s="37">
        <v>1</v>
      </c>
      <c r="AX192">
        <v>2119</v>
      </c>
      <c r="AY192">
        <v>45.3</v>
      </c>
      <c r="AZ192">
        <v>57.8</v>
      </c>
      <c r="BA192">
        <v>376.5</v>
      </c>
      <c r="BB192">
        <v>7.2</v>
      </c>
      <c r="BC192">
        <v>290.5</v>
      </c>
      <c r="BD192">
        <v>48.9</v>
      </c>
      <c r="BE192">
        <v>38.200000000000003</v>
      </c>
      <c r="BF192">
        <v>26.7</v>
      </c>
      <c r="BG192">
        <v>24.5</v>
      </c>
      <c r="BH192">
        <v>8.5</v>
      </c>
      <c r="BI192">
        <v>66.599999999999994</v>
      </c>
      <c r="BJ192">
        <v>19.2</v>
      </c>
      <c r="BK192">
        <v>6.8</v>
      </c>
      <c r="BL192">
        <v>45.3</v>
      </c>
      <c r="BM192">
        <v>4.5</v>
      </c>
      <c r="BN192">
        <v>2.2999999999999998</v>
      </c>
      <c r="BO192">
        <v>1.73</v>
      </c>
      <c r="BP192">
        <v>0.25</v>
      </c>
      <c r="BQ192">
        <v>0.05</v>
      </c>
      <c r="BR192">
        <v>361</v>
      </c>
      <c r="BS192">
        <v>218.3</v>
      </c>
      <c r="BT192">
        <v>3026</v>
      </c>
      <c r="BU192">
        <v>1875</v>
      </c>
      <c r="BV192">
        <v>9.83</v>
      </c>
      <c r="BW192">
        <v>7.84</v>
      </c>
      <c r="BX192">
        <v>2.17</v>
      </c>
      <c r="BY192">
        <v>50.1</v>
      </c>
      <c r="BZ192">
        <v>71.5</v>
      </c>
      <c r="CA192">
        <v>0.44</v>
      </c>
      <c r="CB192">
        <v>0.59</v>
      </c>
      <c r="CC192">
        <v>13.3</v>
      </c>
      <c r="CD192">
        <v>0.91</v>
      </c>
      <c r="CE192">
        <v>1.52</v>
      </c>
      <c r="CF192">
        <v>167.7</v>
      </c>
      <c r="CG192">
        <v>19.5</v>
      </c>
      <c r="CH192">
        <v>230</v>
      </c>
      <c r="CI192">
        <v>1.18</v>
      </c>
      <c r="CJ192">
        <v>1.5</v>
      </c>
      <c r="CK192" s="26"/>
      <c r="CL192" s="42" t="str">
        <f t="shared" si="29"/>
        <v>1</v>
      </c>
      <c r="CM192">
        <v>0</v>
      </c>
      <c r="CN192" s="4" t="e">
        <v>#DIV/0!</v>
      </c>
      <c r="CO192" s="26"/>
      <c r="CP192" s="42" t="str">
        <f t="shared" si="30"/>
        <v>1</v>
      </c>
      <c r="CQ192" s="4">
        <v>0</v>
      </c>
      <c r="CR192" s="4">
        <v>0</v>
      </c>
      <c r="CS192" s="43" t="str">
        <f t="shared" si="31"/>
        <v>1</v>
      </c>
      <c r="CT192" s="4">
        <f t="shared" si="32"/>
        <v>0</v>
      </c>
      <c r="CU192" s="4" t="e">
        <f t="shared" si="33"/>
        <v>#DIV/0!</v>
      </c>
    </row>
    <row r="193" spans="1:100" x14ac:dyDescent="0.3">
      <c r="A193" s="15" t="s">
        <v>423</v>
      </c>
      <c r="B193" s="17">
        <v>0</v>
      </c>
      <c r="C193" s="3">
        <v>42</v>
      </c>
      <c r="D193">
        <v>2</v>
      </c>
      <c r="E193">
        <v>1</v>
      </c>
      <c r="F193">
        <v>2</v>
      </c>
      <c r="G193">
        <v>0</v>
      </c>
      <c r="H193">
        <v>1</v>
      </c>
      <c r="I193">
        <v>1</v>
      </c>
      <c r="J193" s="4">
        <v>72.2</v>
      </c>
      <c r="K193" s="4">
        <f t="shared" si="38"/>
        <v>1.66</v>
      </c>
      <c r="L193">
        <v>166</v>
      </c>
      <c r="M193" s="4">
        <f t="shared" si="36"/>
        <v>19.999400000000001</v>
      </c>
      <c r="N193" s="4">
        <v>49.5</v>
      </c>
      <c r="O193" s="4">
        <v>27.7</v>
      </c>
      <c r="P193" s="40">
        <v>1</v>
      </c>
      <c r="Q193">
        <v>95.8</v>
      </c>
      <c r="R193" s="37">
        <v>1</v>
      </c>
      <c r="S193">
        <v>97.7</v>
      </c>
      <c r="T193" s="5">
        <f t="shared" si="35"/>
        <v>0.98055271238485153</v>
      </c>
      <c r="U193" s="37">
        <v>1</v>
      </c>
      <c r="V193" s="4">
        <f t="shared" si="26"/>
        <v>26.201190303382205</v>
      </c>
      <c r="W193" s="39">
        <v>1</v>
      </c>
      <c r="X193">
        <v>13</v>
      </c>
      <c r="Y193" s="37">
        <v>1</v>
      </c>
      <c r="Z193">
        <v>11.41</v>
      </c>
      <c r="AA193" s="23">
        <f t="shared" si="28"/>
        <v>2.603163608888889</v>
      </c>
      <c r="AB193" s="84">
        <v>0</v>
      </c>
      <c r="AC193" s="5">
        <v>5.1333200000000003</v>
      </c>
      <c r="AD193" s="37">
        <v>0</v>
      </c>
      <c r="AE193" s="5">
        <v>18.41431</v>
      </c>
      <c r="AF193" s="5">
        <v>5.5049099999999997</v>
      </c>
      <c r="AG193" s="37">
        <v>1</v>
      </c>
      <c r="AH193" s="5">
        <v>1.6095600000000001</v>
      </c>
      <c r="AI193" s="37">
        <v>0</v>
      </c>
      <c r="AJ193" s="5">
        <v>3.6858499999999998</v>
      </c>
      <c r="AK193" s="37">
        <v>1</v>
      </c>
      <c r="AL193" s="5">
        <v>1.0874299999999999</v>
      </c>
      <c r="AM193" s="37">
        <v>0</v>
      </c>
      <c r="AN193" s="4">
        <f t="shared" si="27"/>
        <v>5.0623120568680289</v>
      </c>
      <c r="AO193" s="37">
        <v>1</v>
      </c>
      <c r="AP193">
        <v>134</v>
      </c>
      <c r="AQ193" s="37">
        <v>1</v>
      </c>
      <c r="AR193">
        <v>91</v>
      </c>
      <c r="AS193" s="37">
        <v>1</v>
      </c>
      <c r="AT193">
        <v>86</v>
      </c>
      <c r="AU193">
        <v>43</v>
      </c>
      <c r="AV193">
        <v>6.7</v>
      </c>
      <c r="AW193" s="37">
        <v>1</v>
      </c>
      <c r="AX193">
        <v>2006</v>
      </c>
      <c r="AY193">
        <v>51.2</v>
      </c>
      <c r="AZ193">
        <v>39.200000000000003</v>
      </c>
      <c r="BA193">
        <v>384</v>
      </c>
      <c r="BB193">
        <v>5.4</v>
      </c>
      <c r="BC193">
        <v>305.2</v>
      </c>
      <c r="BD193">
        <v>53.5</v>
      </c>
      <c r="BE193">
        <v>41.8</v>
      </c>
      <c r="BF193">
        <v>116.3</v>
      </c>
      <c r="BG193">
        <v>17.600000000000001</v>
      </c>
      <c r="BH193">
        <v>10.199999999999999</v>
      </c>
      <c r="BI193">
        <v>71.8</v>
      </c>
      <c r="BJ193">
        <v>9.1</v>
      </c>
      <c r="BK193">
        <v>7.8</v>
      </c>
      <c r="BL193">
        <v>20.399999999999999</v>
      </c>
      <c r="BM193">
        <v>4.5</v>
      </c>
      <c r="BN193">
        <v>2</v>
      </c>
      <c r="BO193">
        <v>1.51</v>
      </c>
      <c r="BP193">
        <v>0.4</v>
      </c>
      <c r="BQ193">
        <v>0.18</v>
      </c>
      <c r="BR193">
        <v>372</v>
      </c>
      <c r="BS193">
        <v>155</v>
      </c>
      <c r="BT193">
        <v>2355</v>
      </c>
      <c r="BU193">
        <v>1434</v>
      </c>
      <c r="BV193">
        <v>11.08</v>
      </c>
      <c r="BW193">
        <v>6.71</v>
      </c>
      <c r="BX193">
        <v>0.98</v>
      </c>
      <c r="BY193">
        <v>17.899999999999999</v>
      </c>
      <c r="BZ193">
        <v>32.799999999999997</v>
      </c>
      <c r="CA193">
        <v>0.42</v>
      </c>
      <c r="CB193">
        <v>0.6</v>
      </c>
      <c r="CC193">
        <v>17</v>
      </c>
      <c r="CD193">
        <v>1.1100000000000001</v>
      </c>
      <c r="CE193">
        <v>2.54</v>
      </c>
      <c r="CF193">
        <v>161.1</v>
      </c>
      <c r="CG193">
        <v>18.5</v>
      </c>
      <c r="CH193">
        <v>283</v>
      </c>
      <c r="CI193">
        <v>2.91</v>
      </c>
      <c r="CJ193">
        <v>1.5</v>
      </c>
      <c r="CK193">
        <v>0</v>
      </c>
      <c r="CL193" s="42" t="str">
        <f t="shared" si="29"/>
        <v>1</v>
      </c>
      <c r="CM193">
        <v>0</v>
      </c>
      <c r="CN193" s="4">
        <v>0</v>
      </c>
      <c r="CO193">
        <v>7</v>
      </c>
      <c r="CP193" s="42" t="str">
        <f t="shared" si="30"/>
        <v>1</v>
      </c>
      <c r="CQ193" s="4">
        <v>135.33333333333334</v>
      </c>
      <c r="CR193" s="4">
        <v>2.0592592592592593</v>
      </c>
      <c r="CS193" s="43" t="str">
        <f t="shared" si="31"/>
        <v>1</v>
      </c>
      <c r="CT193" s="4">
        <f t="shared" si="32"/>
        <v>135.33333333333334</v>
      </c>
      <c r="CU193" s="4">
        <f t="shared" si="33"/>
        <v>2.0592592592592593</v>
      </c>
      <c r="CV193" s="4">
        <v>2</v>
      </c>
    </row>
    <row r="194" spans="1:100" x14ac:dyDescent="0.3">
      <c r="A194" s="15" t="s">
        <v>424</v>
      </c>
      <c r="B194" s="17">
        <v>0</v>
      </c>
      <c r="C194" s="3">
        <v>35</v>
      </c>
      <c r="D194">
        <v>2</v>
      </c>
      <c r="E194">
        <v>2</v>
      </c>
      <c r="F194">
        <v>2</v>
      </c>
      <c r="G194">
        <v>0</v>
      </c>
      <c r="H194">
        <v>1</v>
      </c>
      <c r="I194">
        <v>1</v>
      </c>
      <c r="J194" s="4">
        <v>46.9</v>
      </c>
      <c r="K194" s="4">
        <f t="shared" si="38"/>
        <v>1.59</v>
      </c>
      <c r="L194">
        <v>159</v>
      </c>
      <c r="M194" s="4">
        <f t="shared" si="36"/>
        <v>5.2527999999999997</v>
      </c>
      <c r="N194" s="4">
        <v>39.4</v>
      </c>
      <c r="O194" s="4">
        <v>11.2</v>
      </c>
      <c r="P194" s="40">
        <v>0</v>
      </c>
      <c r="Q194">
        <v>70.2</v>
      </c>
      <c r="R194" s="37">
        <v>0</v>
      </c>
      <c r="S194">
        <v>82.2</v>
      </c>
      <c r="T194" s="5">
        <f t="shared" si="35"/>
        <v>0.85401459854014594</v>
      </c>
      <c r="U194" s="37">
        <v>0</v>
      </c>
      <c r="V194" s="4">
        <f t="shared" si="26"/>
        <v>18.551481349630155</v>
      </c>
      <c r="W194" s="39">
        <v>0</v>
      </c>
      <c r="X194">
        <v>1</v>
      </c>
      <c r="Y194" s="40">
        <v>0</v>
      </c>
      <c r="Z194">
        <v>7.24</v>
      </c>
      <c r="AA194" s="23">
        <f t="shared" si="28"/>
        <v>1.4354217066666668</v>
      </c>
      <c r="AB194" s="84">
        <v>0</v>
      </c>
      <c r="AC194" s="5">
        <v>4.4609100000000002</v>
      </c>
      <c r="AD194" s="37">
        <v>0</v>
      </c>
      <c r="AE194" s="5">
        <v>17.695810000000002</v>
      </c>
      <c r="AF194" s="5">
        <v>5.8604000000000003</v>
      </c>
      <c r="AG194" s="37">
        <v>1</v>
      </c>
      <c r="AH194" s="5">
        <v>0.85221999999999998</v>
      </c>
      <c r="AI194" s="37">
        <v>0</v>
      </c>
      <c r="AJ194" s="5">
        <v>3.9687600000000001</v>
      </c>
      <c r="AK194" s="37">
        <v>1</v>
      </c>
      <c r="AL194" s="5">
        <v>1.50427</v>
      </c>
      <c r="AM194" s="37">
        <v>0</v>
      </c>
      <c r="AN194" s="4">
        <f t="shared" si="27"/>
        <v>3.8958431664528312</v>
      </c>
      <c r="AO194" s="37">
        <v>0</v>
      </c>
      <c r="AP194">
        <v>117</v>
      </c>
      <c r="AQ194" s="38">
        <v>0</v>
      </c>
      <c r="AR194">
        <v>84</v>
      </c>
      <c r="AS194" s="37">
        <v>0</v>
      </c>
      <c r="AT194">
        <v>69</v>
      </c>
      <c r="AU194">
        <v>33</v>
      </c>
      <c r="AV194">
        <v>5.5</v>
      </c>
      <c r="AW194" s="37">
        <v>1</v>
      </c>
      <c r="AX194">
        <v>1545</v>
      </c>
      <c r="AY194">
        <v>41.6</v>
      </c>
      <c r="AZ194">
        <v>35.4</v>
      </c>
      <c r="BA194">
        <v>281.89999999999998</v>
      </c>
      <c r="BB194">
        <v>6</v>
      </c>
      <c r="BC194">
        <v>258.2</v>
      </c>
      <c r="BD194">
        <v>18.7</v>
      </c>
      <c r="BE194">
        <v>5.8</v>
      </c>
      <c r="BF194">
        <v>85.3</v>
      </c>
      <c r="BG194">
        <v>20.6</v>
      </c>
      <c r="BH194">
        <v>10.8</v>
      </c>
      <c r="BI194">
        <v>68.400000000000006</v>
      </c>
      <c r="BJ194">
        <v>15</v>
      </c>
      <c r="BK194">
        <v>1.4</v>
      </c>
      <c r="BL194">
        <v>25.7</v>
      </c>
      <c r="BM194">
        <v>3.9</v>
      </c>
      <c r="BN194">
        <v>2.2999999999999998</v>
      </c>
      <c r="BO194">
        <v>2.13</v>
      </c>
      <c r="BP194">
        <v>0.09</v>
      </c>
      <c r="BQ194">
        <v>0</v>
      </c>
      <c r="BR194">
        <v>204</v>
      </c>
      <c r="BS194">
        <v>126.4</v>
      </c>
      <c r="BT194">
        <v>2609</v>
      </c>
      <c r="BU194">
        <v>1158</v>
      </c>
      <c r="BV194">
        <v>8.6300000000000008</v>
      </c>
      <c r="BW194">
        <v>6.65</v>
      </c>
      <c r="BX194">
        <v>1.1599999999999999</v>
      </c>
      <c r="BY194">
        <v>53.4</v>
      </c>
      <c r="BZ194">
        <v>51.7</v>
      </c>
      <c r="CA194">
        <v>0.41</v>
      </c>
      <c r="CB194">
        <v>0.32</v>
      </c>
      <c r="CC194">
        <v>16.399999999999999</v>
      </c>
      <c r="CD194">
        <v>0.86</v>
      </c>
      <c r="CE194">
        <v>0.85</v>
      </c>
      <c r="CF194">
        <v>114.5</v>
      </c>
      <c r="CG194">
        <v>20.5</v>
      </c>
      <c r="CH194">
        <v>310</v>
      </c>
      <c r="CI194">
        <v>0.36</v>
      </c>
      <c r="CJ194">
        <v>0.8</v>
      </c>
      <c r="CK194">
        <v>0</v>
      </c>
      <c r="CL194" s="42" t="str">
        <f t="shared" si="29"/>
        <v>1</v>
      </c>
      <c r="CM194">
        <v>0</v>
      </c>
      <c r="CN194" s="4">
        <v>0</v>
      </c>
      <c r="CO194">
        <v>2</v>
      </c>
      <c r="CP194" s="42" t="str">
        <f t="shared" si="30"/>
        <v>1</v>
      </c>
      <c r="CQ194" s="4">
        <v>47</v>
      </c>
      <c r="CR194" s="4">
        <v>0.83333333333333337</v>
      </c>
      <c r="CS194" s="43" t="str">
        <f t="shared" si="31"/>
        <v>1</v>
      </c>
      <c r="CT194" s="4">
        <f t="shared" si="32"/>
        <v>47</v>
      </c>
      <c r="CU194" s="4">
        <f t="shared" si="33"/>
        <v>0.83333333333333337</v>
      </c>
      <c r="CV194" s="4">
        <v>1</v>
      </c>
    </row>
    <row r="195" spans="1:100" x14ac:dyDescent="0.3">
      <c r="A195" s="15" t="s">
        <v>425</v>
      </c>
      <c r="B195" s="17">
        <v>0</v>
      </c>
      <c r="C195" s="3">
        <v>42</v>
      </c>
      <c r="D195">
        <v>2</v>
      </c>
      <c r="E195">
        <v>1</v>
      </c>
      <c r="F195">
        <v>2</v>
      </c>
      <c r="G195">
        <v>0</v>
      </c>
      <c r="H195">
        <v>0</v>
      </c>
      <c r="I195">
        <v>0</v>
      </c>
      <c r="J195" s="4">
        <v>53.2</v>
      </c>
      <c r="K195" s="4">
        <f t="shared" si="38"/>
        <v>1.57</v>
      </c>
      <c r="L195">
        <v>157</v>
      </c>
      <c r="M195" s="4">
        <f t="shared" si="36"/>
        <v>12.1296</v>
      </c>
      <c r="N195" s="4">
        <v>38.9</v>
      </c>
      <c r="O195" s="4">
        <v>22.8</v>
      </c>
      <c r="P195" s="40">
        <v>0</v>
      </c>
      <c r="Q195">
        <v>74.5</v>
      </c>
      <c r="R195" s="37">
        <v>0</v>
      </c>
      <c r="S195">
        <v>83.2</v>
      </c>
      <c r="T195" s="5">
        <f t="shared" si="35"/>
        <v>0.89543269230769229</v>
      </c>
      <c r="U195" s="37">
        <v>0</v>
      </c>
      <c r="V195" s="4">
        <f t="shared" si="26"/>
        <v>21.583025680554993</v>
      </c>
      <c r="W195" s="39">
        <v>0</v>
      </c>
      <c r="X195">
        <v>9</v>
      </c>
      <c r="Y195" s="40">
        <v>0</v>
      </c>
      <c r="Z195">
        <v>10.56</v>
      </c>
      <c r="AA195" s="23">
        <f t="shared" si="28"/>
        <v>2.3278933333333334</v>
      </c>
      <c r="AB195" s="84">
        <v>0</v>
      </c>
      <c r="AC195" s="5">
        <v>4.96</v>
      </c>
      <c r="AD195" s="37">
        <v>0</v>
      </c>
      <c r="AE195" s="5">
        <v>17.55</v>
      </c>
      <c r="AF195" s="5">
        <v>5.24</v>
      </c>
      <c r="AG195" s="37">
        <v>1</v>
      </c>
      <c r="AH195" s="5">
        <v>1.34</v>
      </c>
      <c r="AI195" s="37">
        <v>0</v>
      </c>
      <c r="AJ195" s="5">
        <v>3.59</v>
      </c>
      <c r="AK195" s="37">
        <v>1</v>
      </c>
      <c r="AL195" s="5">
        <v>1.05</v>
      </c>
      <c r="AM195" s="37">
        <v>0</v>
      </c>
      <c r="AN195" s="4">
        <f t="shared" si="27"/>
        <v>4.9904761904761905</v>
      </c>
      <c r="AO195" s="37">
        <v>1</v>
      </c>
      <c r="AP195">
        <v>113</v>
      </c>
      <c r="AQ195" s="38">
        <v>0</v>
      </c>
      <c r="AR195">
        <v>75</v>
      </c>
      <c r="AS195" s="37">
        <v>0</v>
      </c>
      <c r="AT195">
        <v>84</v>
      </c>
      <c r="AU195">
        <v>38</v>
      </c>
      <c r="AV195">
        <v>6</v>
      </c>
      <c r="AW195" s="37">
        <v>1</v>
      </c>
      <c r="AX195">
        <v>2130</v>
      </c>
      <c r="AY195">
        <v>54.9</v>
      </c>
      <c r="AZ195">
        <v>46.6</v>
      </c>
      <c r="BA195">
        <v>395.8</v>
      </c>
      <c r="BB195">
        <v>6.3</v>
      </c>
      <c r="BC195">
        <v>350.3</v>
      </c>
      <c r="BD195">
        <v>14</v>
      </c>
      <c r="BE195">
        <v>0.1</v>
      </c>
      <c r="BF195">
        <v>86.4</v>
      </c>
      <c r="BG195">
        <v>19.7</v>
      </c>
      <c r="BH195">
        <v>10.3</v>
      </c>
      <c r="BI195">
        <v>69.7</v>
      </c>
      <c r="BJ195">
        <v>14.4</v>
      </c>
      <c r="BK195">
        <v>0</v>
      </c>
      <c r="BL195">
        <v>34.1</v>
      </c>
      <c r="BM195">
        <v>3.8</v>
      </c>
      <c r="BN195">
        <v>1.5</v>
      </c>
      <c r="BO195">
        <v>1</v>
      </c>
      <c r="BP195">
        <v>0.34</v>
      </c>
      <c r="BQ195">
        <v>0.14000000000000001</v>
      </c>
      <c r="BR195">
        <v>477</v>
      </c>
      <c r="BS195">
        <v>201</v>
      </c>
      <c r="BT195">
        <v>3684</v>
      </c>
      <c r="BU195">
        <v>1716</v>
      </c>
      <c r="BV195">
        <v>11.19</v>
      </c>
      <c r="BW195">
        <v>7.75</v>
      </c>
      <c r="BX195">
        <v>1.1100000000000001</v>
      </c>
      <c r="BY195">
        <v>32.200000000000003</v>
      </c>
      <c r="BZ195">
        <v>67.099999999999994</v>
      </c>
      <c r="CA195">
        <v>1.1299999999999999</v>
      </c>
      <c r="CB195">
        <v>0.86</v>
      </c>
      <c r="CC195">
        <v>17.7</v>
      </c>
      <c r="CD195">
        <v>0.44</v>
      </c>
      <c r="CE195">
        <v>2.88</v>
      </c>
      <c r="CF195">
        <v>173.5</v>
      </c>
      <c r="CG195">
        <v>17.8</v>
      </c>
      <c r="CH195">
        <v>242</v>
      </c>
      <c r="CI195">
        <v>2.04</v>
      </c>
      <c r="CJ195">
        <v>1.5</v>
      </c>
      <c r="CK195">
        <v>1</v>
      </c>
      <c r="CL195" s="42" t="str">
        <f t="shared" si="29"/>
        <v>1</v>
      </c>
      <c r="CM195" s="4">
        <v>44.666666666666664</v>
      </c>
      <c r="CN195" s="4">
        <v>0.89333333333333331</v>
      </c>
      <c r="CO195">
        <v>4</v>
      </c>
      <c r="CP195" s="42" t="str">
        <f t="shared" si="30"/>
        <v>2</v>
      </c>
      <c r="CQ195" s="4">
        <v>167.66666666666666</v>
      </c>
      <c r="CR195" s="4">
        <v>1.9308641975308642</v>
      </c>
      <c r="CS195" s="43" t="str">
        <f t="shared" si="31"/>
        <v>2</v>
      </c>
      <c r="CT195" s="4">
        <f t="shared" si="32"/>
        <v>212.33333333333331</v>
      </c>
      <c r="CU195" s="4">
        <f t="shared" si="33"/>
        <v>2.8241975308641978</v>
      </c>
      <c r="CV195" s="4">
        <v>2</v>
      </c>
    </row>
    <row r="196" spans="1:100" x14ac:dyDescent="0.3">
      <c r="A196" s="15" t="s">
        <v>426</v>
      </c>
      <c r="B196" s="17">
        <v>0</v>
      </c>
      <c r="C196" s="3">
        <v>51</v>
      </c>
      <c r="D196">
        <v>2</v>
      </c>
      <c r="E196">
        <v>2</v>
      </c>
      <c r="F196">
        <v>2</v>
      </c>
      <c r="G196">
        <v>1</v>
      </c>
      <c r="H196">
        <v>0</v>
      </c>
      <c r="I196">
        <v>1</v>
      </c>
      <c r="J196" s="4">
        <v>74.2</v>
      </c>
      <c r="K196" s="4">
        <f t="shared" si="38"/>
        <v>1.7</v>
      </c>
      <c r="L196">
        <v>170</v>
      </c>
      <c r="M196" s="4">
        <f t="shared" si="36"/>
        <v>18.55</v>
      </c>
      <c r="N196" s="4">
        <v>52.8</v>
      </c>
      <c r="O196" s="4">
        <v>25</v>
      </c>
      <c r="P196" s="40">
        <v>1</v>
      </c>
      <c r="Q196">
        <v>91.7</v>
      </c>
      <c r="R196" s="37">
        <v>1</v>
      </c>
      <c r="S196">
        <v>95.4</v>
      </c>
      <c r="T196" s="5">
        <f t="shared" si="35"/>
        <v>0.96121593291404606</v>
      </c>
      <c r="U196" s="37">
        <v>1</v>
      </c>
      <c r="V196" s="4">
        <f t="shared" ref="V196:V246" si="39">J196/(K196*K196)</f>
        <v>25.674740484429069</v>
      </c>
      <c r="W196" s="39">
        <v>1</v>
      </c>
      <c r="X196">
        <v>14</v>
      </c>
      <c r="Y196" s="37">
        <v>1</v>
      </c>
      <c r="Z196">
        <v>18.96</v>
      </c>
      <c r="AA196" s="23">
        <f t="shared" ref="AA196:AA238" si="40">(AC196*Z196)/22.5</f>
        <v>3.4005981866666666</v>
      </c>
      <c r="AB196" s="84">
        <v>1</v>
      </c>
      <c r="AC196" s="5">
        <v>4.03552</v>
      </c>
      <c r="AD196" s="37">
        <v>0</v>
      </c>
      <c r="AE196" s="5">
        <v>14.278980000000001</v>
      </c>
      <c r="AF196" s="5">
        <v>5.2978800000000001</v>
      </c>
      <c r="AG196" s="37">
        <v>1</v>
      </c>
      <c r="AH196" s="5">
        <v>1.07081</v>
      </c>
      <c r="AI196" s="37">
        <v>0</v>
      </c>
      <c r="AJ196" s="5">
        <v>3.6017700000000001</v>
      </c>
      <c r="AK196" s="37">
        <v>1</v>
      </c>
      <c r="AL196" s="5">
        <v>1.2093799999999999</v>
      </c>
      <c r="AM196" s="37">
        <v>0</v>
      </c>
      <c r="AN196" s="4">
        <f t="shared" ref="AN196:AN246" si="41">AF196/AL196</f>
        <v>4.380657857745291</v>
      </c>
      <c r="AO196" s="37">
        <v>1</v>
      </c>
      <c r="AP196">
        <v>118</v>
      </c>
      <c r="AQ196" s="38">
        <v>0</v>
      </c>
      <c r="AR196">
        <v>70</v>
      </c>
      <c r="AS196" s="37">
        <v>0</v>
      </c>
      <c r="AT196">
        <v>65</v>
      </c>
      <c r="AU196">
        <v>47</v>
      </c>
      <c r="AV196">
        <v>7.1</v>
      </c>
      <c r="AW196" s="37">
        <v>1</v>
      </c>
      <c r="AX196">
        <v>2545</v>
      </c>
      <c r="AY196">
        <v>74.400000000000006</v>
      </c>
      <c r="AZ196">
        <v>53.9</v>
      </c>
      <c r="BA196">
        <v>467.6</v>
      </c>
      <c r="BB196">
        <v>5.0999999999999996</v>
      </c>
      <c r="BC196">
        <v>386.7</v>
      </c>
      <c r="BD196">
        <v>44.6</v>
      </c>
      <c r="BE196">
        <v>37</v>
      </c>
      <c r="BF196">
        <v>53.7</v>
      </c>
      <c r="BG196">
        <v>19.100000000000001</v>
      </c>
      <c r="BH196">
        <v>11.7</v>
      </c>
      <c r="BI196">
        <v>68.900000000000006</v>
      </c>
      <c r="BJ196">
        <v>14.6</v>
      </c>
      <c r="BK196">
        <v>5.5</v>
      </c>
      <c r="BL196">
        <v>41.2</v>
      </c>
      <c r="BM196">
        <v>5.4</v>
      </c>
      <c r="BN196">
        <v>2.7</v>
      </c>
      <c r="BO196">
        <v>2.04</v>
      </c>
      <c r="BP196">
        <v>0.14000000000000001</v>
      </c>
      <c r="BQ196">
        <v>0.09</v>
      </c>
      <c r="BR196">
        <v>442</v>
      </c>
      <c r="BS196">
        <v>284.39999999999998</v>
      </c>
      <c r="BT196">
        <v>4648</v>
      </c>
      <c r="BU196">
        <v>2502</v>
      </c>
      <c r="BV196">
        <v>13.09</v>
      </c>
      <c r="BW196">
        <v>10.74</v>
      </c>
      <c r="BX196">
        <v>2.36</v>
      </c>
      <c r="BY196">
        <v>90.2</v>
      </c>
      <c r="BZ196">
        <v>96.7</v>
      </c>
      <c r="CA196">
        <v>3.95</v>
      </c>
      <c r="CB196">
        <v>3.38</v>
      </c>
      <c r="CC196">
        <v>17.5</v>
      </c>
      <c r="CD196">
        <v>1.3</v>
      </c>
      <c r="CE196">
        <v>3.61</v>
      </c>
      <c r="CF196">
        <v>238.2</v>
      </c>
      <c r="CG196">
        <v>15.5</v>
      </c>
      <c r="CH196">
        <v>107</v>
      </c>
      <c r="CI196">
        <v>2.4700000000000002</v>
      </c>
      <c r="CJ196">
        <v>1.5</v>
      </c>
      <c r="CK196">
        <v>1</v>
      </c>
      <c r="CL196" s="42" t="str">
        <f t="shared" si="29"/>
        <v>1</v>
      </c>
      <c r="CM196" s="4">
        <v>27.333333333333332</v>
      </c>
      <c r="CN196" s="4">
        <v>0.54666666666666663</v>
      </c>
      <c r="CO196">
        <v>3</v>
      </c>
      <c r="CP196" s="42" t="str">
        <f t="shared" si="30"/>
        <v>1</v>
      </c>
      <c r="CQ196" s="4">
        <v>50</v>
      </c>
      <c r="CR196" s="4">
        <v>0.79629629629629628</v>
      </c>
      <c r="CS196" s="43" t="str">
        <f t="shared" si="31"/>
        <v>1</v>
      </c>
      <c r="CT196" s="4">
        <f t="shared" si="32"/>
        <v>77.333333333333329</v>
      </c>
      <c r="CU196" s="4">
        <f t="shared" si="33"/>
        <v>1.3429629629629629</v>
      </c>
      <c r="CV196" s="4">
        <v>1</v>
      </c>
    </row>
    <row r="197" spans="1:100" x14ac:dyDescent="0.3">
      <c r="A197" s="15" t="s">
        <v>427</v>
      </c>
      <c r="B197" s="17">
        <v>0</v>
      </c>
      <c r="C197" s="3">
        <v>36</v>
      </c>
      <c r="D197">
        <v>2</v>
      </c>
      <c r="E197">
        <v>2</v>
      </c>
      <c r="F197">
        <v>2</v>
      </c>
      <c r="G197">
        <v>0</v>
      </c>
      <c r="H197">
        <v>1</v>
      </c>
      <c r="I197">
        <v>1</v>
      </c>
      <c r="J197" s="4">
        <v>74.2</v>
      </c>
      <c r="K197" s="4">
        <f t="shared" si="38"/>
        <v>1.76</v>
      </c>
      <c r="L197">
        <v>176</v>
      </c>
      <c r="M197" s="4">
        <f t="shared" si="36"/>
        <v>17.808000000000003</v>
      </c>
      <c r="N197" s="4">
        <v>53.5</v>
      </c>
      <c r="O197" s="4">
        <v>24</v>
      </c>
      <c r="P197" s="40">
        <v>1</v>
      </c>
      <c r="Q197">
        <v>92.3</v>
      </c>
      <c r="R197" s="37">
        <v>1</v>
      </c>
      <c r="S197">
        <v>89.2</v>
      </c>
      <c r="T197" s="5">
        <f t="shared" si="35"/>
        <v>1.0347533632286996</v>
      </c>
      <c r="U197" s="37">
        <v>1</v>
      </c>
      <c r="V197" s="4">
        <f t="shared" si="39"/>
        <v>23.954028925619838</v>
      </c>
      <c r="W197" s="39">
        <v>1</v>
      </c>
      <c r="X197">
        <v>11</v>
      </c>
      <c r="Y197" s="37">
        <v>1</v>
      </c>
      <c r="Z197">
        <v>12.43</v>
      </c>
      <c r="AA197" s="23">
        <f t="shared" si="40"/>
        <v>2.7622222222222224</v>
      </c>
      <c r="AB197" s="84">
        <v>0</v>
      </c>
      <c r="AC197" s="5">
        <v>5</v>
      </c>
      <c r="AD197" s="37">
        <v>0</v>
      </c>
      <c r="AE197" s="5">
        <v>14.73</v>
      </c>
      <c r="AF197" s="5">
        <v>6.07</v>
      </c>
      <c r="AG197" s="37">
        <v>1</v>
      </c>
      <c r="AH197" s="5">
        <v>2.36</v>
      </c>
      <c r="AI197" s="37">
        <v>1</v>
      </c>
      <c r="AJ197" s="5">
        <v>3.89</v>
      </c>
      <c r="AK197" s="37">
        <v>1</v>
      </c>
      <c r="AL197" s="5">
        <v>1.1000000000000001</v>
      </c>
      <c r="AM197" s="37">
        <v>0</v>
      </c>
      <c r="AN197" s="4">
        <f t="shared" si="41"/>
        <v>5.5181818181818176</v>
      </c>
      <c r="AO197" s="37">
        <v>1</v>
      </c>
      <c r="AP197">
        <v>133</v>
      </c>
      <c r="AQ197" s="37">
        <v>1</v>
      </c>
      <c r="AR197">
        <v>80</v>
      </c>
      <c r="AS197" s="37">
        <v>0</v>
      </c>
      <c r="AT197">
        <v>55</v>
      </c>
      <c r="AU197">
        <v>52</v>
      </c>
      <c r="AV197">
        <v>6.4</v>
      </c>
      <c r="AW197" s="37">
        <v>0</v>
      </c>
      <c r="AX197">
        <v>3143</v>
      </c>
      <c r="AY197">
        <v>82.9</v>
      </c>
      <c r="AZ197">
        <v>59.4</v>
      </c>
      <c r="BA197">
        <v>605.4</v>
      </c>
      <c r="BB197">
        <v>16.100000000000001</v>
      </c>
      <c r="BC197">
        <v>546.6</v>
      </c>
      <c r="BD197">
        <v>37.9</v>
      </c>
      <c r="BE197">
        <v>30.3</v>
      </c>
      <c r="BF197">
        <v>129.9</v>
      </c>
      <c r="BG197">
        <v>17</v>
      </c>
      <c r="BH197">
        <v>10.6</v>
      </c>
      <c r="BI197">
        <v>72.2</v>
      </c>
      <c r="BJ197">
        <v>11.5</v>
      </c>
      <c r="BK197">
        <v>3.6</v>
      </c>
      <c r="BL197">
        <v>40.200000000000003</v>
      </c>
      <c r="BM197">
        <v>7.6</v>
      </c>
      <c r="BN197">
        <v>2.2999999999999998</v>
      </c>
      <c r="BO197">
        <v>1.85</v>
      </c>
      <c r="BP197">
        <v>0.19</v>
      </c>
      <c r="BQ197">
        <v>0</v>
      </c>
      <c r="BR197">
        <v>417</v>
      </c>
      <c r="BS197">
        <v>335</v>
      </c>
      <c r="BT197">
        <v>6654</v>
      </c>
      <c r="BU197">
        <v>2886</v>
      </c>
      <c r="BV197">
        <v>17.84</v>
      </c>
      <c r="BW197">
        <v>11.91</v>
      </c>
      <c r="BX197">
        <v>2.29</v>
      </c>
      <c r="BY197">
        <v>27.5</v>
      </c>
      <c r="BZ197">
        <v>45.3</v>
      </c>
      <c r="CA197">
        <v>0.92</v>
      </c>
      <c r="CB197">
        <v>0.91</v>
      </c>
      <c r="CC197">
        <v>27</v>
      </c>
      <c r="CD197">
        <v>1</v>
      </c>
      <c r="CE197">
        <v>2.11</v>
      </c>
      <c r="CF197">
        <v>381.9</v>
      </c>
      <c r="CG197">
        <v>9.3000000000000007</v>
      </c>
      <c r="CH197">
        <v>173</v>
      </c>
      <c r="CI197">
        <v>1.9</v>
      </c>
      <c r="CJ197">
        <v>4.0999999999999996</v>
      </c>
      <c r="CK197">
        <v>0</v>
      </c>
      <c r="CL197" s="42" t="str">
        <f t="shared" ref="CL197:CL260" si="42">IF(CM197&lt;=99,"1",IF(CM197&lt;=199,"2",IF(CM197&lt;=299,"3","4")))</f>
        <v>1</v>
      </c>
      <c r="CM197">
        <v>0</v>
      </c>
      <c r="CN197" s="4">
        <v>0</v>
      </c>
      <c r="CO197">
        <v>4</v>
      </c>
      <c r="CP197" s="42" t="str">
        <f t="shared" ref="CP197:CP260" si="43">IF(CQ197&lt;=149,"1",IF(CQ197&lt;=299,"2",IF(CQ197&lt;=399,"3","4")))</f>
        <v>1</v>
      </c>
      <c r="CQ197" s="4">
        <v>88</v>
      </c>
      <c r="CR197" s="4">
        <v>0.8691358024691358</v>
      </c>
      <c r="CS197" s="43" t="str">
        <f t="shared" ref="CS197:CS260" si="44">IF(CT197&lt;=149,"1",IF(CT197&lt;=299,"2",IF(CT197&lt;=399,"3","4")))</f>
        <v>1</v>
      </c>
      <c r="CT197" s="4">
        <f t="shared" ref="CT197:CT260" si="45">(CM197+CQ197)</f>
        <v>88</v>
      </c>
      <c r="CU197" s="4">
        <f t="shared" ref="CU197:CU260" si="46">(CN197+CR197)</f>
        <v>0.8691358024691358</v>
      </c>
      <c r="CV197" s="4">
        <v>1</v>
      </c>
    </row>
    <row r="198" spans="1:100" x14ac:dyDescent="0.3">
      <c r="A198" s="15" t="s">
        <v>428</v>
      </c>
      <c r="B198" s="17">
        <v>0</v>
      </c>
      <c r="C198" s="3">
        <v>43</v>
      </c>
      <c r="D198">
        <v>1</v>
      </c>
      <c r="E198">
        <v>3</v>
      </c>
      <c r="F198">
        <v>2</v>
      </c>
      <c r="G198">
        <v>0</v>
      </c>
      <c r="H198">
        <v>0</v>
      </c>
      <c r="I198">
        <v>0</v>
      </c>
      <c r="J198" s="4">
        <v>80.599999999999994</v>
      </c>
      <c r="K198" s="4">
        <f t="shared" si="38"/>
        <v>1.7</v>
      </c>
      <c r="L198">
        <v>170</v>
      </c>
      <c r="M198" s="4">
        <f t="shared" si="36"/>
        <v>23.132199999999997</v>
      </c>
      <c r="N198" s="4">
        <v>54.5</v>
      </c>
      <c r="O198" s="4">
        <v>28.7</v>
      </c>
      <c r="P198" s="40">
        <v>1</v>
      </c>
      <c r="Q198">
        <v>96</v>
      </c>
      <c r="R198" s="37">
        <v>1</v>
      </c>
      <c r="S198">
        <v>100.8</v>
      </c>
      <c r="T198" s="5">
        <f t="shared" si="35"/>
        <v>0.95238095238095244</v>
      </c>
      <c r="U198" s="37">
        <v>1</v>
      </c>
      <c r="V198" s="4">
        <f t="shared" si="39"/>
        <v>27.889273356401386</v>
      </c>
      <c r="W198" s="39">
        <v>1</v>
      </c>
      <c r="X198">
        <v>14</v>
      </c>
      <c r="Y198" s="37">
        <v>1</v>
      </c>
      <c r="Z198">
        <v>16.77</v>
      </c>
      <c r="AA198" s="23">
        <f t="shared" si="40"/>
        <v>3.9651733333333334</v>
      </c>
      <c r="AB198" s="84">
        <v>1</v>
      </c>
      <c r="AC198" s="5">
        <v>5.32</v>
      </c>
      <c r="AD198" s="37">
        <v>0</v>
      </c>
      <c r="AE198" s="5">
        <v>3</v>
      </c>
      <c r="AF198" s="5">
        <v>6.51</v>
      </c>
      <c r="AG198" s="37">
        <v>1</v>
      </c>
      <c r="AH198" s="5">
        <v>1.36</v>
      </c>
      <c r="AI198" s="37">
        <v>0</v>
      </c>
      <c r="AJ198" s="5">
        <v>5.0599999999999996</v>
      </c>
      <c r="AK198" s="37">
        <v>1</v>
      </c>
      <c r="AL198" s="5">
        <v>0.84</v>
      </c>
      <c r="AM198" s="37">
        <v>1</v>
      </c>
      <c r="AN198" s="4">
        <f t="shared" si="41"/>
        <v>7.75</v>
      </c>
      <c r="AO198" s="37">
        <v>1</v>
      </c>
      <c r="AP198">
        <v>119</v>
      </c>
      <c r="AQ198" s="38">
        <v>0</v>
      </c>
      <c r="AR198">
        <v>77</v>
      </c>
      <c r="AS198" s="37">
        <v>0</v>
      </c>
      <c r="AT198">
        <v>68</v>
      </c>
      <c r="AU198">
        <v>42</v>
      </c>
      <c r="AV198">
        <v>6</v>
      </c>
      <c r="AW198" s="37">
        <v>1</v>
      </c>
      <c r="AX198">
        <v>1336</v>
      </c>
      <c r="AY198">
        <v>40.700000000000003</v>
      </c>
      <c r="AZ198">
        <v>40.799999999999997</v>
      </c>
      <c r="BA198">
        <v>213.2</v>
      </c>
      <c r="BB198">
        <v>5.8</v>
      </c>
      <c r="BC198">
        <v>119.5</v>
      </c>
      <c r="BD198">
        <v>58.2</v>
      </c>
      <c r="BE198">
        <v>41.7</v>
      </c>
      <c r="BF198">
        <v>117.9</v>
      </c>
      <c r="BG198">
        <v>27.5</v>
      </c>
      <c r="BH198">
        <v>12.2</v>
      </c>
      <c r="BI198">
        <v>59.8</v>
      </c>
      <c r="BJ198">
        <v>18.600000000000001</v>
      </c>
      <c r="BK198">
        <v>11.7</v>
      </c>
      <c r="BL198">
        <v>27.7</v>
      </c>
      <c r="BM198">
        <v>5.6</v>
      </c>
      <c r="BN198">
        <v>1.9</v>
      </c>
      <c r="BO198">
        <v>1.45</v>
      </c>
      <c r="BP198">
        <v>0.18</v>
      </c>
      <c r="BQ198">
        <v>0.1</v>
      </c>
      <c r="BR198">
        <v>429</v>
      </c>
      <c r="BS198">
        <v>157</v>
      </c>
      <c r="BT198">
        <v>2073</v>
      </c>
      <c r="BU198">
        <v>1481</v>
      </c>
      <c r="BV198">
        <v>10.95</v>
      </c>
      <c r="BW198">
        <v>4.22</v>
      </c>
      <c r="BX198">
        <v>0.88</v>
      </c>
      <c r="BY198">
        <v>14</v>
      </c>
      <c r="BZ198">
        <v>21.1</v>
      </c>
      <c r="CA198">
        <v>0.55000000000000004</v>
      </c>
      <c r="CB198">
        <v>0.63</v>
      </c>
      <c r="CC198">
        <v>12.9</v>
      </c>
      <c r="CD198">
        <v>1.32</v>
      </c>
      <c r="CE198">
        <v>0.83</v>
      </c>
      <c r="CF198">
        <v>180.3</v>
      </c>
      <c r="CG198">
        <v>57.4</v>
      </c>
      <c r="CH198">
        <v>597</v>
      </c>
      <c r="CI198">
        <v>5.12</v>
      </c>
      <c r="CJ198">
        <v>1.6</v>
      </c>
      <c r="CK198">
        <v>2</v>
      </c>
      <c r="CL198" s="42" t="str">
        <f t="shared" si="42"/>
        <v>1</v>
      </c>
      <c r="CM198" s="4">
        <v>72.666666666666671</v>
      </c>
      <c r="CN198" s="4">
        <v>1.4533333333333334</v>
      </c>
      <c r="CO198">
        <v>5</v>
      </c>
      <c r="CP198" s="42" t="str">
        <f t="shared" si="43"/>
        <v>1</v>
      </c>
      <c r="CQ198" s="4">
        <v>95</v>
      </c>
      <c r="CR198" s="4">
        <v>1.3790123456790122</v>
      </c>
      <c r="CS198" s="43" t="str">
        <f t="shared" si="44"/>
        <v>2</v>
      </c>
      <c r="CT198" s="4">
        <f t="shared" si="45"/>
        <v>167.66666666666669</v>
      </c>
      <c r="CU198" s="4">
        <f t="shared" si="46"/>
        <v>2.8323456790123456</v>
      </c>
      <c r="CV198" s="4">
        <v>2</v>
      </c>
    </row>
    <row r="199" spans="1:100" x14ac:dyDescent="0.3">
      <c r="A199" s="15" t="s">
        <v>429</v>
      </c>
      <c r="B199" s="17">
        <v>0</v>
      </c>
      <c r="C199" s="3">
        <v>42</v>
      </c>
      <c r="D199">
        <v>3</v>
      </c>
      <c r="E199">
        <v>1</v>
      </c>
      <c r="F199">
        <v>2</v>
      </c>
      <c r="G199">
        <v>1</v>
      </c>
      <c r="H199">
        <v>0</v>
      </c>
      <c r="I199">
        <v>0</v>
      </c>
      <c r="J199" s="4">
        <v>55.2</v>
      </c>
      <c r="K199" s="4">
        <f t="shared" si="38"/>
        <v>1.56</v>
      </c>
      <c r="L199">
        <v>156</v>
      </c>
      <c r="M199" s="4">
        <f t="shared" si="36"/>
        <v>12.2544</v>
      </c>
      <c r="N199" s="4">
        <v>40.6</v>
      </c>
      <c r="O199" s="4">
        <v>22.2</v>
      </c>
      <c r="P199" s="40">
        <v>0</v>
      </c>
      <c r="Q199">
        <v>82.3</v>
      </c>
      <c r="R199" s="37">
        <v>0</v>
      </c>
      <c r="S199">
        <v>87.3</v>
      </c>
      <c r="T199" s="5">
        <f t="shared" si="35"/>
        <v>0.94272623138602518</v>
      </c>
      <c r="U199" s="37">
        <v>1</v>
      </c>
      <c r="V199" s="4">
        <f t="shared" si="39"/>
        <v>22.682445759368836</v>
      </c>
      <c r="W199" s="39">
        <v>0</v>
      </c>
      <c r="X199">
        <v>9</v>
      </c>
      <c r="Y199" s="40">
        <v>0</v>
      </c>
      <c r="Z199">
        <v>7.54</v>
      </c>
      <c r="AA199" s="23">
        <f t="shared" si="40"/>
        <v>1.4163839733333332</v>
      </c>
      <c r="AB199" s="84">
        <v>0</v>
      </c>
      <c r="AC199" s="5">
        <v>4.22661</v>
      </c>
      <c r="AD199" s="37">
        <v>0</v>
      </c>
      <c r="AE199" s="5">
        <v>34.799999999999997</v>
      </c>
      <c r="AF199" s="5">
        <v>5.3802000000000003</v>
      </c>
      <c r="AG199" s="37">
        <v>1</v>
      </c>
      <c r="AH199" s="5">
        <v>1.8593999999999999</v>
      </c>
      <c r="AI199" s="37">
        <v>1</v>
      </c>
      <c r="AJ199" s="5">
        <v>3.65</v>
      </c>
      <c r="AK199" s="37">
        <v>1</v>
      </c>
      <c r="AL199" s="5">
        <v>0.89</v>
      </c>
      <c r="AM199" s="37">
        <v>1</v>
      </c>
      <c r="AN199" s="4">
        <f t="shared" si="41"/>
        <v>6.045168539325843</v>
      </c>
      <c r="AO199" s="37">
        <v>1</v>
      </c>
      <c r="AP199">
        <v>142</v>
      </c>
      <c r="AQ199" s="37">
        <v>1</v>
      </c>
      <c r="AR199">
        <v>90</v>
      </c>
      <c r="AS199" s="37">
        <v>1</v>
      </c>
      <c r="AT199">
        <v>94</v>
      </c>
      <c r="AU199">
        <v>52</v>
      </c>
      <c r="AV199">
        <v>7</v>
      </c>
      <c r="AW199" s="37">
        <v>0</v>
      </c>
      <c r="AX199">
        <v>1495</v>
      </c>
      <c r="AY199">
        <v>37.200000000000003</v>
      </c>
      <c r="AZ199">
        <v>24.5</v>
      </c>
      <c r="BA199">
        <v>299.2</v>
      </c>
      <c r="BB199">
        <v>4</v>
      </c>
      <c r="BC199">
        <v>241.8</v>
      </c>
      <c r="BD199">
        <v>47.2</v>
      </c>
      <c r="BE199">
        <v>35.799999999999997</v>
      </c>
      <c r="BF199">
        <v>32.700000000000003</v>
      </c>
      <c r="BG199">
        <v>14.7</v>
      </c>
      <c r="BH199">
        <v>9.9</v>
      </c>
      <c r="BI199">
        <v>75.099999999999994</v>
      </c>
      <c r="BJ199">
        <v>8.9</v>
      </c>
      <c r="BK199">
        <v>9</v>
      </c>
      <c r="BL199">
        <v>14.9</v>
      </c>
      <c r="BM199">
        <v>2.2999999999999998</v>
      </c>
      <c r="BN199">
        <v>1.4</v>
      </c>
      <c r="BO199">
        <v>1.19</v>
      </c>
      <c r="BP199">
        <v>0.13</v>
      </c>
      <c r="BQ199">
        <v>0</v>
      </c>
      <c r="BR199">
        <v>192</v>
      </c>
      <c r="BS199">
        <v>131.4</v>
      </c>
      <c r="BT199">
        <v>1854</v>
      </c>
      <c r="BU199">
        <v>1260</v>
      </c>
      <c r="BV199">
        <v>7.15</v>
      </c>
      <c r="BW199">
        <v>4.99</v>
      </c>
      <c r="BX199">
        <v>0.81</v>
      </c>
      <c r="BY199">
        <v>10.1</v>
      </c>
      <c r="BZ199">
        <v>6.7</v>
      </c>
      <c r="CA199">
        <v>2.13</v>
      </c>
      <c r="CB199">
        <v>1.71</v>
      </c>
      <c r="CC199">
        <v>12.1</v>
      </c>
      <c r="CD199">
        <v>0.42</v>
      </c>
      <c r="CE199">
        <v>0.42</v>
      </c>
      <c r="CF199">
        <v>162.6</v>
      </c>
      <c r="CG199">
        <v>28.9</v>
      </c>
      <c r="CH199">
        <v>327</v>
      </c>
      <c r="CI199">
        <v>1.08</v>
      </c>
      <c r="CJ199">
        <v>0.8</v>
      </c>
      <c r="CK199">
        <v>1</v>
      </c>
      <c r="CL199" s="42" t="str">
        <f t="shared" si="42"/>
        <v>1</v>
      </c>
      <c r="CM199" s="4">
        <v>13.333333333333334</v>
      </c>
      <c r="CN199" s="4">
        <v>0.26666666666666666</v>
      </c>
      <c r="CO199">
        <v>5</v>
      </c>
      <c r="CP199" s="42" t="str">
        <f t="shared" si="43"/>
        <v>1</v>
      </c>
      <c r="CQ199" s="4">
        <v>57.666666666666664</v>
      </c>
      <c r="CR199" s="4">
        <v>0.54938271604938271</v>
      </c>
      <c r="CS199" s="43" t="str">
        <f t="shared" si="44"/>
        <v>1</v>
      </c>
      <c r="CT199" s="4">
        <f t="shared" si="45"/>
        <v>71</v>
      </c>
      <c r="CU199" s="4">
        <f t="shared" si="46"/>
        <v>0.81604938271604932</v>
      </c>
      <c r="CV199" s="4">
        <v>1</v>
      </c>
    </row>
    <row r="200" spans="1:100" x14ac:dyDescent="0.3">
      <c r="A200" s="15" t="s">
        <v>430</v>
      </c>
      <c r="B200" s="17">
        <v>0</v>
      </c>
      <c r="C200" s="3">
        <v>53</v>
      </c>
      <c r="D200">
        <v>3</v>
      </c>
      <c r="E200">
        <v>2</v>
      </c>
      <c r="F200">
        <v>2</v>
      </c>
      <c r="G200">
        <v>0</v>
      </c>
      <c r="H200">
        <v>1</v>
      </c>
      <c r="I200">
        <v>1</v>
      </c>
      <c r="J200" s="4">
        <v>62.8</v>
      </c>
      <c r="K200" s="4">
        <f t="shared" si="38"/>
        <v>1.61</v>
      </c>
      <c r="L200">
        <v>161</v>
      </c>
      <c r="M200" s="4">
        <f t="shared" si="36"/>
        <v>14.0044</v>
      </c>
      <c r="N200" s="4">
        <v>46.3</v>
      </c>
      <c r="O200" s="4">
        <v>22.3</v>
      </c>
      <c r="P200" s="40">
        <v>0</v>
      </c>
      <c r="Q200" s="4">
        <v>91.8</v>
      </c>
      <c r="R200" s="37">
        <v>1</v>
      </c>
      <c r="S200">
        <v>91.2</v>
      </c>
      <c r="T200" s="5">
        <f t="shared" si="35"/>
        <v>1.006578947368421</v>
      </c>
      <c r="U200" s="37">
        <v>1</v>
      </c>
      <c r="V200" s="4">
        <f t="shared" si="39"/>
        <v>24.227460360325601</v>
      </c>
      <c r="W200" s="39">
        <v>1</v>
      </c>
      <c r="X200">
        <v>12</v>
      </c>
      <c r="Y200" s="37">
        <v>1</v>
      </c>
      <c r="Z200">
        <v>5.96</v>
      </c>
      <c r="AA200" s="23">
        <f t="shared" si="40"/>
        <v>1.1730816355555556</v>
      </c>
      <c r="AB200" s="84">
        <v>0</v>
      </c>
      <c r="AC200" s="5">
        <v>4.4285800000000002</v>
      </c>
      <c r="AD200" s="37">
        <v>0</v>
      </c>
      <c r="AE200" s="5">
        <v>3</v>
      </c>
      <c r="AF200" s="5">
        <v>8.1815300000000004</v>
      </c>
      <c r="AG200" s="37">
        <v>1</v>
      </c>
      <c r="AH200" s="5">
        <v>1.52176</v>
      </c>
      <c r="AI200" s="37">
        <v>0</v>
      </c>
      <c r="AJ200" s="5">
        <v>6.02</v>
      </c>
      <c r="AK200" s="37">
        <v>1</v>
      </c>
      <c r="AL200" s="5">
        <v>1.47</v>
      </c>
      <c r="AM200" s="37">
        <v>0</v>
      </c>
      <c r="AN200" s="4">
        <f t="shared" si="41"/>
        <v>5.565666666666667</v>
      </c>
      <c r="AO200" s="37">
        <v>1</v>
      </c>
      <c r="AP200">
        <v>123</v>
      </c>
      <c r="AQ200" s="38">
        <v>0</v>
      </c>
      <c r="AR200">
        <v>81</v>
      </c>
      <c r="AS200" s="37">
        <v>0</v>
      </c>
      <c r="AT200">
        <v>58</v>
      </c>
      <c r="AU200">
        <v>42</v>
      </c>
      <c r="AV200">
        <v>7.5</v>
      </c>
      <c r="AW200" s="37">
        <v>1</v>
      </c>
      <c r="AX200">
        <v>2256</v>
      </c>
      <c r="AY200">
        <v>59</v>
      </c>
      <c r="AZ200">
        <v>33.299999999999997</v>
      </c>
      <c r="BA200">
        <v>457</v>
      </c>
      <c r="BB200">
        <v>6</v>
      </c>
      <c r="BC200">
        <v>396.5</v>
      </c>
      <c r="BD200">
        <v>36.1</v>
      </c>
      <c r="BE200">
        <v>28.6</v>
      </c>
      <c r="BF200">
        <v>106</v>
      </c>
      <c r="BG200">
        <v>13.3</v>
      </c>
      <c r="BH200">
        <v>10.5</v>
      </c>
      <c r="BI200">
        <v>76</v>
      </c>
      <c r="BJ200">
        <v>7.3</v>
      </c>
      <c r="BK200">
        <v>4.8</v>
      </c>
      <c r="BL200">
        <v>18.3</v>
      </c>
      <c r="BM200">
        <v>3.5</v>
      </c>
      <c r="BN200">
        <v>2.2000000000000002</v>
      </c>
      <c r="BO200">
        <v>1.94</v>
      </c>
      <c r="BP200">
        <v>0.06</v>
      </c>
      <c r="BQ200">
        <v>0.05</v>
      </c>
      <c r="BR200">
        <v>404</v>
      </c>
      <c r="BS200">
        <v>159</v>
      </c>
      <c r="BT200">
        <v>2364</v>
      </c>
      <c r="BU200">
        <v>1559</v>
      </c>
      <c r="BV200">
        <v>8.48</v>
      </c>
      <c r="BW200">
        <v>9.0500000000000007</v>
      </c>
      <c r="BX200">
        <v>1.75</v>
      </c>
      <c r="BY200">
        <v>55.8</v>
      </c>
      <c r="BZ200">
        <v>84.6</v>
      </c>
      <c r="CA200">
        <v>0.46</v>
      </c>
      <c r="CB200">
        <v>0.52</v>
      </c>
      <c r="CC200">
        <v>18</v>
      </c>
      <c r="CD200">
        <v>1.02</v>
      </c>
      <c r="CE200">
        <v>1.27</v>
      </c>
      <c r="CF200">
        <v>166.6</v>
      </c>
      <c r="CG200">
        <v>10.5</v>
      </c>
      <c r="CH200">
        <v>163</v>
      </c>
      <c r="CI200">
        <v>1.2</v>
      </c>
      <c r="CJ200">
        <v>1</v>
      </c>
      <c r="CK200">
        <v>1</v>
      </c>
      <c r="CL200" s="42" t="str">
        <f t="shared" si="42"/>
        <v>1</v>
      </c>
      <c r="CM200" s="4">
        <v>27.333333333333332</v>
      </c>
      <c r="CN200" s="4">
        <v>0.54666666666666663</v>
      </c>
      <c r="CO200">
        <v>5</v>
      </c>
      <c r="CP200" s="42" t="str">
        <f t="shared" si="43"/>
        <v>1</v>
      </c>
      <c r="CQ200" s="4">
        <v>85.666666666666671</v>
      </c>
      <c r="CR200" s="4">
        <v>1.1296296296296298</v>
      </c>
      <c r="CS200" s="43" t="str">
        <f t="shared" si="44"/>
        <v>1</v>
      </c>
      <c r="CT200" s="4">
        <f t="shared" si="45"/>
        <v>113</v>
      </c>
      <c r="CU200" s="4">
        <f t="shared" si="46"/>
        <v>1.6762962962962964</v>
      </c>
      <c r="CV200" s="4">
        <v>1</v>
      </c>
    </row>
    <row r="201" spans="1:100" x14ac:dyDescent="0.3">
      <c r="A201" s="15" t="s">
        <v>431</v>
      </c>
      <c r="B201" s="17">
        <v>0</v>
      </c>
      <c r="C201" s="3">
        <v>58</v>
      </c>
      <c r="D201">
        <v>2</v>
      </c>
      <c r="E201">
        <v>1</v>
      </c>
      <c r="F201">
        <v>2</v>
      </c>
      <c r="G201">
        <v>0</v>
      </c>
      <c r="H201">
        <v>2</v>
      </c>
      <c r="I201">
        <v>0</v>
      </c>
      <c r="J201" s="4">
        <v>61.4</v>
      </c>
      <c r="K201" s="4">
        <f t="shared" si="38"/>
        <v>1.61</v>
      </c>
      <c r="L201">
        <v>161</v>
      </c>
      <c r="M201" s="4">
        <f t="shared" si="36"/>
        <v>13.2624</v>
      </c>
      <c r="N201" s="4">
        <v>45.6</v>
      </c>
      <c r="O201" s="4">
        <v>21.6</v>
      </c>
      <c r="P201" s="40">
        <v>0</v>
      </c>
      <c r="Q201">
        <v>89.5</v>
      </c>
      <c r="R201" s="37">
        <v>1</v>
      </c>
      <c r="S201">
        <v>94.6</v>
      </c>
      <c r="T201" s="5">
        <f t="shared" si="35"/>
        <v>0.94608879492600428</v>
      </c>
      <c r="U201" s="37">
        <v>1</v>
      </c>
      <c r="V201" s="4">
        <f t="shared" si="39"/>
        <v>23.687357740827895</v>
      </c>
      <c r="W201" s="39">
        <v>1</v>
      </c>
      <c r="X201">
        <v>12</v>
      </c>
      <c r="Y201" s="37">
        <v>1</v>
      </c>
      <c r="Z201">
        <v>7.48</v>
      </c>
      <c r="AA201" s="23">
        <f t="shared" si="40"/>
        <v>1.6522488888888891</v>
      </c>
      <c r="AB201" s="84">
        <v>0</v>
      </c>
      <c r="AC201" s="5">
        <v>4.97</v>
      </c>
      <c r="AD201" s="37">
        <v>0</v>
      </c>
      <c r="AE201" s="5">
        <v>26.2</v>
      </c>
      <c r="AF201" s="5">
        <v>6.5427</v>
      </c>
      <c r="AG201" s="37">
        <v>1</v>
      </c>
      <c r="AH201" s="5">
        <v>0.59997</v>
      </c>
      <c r="AI201" s="37">
        <v>0</v>
      </c>
      <c r="AJ201" s="5">
        <v>5.04</v>
      </c>
      <c r="AK201" s="37">
        <v>1</v>
      </c>
      <c r="AL201" s="5">
        <v>1.23</v>
      </c>
      <c r="AM201" s="37">
        <v>0</v>
      </c>
      <c r="AN201" s="4">
        <f t="shared" si="41"/>
        <v>5.3192682926829269</v>
      </c>
      <c r="AO201" s="37">
        <v>1</v>
      </c>
      <c r="AP201">
        <v>127</v>
      </c>
      <c r="AQ201" s="38">
        <v>0</v>
      </c>
      <c r="AR201">
        <v>87</v>
      </c>
      <c r="AS201" s="37">
        <v>1</v>
      </c>
      <c r="AT201">
        <v>81</v>
      </c>
      <c r="AU201">
        <v>40</v>
      </c>
      <c r="AV201">
        <v>8.1999999999999993</v>
      </c>
      <c r="AW201" s="37">
        <v>1</v>
      </c>
      <c r="AX201">
        <v>2653</v>
      </c>
      <c r="AY201">
        <v>73.599999999999994</v>
      </c>
      <c r="AZ201">
        <v>62.5</v>
      </c>
      <c r="BA201">
        <v>476.9</v>
      </c>
      <c r="BB201">
        <v>5.3</v>
      </c>
      <c r="BC201">
        <v>428.2</v>
      </c>
      <c r="BD201">
        <v>26</v>
      </c>
      <c r="BE201">
        <v>18.100000000000001</v>
      </c>
      <c r="BF201">
        <v>72.3</v>
      </c>
      <c r="BG201">
        <v>21.2</v>
      </c>
      <c r="BH201">
        <v>11.1</v>
      </c>
      <c r="BI201">
        <v>67.400000000000006</v>
      </c>
      <c r="BJ201">
        <v>13.6</v>
      </c>
      <c r="BK201">
        <v>2.6</v>
      </c>
      <c r="BL201">
        <v>40</v>
      </c>
      <c r="BM201">
        <v>6.2</v>
      </c>
      <c r="BN201">
        <v>4.3</v>
      </c>
      <c r="BO201">
        <v>2.56</v>
      </c>
      <c r="BP201">
        <v>1.35</v>
      </c>
      <c r="BQ201">
        <v>0</v>
      </c>
      <c r="BR201">
        <v>629</v>
      </c>
      <c r="BS201">
        <v>281.89999999999998</v>
      </c>
      <c r="BT201">
        <v>4512</v>
      </c>
      <c r="BU201">
        <v>2396</v>
      </c>
      <c r="BV201">
        <v>13.66</v>
      </c>
      <c r="BW201">
        <v>10.38</v>
      </c>
      <c r="BX201">
        <v>1.94</v>
      </c>
      <c r="BY201">
        <v>92.7</v>
      </c>
      <c r="BZ201">
        <v>97.8</v>
      </c>
      <c r="CA201">
        <v>11.57</v>
      </c>
      <c r="CB201">
        <v>10.119999999999999</v>
      </c>
      <c r="CC201">
        <v>29.1</v>
      </c>
      <c r="CD201">
        <v>1.73</v>
      </c>
      <c r="CE201">
        <v>8.77</v>
      </c>
      <c r="CF201">
        <v>150.9</v>
      </c>
      <c r="CG201">
        <v>33.700000000000003</v>
      </c>
      <c r="CH201">
        <v>246</v>
      </c>
      <c r="CI201">
        <v>16.75</v>
      </c>
      <c r="CJ201">
        <v>1.6</v>
      </c>
      <c r="CK201">
        <v>0</v>
      </c>
      <c r="CL201" s="42" t="str">
        <f t="shared" si="42"/>
        <v>1</v>
      </c>
      <c r="CM201">
        <v>0</v>
      </c>
      <c r="CN201" s="4">
        <v>0</v>
      </c>
      <c r="CO201">
        <v>5</v>
      </c>
      <c r="CP201" s="42" t="str">
        <f t="shared" si="43"/>
        <v>2</v>
      </c>
      <c r="CQ201" s="4">
        <v>212.66666666666666</v>
      </c>
      <c r="CR201" s="4">
        <v>2.7222222222222223</v>
      </c>
      <c r="CS201" s="43" t="str">
        <f t="shared" si="44"/>
        <v>2</v>
      </c>
      <c r="CT201" s="4">
        <f t="shared" si="45"/>
        <v>212.66666666666666</v>
      </c>
      <c r="CU201" s="4">
        <f t="shared" si="46"/>
        <v>2.7222222222222223</v>
      </c>
      <c r="CV201" s="4">
        <v>2</v>
      </c>
    </row>
    <row r="202" spans="1:100" x14ac:dyDescent="0.3">
      <c r="A202" s="15" t="s">
        <v>432</v>
      </c>
      <c r="B202" s="17">
        <v>0</v>
      </c>
      <c r="C202">
        <v>41</v>
      </c>
      <c r="D202">
        <v>2</v>
      </c>
      <c r="E202">
        <v>1</v>
      </c>
      <c r="F202">
        <v>1</v>
      </c>
      <c r="G202">
        <v>0</v>
      </c>
      <c r="H202">
        <v>2</v>
      </c>
      <c r="I202">
        <v>0</v>
      </c>
      <c r="J202">
        <v>85.4</v>
      </c>
      <c r="K202" s="4">
        <f t="shared" si="38"/>
        <v>1.6950000000000001</v>
      </c>
      <c r="L202">
        <v>169.5</v>
      </c>
      <c r="M202" s="4">
        <f t="shared" si="36"/>
        <v>24.082800000000002</v>
      </c>
      <c r="N202" s="4">
        <v>57.2</v>
      </c>
      <c r="O202">
        <v>28.2</v>
      </c>
      <c r="P202" s="40">
        <v>1</v>
      </c>
      <c r="Q202">
        <v>103</v>
      </c>
      <c r="R202" s="37">
        <v>1</v>
      </c>
      <c r="S202">
        <v>109</v>
      </c>
      <c r="T202" s="5">
        <f t="shared" ref="T202:T246" si="47">Q202/S202</f>
        <v>0.94495412844036697</v>
      </c>
      <c r="U202" s="37">
        <v>1</v>
      </c>
      <c r="V202" s="4">
        <f t="shared" si="39"/>
        <v>29.724767448943187</v>
      </c>
      <c r="W202" s="39">
        <v>1</v>
      </c>
      <c r="X202">
        <v>15</v>
      </c>
      <c r="Y202" s="37">
        <v>1</v>
      </c>
      <c r="AA202" s="23"/>
      <c r="AB202" s="84"/>
      <c r="AC202" s="5">
        <v>4.8581300000000001</v>
      </c>
      <c r="AD202" s="37">
        <v>0</v>
      </c>
      <c r="AE202" s="5">
        <v>57.496830000000003</v>
      </c>
      <c r="AF202" s="5">
        <v>5.0908199999999999</v>
      </c>
      <c r="AG202" s="37">
        <v>1</v>
      </c>
      <c r="AH202" s="5">
        <v>1.9460299999999999</v>
      </c>
      <c r="AI202" s="37">
        <v>1</v>
      </c>
      <c r="AJ202" s="5">
        <v>3.0811799999999998</v>
      </c>
      <c r="AK202" s="37">
        <v>0</v>
      </c>
      <c r="AL202" s="5">
        <v>1.1250800000000001</v>
      </c>
      <c r="AM202" s="37">
        <v>0</v>
      </c>
      <c r="AN202" s="4">
        <f t="shared" si="41"/>
        <v>4.5248515661108542</v>
      </c>
      <c r="AO202" s="37">
        <v>1</v>
      </c>
      <c r="AP202">
        <v>140</v>
      </c>
      <c r="AQ202" s="37">
        <v>1</v>
      </c>
      <c r="AR202">
        <v>95</v>
      </c>
      <c r="AS202" s="37">
        <v>1</v>
      </c>
      <c r="AT202">
        <v>75</v>
      </c>
      <c r="AU202">
        <v>45</v>
      </c>
      <c r="AV202">
        <v>6.9</v>
      </c>
      <c r="AW202" s="37">
        <v>0</v>
      </c>
      <c r="AX202">
        <v>3008</v>
      </c>
      <c r="AY202">
        <v>59.1</v>
      </c>
      <c r="AZ202">
        <v>97.6</v>
      </c>
      <c r="BA202">
        <v>503.8</v>
      </c>
      <c r="BB202">
        <v>17.100000000000001</v>
      </c>
      <c r="BC202">
        <v>349.6</v>
      </c>
      <c r="BD202">
        <v>121.5</v>
      </c>
      <c r="BE202">
        <v>106.9</v>
      </c>
      <c r="BF202">
        <v>100.4</v>
      </c>
      <c r="BG202">
        <v>29.2</v>
      </c>
      <c r="BH202">
        <v>7.9</v>
      </c>
      <c r="BI202">
        <v>62.8</v>
      </c>
      <c r="BJ202">
        <v>13.4</v>
      </c>
      <c r="BK202">
        <v>13.3</v>
      </c>
      <c r="BL202">
        <v>44.7</v>
      </c>
      <c r="BM202">
        <v>11.3</v>
      </c>
      <c r="BN202">
        <v>4.7</v>
      </c>
      <c r="BO202">
        <v>4.32</v>
      </c>
      <c r="BP202">
        <v>0.28000000000000003</v>
      </c>
      <c r="BQ202">
        <v>0.06</v>
      </c>
      <c r="BR202">
        <v>706</v>
      </c>
      <c r="BS202">
        <v>223.1</v>
      </c>
      <c r="BT202">
        <v>4396</v>
      </c>
      <c r="BU202">
        <v>2029</v>
      </c>
      <c r="BV202">
        <v>13.53</v>
      </c>
      <c r="BW202">
        <v>8.8000000000000007</v>
      </c>
      <c r="BX202">
        <v>1.86</v>
      </c>
      <c r="BY202">
        <v>56.3</v>
      </c>
      <c r="BZ202">
        <v>65.8</v>
      </c>
      <c r="CA202">
        <v>0.68</v>
      </c>
      <c r="CB202">
        <v>0.87</v>
      </c>
      <c r="CC202">
        <v>15.1</v>
      </c>
      <c r="CD202">
        <v>0.92</v>
      </c>
      <c r="CE202">
        <v>0.43</v>
      </c>
      <c r="CF202">
        <v>292.5</v>
      </c>
      <c r="CG202">
        <v>22.7</v>
      </c>
      <c r="CH202">
        <v>428</v>
      </c>
      <c r="CI202">
        <v>11.74</v>
      </c>
      <c r="CJ202">
        <v>3.3</v>
      </c>
      <c r="CK202">
        <v>0</v>
      </c>
      <c r="CL202" s="42" t="str">
        <f t="shared" si="42"/>
        <v>1</v>
      </c>
      <c r="CM202">
        <v>0</v>
      </c>
      <c r="CN202" s="4">
        <v>0</v>
      </c>
      <c r="CO202">
        <v>7</v>
      </c>
      <c r="CP202" s="42" t="str">
        <f t="shared" si="43"/>
        <v>3</v>
      </c>
      <c r="CQ202" s="4">
        <v>327</v>
      </c>
      <c r="CR202" s="4">
        <v>3.882716049382716</v>
      </c>
      <c r="CS202" s="43" t="str">
        <f t="shared" si="44"/>
        <v>3</v>
      </c>
      <c r="CT202" s="4">
        <f t="shared" si="45"/>
        <v>327</v>
      </c>
      <c r="CU202" s="4">
        <f t="shared" si="46"/>
        <v>3.882716049382716</v>
      </c>
      <c r="CV202" s="4">
        <v>3</v>
      </c>
    </row>
    <row r="203" spans="1:100" x14ac:dyDescent="0.3">
      <c r="A203" s="15" t="s">
        <v>433</v>
      </c>
      <c r="B203" s="17">
        <v>0</v>
      </c>
      <c r="C203" s="3">
        <v>45</v>
      </c>
      <c r="D203">
        <v>2</v>
      </c>
      <c r="E203">
        <v>1</v>
      </c>
      <c r="F203">
        <v>2</v>
      </c>
      <c r="G203">
        <v>0</v>
      </c>
      <c r="H203">
        <v>2</v>
      </c>
      <c r="I203">
        <v>1</v>
      </c>
      <c r="J203" s="4">
        <v>71</v>
      </c>
      <c r="K203" s="4">
        <f t="shared" si="38"/>
        <v>1.7</v>
      </c>
      <c r="L203">
        <v>170</v>
      </c>
      <c r="M203" s="4">
        <f t="shared" ref="M203:M246" si="48">(O203*J203)/100</f>
        <v>17.395</v>
      </c>
      <c r="N203" s="4">
        <v>50.8</v>
      </c>
      <c r="O203" s="4">
        <v>24.5</v>
      </c>
      <c r="P203" s="40">
        <v>1</v>
      </c>
      <c r="Q203">
        <v>95</v>
      </c>
      <c r="R203" s="37">
        <v>1</v>
      </c>
      <c r="S203">
        <v>97</v>
      </c>
      <c r="T203" s="5">
        <f t="shared" si="47"/>
        <v>0.97938144329896903</v>
      </c>
      <c r="U203" s="37">
        <v>1</v>
      </c>
      <c r="V203" s="4">
        <f t="shared" si="39"/>
        <v>24.567474048442911</v>
      </c>
      <c r="W203" s="39">
        <v>1</v>
      </c>
      <c r="X203">
        <v>12</v>
      </c>
      <c r="Y203" s="37">
        <v>1</v>
      </c>
      <c r="AA203" s="23"/>
      <c r="AB203" s="84"/>
      <c r="AC203" s="5">
        <v>6.2393000000000001</v>
      </c>
      <c r="AD203" s="37">
        <v>1</v>
      </c>
      <c r="AE203" s="5">
        <v>27.86703</v>
      </c>
      <c r="AF203" s="5">
        <v>7.24655</v>
      </c>
      <c r="AG203" s="37">
        <v>1</v>
      </c>
      <c r="AH203" s="5">
        <v>3.5952099999999998</v>
      </c>
      <c r="AI203" s="37">
        <v>1</v>
      </c>
      <c r="AJ203" s="5">
        <v>4.6923899999999996</v>
      </c>
      <c r="AK203" s="37">
        <v>1</v>
      </c>
      <c r="AL203" s="5">
        <v>0.91998000000000002</v>
      </c>
      <c r="AM203" s="37">
        <v>1</v>
      </c>
      <c r="AN203" s="4">
        <f t="shared" si="41"/>
        <v>7.8768560186091001</v>
      </c>
      <c r="AO203" s="37">
        <v>1</v>
      </c>
      <c r="AP203">
        <v>127</v>
      </c>
      <c r="AQ203" s="38">
        <v>0</v>
      </c>
      <c r="AR203">
        <v>80</v>
      </c>
      <c r="AS203" s="37">
        <v>0</v>
      </c>
      <c r="AT203">
        <v>64</v>
      </c>
      <c r="AU203">
        <v>47</v>
      </c>
      <c r="AV203">
        <v>7</v>
      </c>
      <c r="AW203" s="37">
        <v>1</v>
      </c>
      <c r="AX203">
        <v>2103</v>
      </c>
      <c r="AY203">
        <v>48.5</v>
      </c>
      <c r="AZ203">
        <v>37.700000000000003</v>
      </c>
      <c r="BA203">
        <v>417</v>
      </c>
      <c r="BB203">
        <v>5.5</v>
      </c>
      <c r="BC203">
        <v>374.2</v>
      </c>
      <c r="BD203">
        <v>30.1</v>
      </c>
      <c r="BE203">
        <v>24.5</v>
      </c>
      <c r="BF203">
        <v>64.5</v>
      </c>
      <c r="BG203">
        <v>16.100000000000001</v>
      </c>
      <c r="BH203">
        <v>9.1999999999999993</v>
      </c>
      <c r="BI203">
        <v>74.400000000000006</v>
      </c>
      <c r="BJ203">
        <v>10.3</v>
      </c>
      <c r="BK203">
        <v>4.4000000000000004</v>
      </c>
      <c r="BL203">
        <v>24.2</v>
      </c>
      <c r="BM203">
        <v>6.8</v>
      </c>
      <c r="BN203">
        <v>1.2</v>
      </c>
      <c r="BO203">
        <v>0.99</v>
      </c>
      <c r="BP203">
        <v>0.1</v>
      </c>
      <c r="BQ203">
        <v>0.15</v>
      </c>
      <c r="BR203">
        <v>222</v>
      </c>
      <c r="BS203">
        <v>132.80000000000001</v>
      </c>
      <c r="BT203">
        <v>1622</v>
      </c>
      <c r="BU203">
        <v>1250</v>
      </c>
      <c r="BV203">
        <v>6.62</v>
      </c>
      <c r="BW203">
        <v>6.43</v>
      </c>
      <c r="BX203">
        <v>0.77</v>
      </c>
      <c r="BY203">
        <v>11.7</v>
      </c>
      <c r="BZ203">
        <v>13.1</v>
      </c>
      <c r="CA203">
        <v>0.4</v>
      </c>
      <c r="CB203">
        <v>0.34</v>
      </c>
      <c r="CC203">
        <v>16.8</v>
      </c>
      <c r="CD203">
        <v>0.33</v>
      </c>
      <c r="CE203">
        <v>0.42</v>
      </c>
      <c r="CF203">
        <v>138.1</v>
      </c>
      <c r="CG203">
        <v>6.9</v>
      </c>
      <c r="CH203">
        <v>149</v>
      </c>
      <c r="CI203">
        <v>0.18</v>
      </c>
      <c r="CJ203">
        <v>1.7</v>
      </c>
      <c r="CK203">
        <v>0</v>
      </c>
      <c r="CL203" s="42" t="str">
        <f t="shared" si="42"/>
        <v>1</v>
      </c>
      <c r="CM203">
        <v>0</v>
      </c>
      <c r="CN203" s="4">
        <v>0</v>
      </c>
      <c r="CO203">
        <v>4</v>
      </c>
      <c r="CP203" s="42" t="str">
        <f t="shared" si="43"/>
        <v>1</v>
      </c>
      <c r="CQ203" s="4">
        <v>57.666666666666664</v>
      </c>
      <c r="CR203" s="4">
        <v>0.70987654320987659</v>
      </c>
      <c r="CS203" s="43" t="str">
        <f t="shared" si="44"/>
        <v>1</v>
      </c>
      <c r="CT203" s="4">
        <f t="shared" si="45"/>
        <v>57.666666666666664</v>
      </c>
      <c r="CU203" s="4">
        <f t="shared" si="46"/>
        <v>0.70987654320987659</v>
      </c>
      <c r="CV203" s="4">
        <v>1</v>
      </c>
    </row>
    <row r="204" spans="1:100" x14ac:dyDescent="0.3">
      <c r="A204" s="15" t="s">
        <v>434</v>
      </c>
      <c r="B204" s="17">
        <v>0</v>
      </c>
      <c r="C204" s="3">
        <v>50</v>
      </c>
      <c r="D204">
        <v>2</v>
      </c>
      <c r="E204">
        <v>1</v>
      </c>
      <c r="F204">
        <v>2</v>
      </c>
      <c r="G204">
        <v>1</v>
      </c>
      <c r="H204">
        <v>0</v>
      </c>
      <c r="I204">
        <v>1</v>
      </c>
      <c r="J204" s="4">
        <v>69.5</v>
      </c>
      <c r="K204" s="4">
        <f t="shared" si="38"/>
        <v>1.68</v>
      </c>
      <c r="L204">
        <v>168</v>
      </c>
      <c r="M204" s="4">
        <f t="shared" si="48"/>
        <v>16.749500000000001</v>
      </c>
      <c r="N204" s="4">
        <v>50.1</v>
      </c>
      <c r="O204" s="4">
        <v>24.1</v>
      </c>
      <c r="P204" s="40">
        <v>1</v>
      </c>
      <c r="Q204">
        <v>93.5</v>
      </c>
      <c r="R204" s="37">
        <v>1</v>
      </c>
      <c r="S204">
        <v>92.9</v>
      </c>
      <c r="T204" s="5">
        <f t="shared" si="47"/>
        <v>1.0064585575888052</v>
      </c>
      <c r="U204" s="37">
        <v>1</v>
      </c>
      <c r="V204" s="4">
        <f t="shared" si="39"/>
        <v>24.624433106575967</v>
      </c>
      <c r="W204" s="39">
        <v>1</v>
      </c>
      <c r="X204">
        <v>13</v>
      </c>
      <c r="Y204" s="37">
        <v>1</v>
      </c>
      <c r="Z204">
        <v>5.33</v>
      </c>
      <c r="AA204" s="23">
        <f t="shared" si="40"/>
        <v>1.1719461866666665</v>
      </c>
      <c r="AB204" s="84">
        <v>0</v>
      </c>
      <c r="AC204" s="5">
        <v>4.9472399999999999</v>
      </c>
      <c r="AD204" s="37">
        <v>0</v>
      </c>
      <c r="AE204" s="5">
        <v>13.30261</v>
      </c>
      <c r="AF204" s="5">
        <v>6.5687600000000002</v>
      </c>
      <c r="AG204" s="37">
        <v>1</v>
      </c>
      <c r="AH204" s="5">
        <v>1.14541</v>
      </c>
      <c r="AI204" s="37">
        <v>0</v>
      </c>
      <c r="AJ204" s="5">
        <v>4.7051600000000002</v>
      </c>
      <c r="AK204" s="37">
        <v>1</v>
      </c>
      <c r="AL204" s="5">
        <v>1.3429500000000001</v>
      </c>
      <c r="AM204" s="37">
        <v>0</v>
      </c>
      <c r="AN204" s="4">
        <f t="shared" si="41"/>
        <v>4.8912915596261959</v>
      </c>
      <c r="AO204" s="37">
        <v>1</v>
      </c>
      <c r="AP204">
        <v>131</v>
      </c>
      <c r="AQ204" s="37">
        <v>1</v>
      </c>
      <c r="AR204">
        <v>87</v>
      </c>
      <c r="AS204" s="37">
        <v>1</v>
      </c>
      <c r="AT204">
        <v>70</v>
      </c>
      <c r="AU204">
        <v>44</v>
      </c>
      <c r="AV204">
        <v>7.4</v>
      </c>
      <c r="AW204" s="37">
        <v>1</v>
      </c>
      <c r="AX204">
        <v>2135</v>
      </c>
      <c r="AY204">
        <v>44.8</v>
      </c>
      <c r="AZ204">
        <v>49.6</v>
      </c>
      <c r="BA204">
        <v>400.4</v>
      </c>
      <c r="BB204">
        <v>6.4</v>
      </c>
      <c r="BC204">
        <v>359.7</v>
      </c>
      <c r="BD204">
        <v>18.2</v>
      </c>
      <c r="BE204">
        <v>7.4</v>
      </c>
      <c r="BF204">
        <v>18.7</v>
      </c>
      <c r="BG204">
        <v>20.9</v>
      </c>
      <c r="BH204">
        <v>8.4</v>
      </c>
      <c r="BI204">
        <v>70.3</v>
      </c>
      <c r="BJ204">
        <v>15.5</v>
      </c>
      <c r="BK204">
        <v>1.3</v>
      </c>
      <c r="BL204">
        <v>36.799999999999997</v>
      </c>
      <c r="BM204">
        <v>3.4</v>
      </c>
      <c r="BN204">
        <v>1.1000000000000001</v>
      </c>
      <c r="BO204">
        <v>0.57999999999999996</v>
      </c>
      <c r="BP204">
        <v>0.31</v>
      </c>
      <c r="BQ204">
        <v>0.1</v>
      </c>
      <c r="BR204">
        <v>428</v>
      </c>
      <c r="BS204">
        <v>164.3</v>
      </c>
      <c r="BT204">
        <v>2691</v>
      </c>
      <c r="BU204">
        <v>1467</v>
      </c>
      <c r="BV204">
        <v>10.6</v>
      </c>
      <c r="BW204">
        <v>7.9</v>
      </c>
      <c r="BX204">
        <v>1.68</v>
      </c>
      <c r="BY204">
        <v>6.7</v>
      </c>
      <c r="BZ204">
        <v>10.8</v>
      </c>
      <c r="CA204">
        <v>0.32</v>
      </c>
      <c r="CB204">
        <v>0.33</v>
      </c>
      <c r="CC204">
        <v>14.6</v>
      </c>
      <c r="CD204">
        <v>0.28999999999999998</v>
      </c>
      <c r="CE204">
        <v>1.84</v>
      </c>
      <c r="CF204">
        <v>172.1</v>
      </c>
      <c r="CG204">
        <v>25.6</v>
      </c>
      <c r="CH204">
        <v>614</v>
      </c>
      <c r="CI204">
        <v>1.67</v>
      </c>
      <c r="CJ204">
        <v>1</v>
      </c>
      <c r="CK204">
        <v>0</v>
      </c>
      <c r="CL204" s="42" t="str">
        <f t="shared" si="42"/>
        <v>1</v>
      </c>
      <c r="CM204">
        <v>0</v>
      </c>
      <c r="CN204" s="4">
        <v>0</v>
      </c>
      <c r="CO204">
        <v>9</v>
      </c>
      <c r="CP204" s="42" t="str">
        <f t="shared" si="43"/>
        <v>3</v>
      </c>
      <c r="CQ204" s="4">
        <v>311.33333333333331</v>
      </c>
      <c r="CR204" s="4">
        <v>6.1901234567901229</v>
      </c>
      <c r="CS204" s="43" t="str">
        <f t="shared" si="44"/>
        <v>3</v>
      </c>
      <c r="CT204" s="4">
        <f t="shared" si="45"/>
        <v>311.33333333333331</v>
      </c>
      <c r="CU204" s="4">
        <f t="shared" si="46"/>
        <v>6.1901234567901229</v>
      </c>
      <c r="CV204" s="4">
        <v>4</v>
      </c>
    </row>
    <row r="205" spans="1:100" x14ac:dyDescent="0.3">
      <c r="A205" s="15" t="s">
        <v>435</v>
      </c>
      <c r="B205" s="17">
        <v>0</v>
      </c>
      <c r="C205" s="3">
        <v>30</v>
      </c>
      <c r="D205">
        <v>2</v>
      </c>
      <c r="E205">
        <v>1</v>
      </c>
      <c r="F205">
        <v>2</v>
      </c>
      <c r="G205">
        <v>0</v>
      </c>
      <c r="H205">
        <v>1</v>
      </c>
      <c r="I205">
        <v>1</v>
      </c>
      <c r="J205" s="4">
        <v>62.2</v>
      </c>
      <c r="K205" s="4">
        <f t="shared" si="38"/>
        <v>1.6</v>
      </c>
      <c r="L205">
        <v>160</v>
      </c>
      <c r="M205" s="4">
        <f t="shared" si="48"/>
        <v>15.301200000000001</v>
      </c>
      <c r="N205" s="4">
        <v>44.4</v>
      </c>
      <c r="O205" s="4">
        <v>24.6</v>
      </c>
      <c r="P205" s="40">
        <v>1</v>
      </c>
      <c r="Q205">
        <v>89.2</v>
      </c>
      <c r="R205" s="37">
        <v>0</v>
      </c>
      <c r="S205">
        <v>93.3</v>
      </c>
      <c r="T205" s="5">
        <f t="shared" si="47"/>
        <v>0.95605573419078249</v>
      </c>
      <c r="U205" s="37">
        <v>1</v>
      </c>
      <c r="V205" s="4">
        <f t="shared" si="39"/>
        <v>24.296874999999996</v>
      </c>
      <c r="W205" s="39">
        <v>1</v>
      </c>
      <c r="X205">
        <v>9</v>
      </c>
      <c r="Y205" s="40">
        <v>0</v>
      </c>
      <c r="Z205">
        <v>11.3</v>
      </c>
      <c r="AA205" s="23">
        <f t="shared" si="40"/>
        <v>2.2579007111111116</v>
      </c>
      <c r="AB205" s="84">
        <v>0</v>
      </c>
      <c r="AC205" s="5">
        <v>4.4958200000000001</v>
      </c>
      <c r="AD205" s="37">
        <v>0</v>
      </c>
      <c r="AE205" s="5">
        <v>3</v>
      </c>
      <c r="AF205" s="5">
        <v>7.5950899999999999</v>
      </c>
      <c r="AG205" s="37">
        <v>1</v>
      </c>
      <c r="AH205" s="5">
        <v>2.0172599999999998</v>
      </c>
      <c r="AI205" s="37">
        <v>1</v>
      </c>
      <c r="AJ205" s="5">
        <v>5.5635700000000003</v>
      </c>
      <c r="AK205" s="37">
        <v>1</v>
      </c>
      <c r="AL205" s="5">
        <v>1.1145799999999999</v>
      </c>
      <c r="AM205" s="37">
        <v>0</v>
      </c>
      <c r="AN205" s="4">
        <f t="shared" si="41"/>
        <v>6.8143067343752808</v>
      </c>
      <c r="AO205" s="37">
        <v>1</v>
      </c>
      <c r="AP205">
        <v>136</v>
      </c>
      <c r="AQ205" s="37">
        <v>1</v>
      </c>
      <c r="AR205">
        <v>78</v>
      </c>
      <c r="AS205" s="37">
        <v>0</v>
      </c>
      <c r="AT205">
        <v>92</v>
      </c>
      <c r="AU205">
        <v>58</v>
      </c>
      <c r="AV205">
        <v>6</v>
      </c>
      <c r="AW205" s="37">
        <v>0</v>
      </c>
      <c r="AX205">
        <v>2373</v>
      </c>
      <c r="AY205">
        <v>68.599999999999994</v>
      </c>
      <c r="AZ205">
        <v>47.7</v>
      </c>
      <c r="BA205">
        <v>443.5</v>
      </c>
      <c r="BB205">
        <v>10.1</v>
      </c>
      <c r="BC205">
        <v>400.1</v>
      </c>
      <c r="BD205">
        <v>32.200000000000003</v>
      </c>
      <c r="BE205">
        <v>20.2</v>
      </c>
      <c r="BF205">
        <v>141.9</v>
      </c>
      <c r="BG205">
        <v>18.100000000000001</v>
      </c>
      <c r="BH205">
        <v>11.6</v>
      </c>
      <c r="BI205">
        <v>70.099999999999994</v>
      </c>
      <c r="BJ205">
        <v>12</v>
      </c>
      <c r="BK205">
        <v>3.2</v>
      </c>
      <c r="BL205">
        <v>31.6</v>
      </c>
      <c r="BM205">
        <v>6.5</v>
      </c>
      <c r="BN205">
        <v>4.4000000000000004</v>
      </c>
      <c r="BO205">
        <v>3.98</v>
      </c>
      <c r="BP205">
        <v>0.3</v>
      </c>
      <c r="BQ205">
        <v>0.01</v>
      </c>
      <c r="BR205">
        <v>209</v>
      </c>
      <c r="BS205">
        <v>210.2</v>
      </c>
      <c r="BT205">
        <v>3600</v>
      </c>
      <c r="BU205">
        <v>2204</v>
      </c>
      <c r="BV205">
        <v>11.54</v>
      </c>
      <c r="BW205">
        <v>10.39</v>
      </c>
      <c r="BX205">
        <v>1.85</v>
      </c>
      <c r="BY205">
        <v>59.1</v>
      </c>
      <c r="BZ205">
        <v>79.3</v>
      </c>
      <c r="CA205">
        <v>0.67</v>
      </c>
      <c r="CB205">
        <v>0.42</v>
      </c>
      <c r="CC205">
        <v>23</v>
      </c>
      <c r="CD205">
        <v>1.29</v>
      </c>
      <c r="CE205">
        <v>0.76</v>
      </c>
      <c r="CF205">
        <v>256.5</v>
      </c>
      <c r="CG205">
        <v>38.700000000000003</v>
      </c>
      <c r="CH205">
        <v>642</v>
      </c>
      <c r="CI205">
        <v>0.49</v>
      </c>
      <c r="CJ205">
        <v>1.6</v>
      </c>
      <c r="CK205">
        <v>0</v>
      </c>
      <c r="CL205" s="42" t="str">
        <f t="shared" si="42"/>
        <v>1</v>
      </c>
      <c r="CM205">
        <v>0</v>
      </c>
      <c r="CN205" s="4">
        <v>0</v>
      </c>
      <c r="CO205">
        <v>4</v>
      </c>
      <c r="CP205" s="42" t="str">
        <f t="shared" si="43"/>
        <v>1</v>
      </c>
      <c r="CQ205" s="4">
        <v>74</v>
      </c>
      <c r="CR205" s="4">
        <v>1</v>
      </c>
      <c r="CS205" s="43" t="str">
        <f t="shared" si="44"/>
        <v>1</v>
      </c>
      <c r="CT205" s="4">
        <f t="shared" si="45"/>
        <v>74</v>
      </c>
      <c r="CU205" s="4">
        <f t="shared" si="46"/>
        <v>1</v>
      </c>
      <c r="CV205" s="4">
        <v>1</v>
      </c>
    </row>
    <row r="206" spans="1:100" x14ac:dyDescent="0.3">
      <c r="A206" s="15" t="s">
        <v>436</v>
      </c>
      <c r="B206" s="17">
        <v>0</v>
      </c>
      <c r="C206">
        <v>54</v>
      </c>
      <c r="D206">
        <v>3</v>
      </c>
      <c r="E206">
        <v>0</v>
      </c>
      <c r="F206">
        <v>2</v>
      </c>
      <c r="G206">
        <v>2</v>
      </c>
      <c r="H206">
        <v>1</v>
      </c>
      <c r="I206">
        <v>0</v>
      </c>
      <c r="J206">
        <v>60.7</v>
      </c>
      <c r="K206" s="4">
        <f t="shared" si="38"/>
        <v>1.6380000000000001</v>
      </c>
      <c r="L206">
        <v>163.80000000000001</v>
      </c>
      <c r="M206" s="4">
        <f t="shared" si="48"/>
        <v>12.9291</v>
      </c>
      <c r="N206" s="4">
        <v>44.6</v>
      </c>
      <c r="O206" s="4">
        <v>21.3</v>
      </c>
      <c r="P206" s="40">
        <v>0</v>
      </c>
      <c r="Q206">
        <v>89</v>
      </c>
      <c r="R206" s="37">
        <v>0</v>
      </c>
      <c r="S206">
        <v>89</v>
      </c>
      <c r="T206" s="5">
        <f t="shared" si="47"/>
        <v>1</v>
      </c>
      <c r="U206" s="37">
        <v>1</v>
      </c>
      <c r="V206" s="4">
        <f t="shared" si="39"/>
        <v>22.623557422092219</v>
      </c>
      <c r="W206" s="39">
        <v>0</v>
      </c>
      <c r="X206">
        <v>11</v>
      </c>
      <c r="Y206" s="37">
        <v>1</v>
      </c>
      <c r="AA206" s="23"/>
      <c r="AB206" s="84"/>
      <c r="AC206" s="5">
        <v>5.4621199999999996</v>
      </c>
      <c r="AD206" s="37">
        <v>0</v>
      </c>
      <c r="AE206" s="5">
        <v>3</v>
      </c>
      <c r="AF206" s="5">
        <v>4.13842</v>
      </c>
      <c r="AG206" s="37">
        <v>0</v>
      </c>
      <c r="AH206" s="5">
        <v>0.75351000000000001</v>
      </c>
      <c r="AI206" s="37">
        <v>0</v>
      </c>
      <c r="AJ206" s="5">
        <v>2.6343899999999998</v>
      </c>
      <c r="AK206" s="37">
        <v>0</v>
      </c>
      <c r="AL206" s="5">
        <v>1.16153</v>
      </c>
      <c r="AM206" s="37">
        <v>0</v>
      </c>
      <c r="AN206" s="4">
        <f t="shared" si="41"/>
        <v>3.5629041006258988</v>
      </c>
      <c r="AO206" s="37">
        <v>0</v>
      </c>
      <c r="AP206">
        <v>114</v>
      </c>
      <c r="AQ206" s="38">
        <v>0</v>
      </c>
      <c r="AR206">
        <v>70</v>
      </c>
      <c r="AS206" s="37">
        <v>0</v>
      </c>
      <c r="AT206">
        <v>64</v>
      </c>
      <c r="AU206">
        <v>45</v>
      </c>
      <c r="AV206">
        <v>7</v>
      </c>
      <c r="AW206" s="37">
        <v>1</v>
      </c>
      <c r="AX206">
        <v>1587</v>
      </c>
      <c r="AY206">
        <v>31.9</v>
      </c>
      <c r="AZ206">
        <v>21.2</v>
      </c>
      <c r="BA206">
        <v>336.8</v>
      </c>
      <c r="BB206">
        <v>4</v>
      </c>
      <c r="BC206">
        <v>278.60000000000002</v>
      </c>
      <c r="BD206">
        <v>51.7</v>
      </c>
      <c r="BE206">
        <v>43.4</v>
      </c>
      <c r="BF206">
        <v>13.4</v>
      </c>
      <c r="BG206">
        <v>12</v>
      </c>
      <c r="BH206">
        <v>8</v>
      </c>
      <c r="BI206">
        <v>79.599999999999994</v>
      </c>
      <c r="BJ206">
        <v>8.5</v>
      </c>
      <c r="BK206">
        <v>10.3</v>
      </c>
      <c r="BL206">
        <v>15</v>
      </c>
      <c r="BM206">
        <v>2.5</v>
      </c>
      <c r="BN206">
        <v>1.5</v>
      </c>
      <c r="BO206">
        <v>1.26</v>
      </c>
      <c r="BP206">
        <v>0.11</v>
      </c>
      <c r="BQ206">
        <v>0</v>
      </c>
      <c r="BR206">
        <v>132</v>
      </c>
      <c r="BS206">
        <v>98.9</v>
      </c>
      <c r="BT206">
        <v>1686</v>
      </c>
      <c r="BU206">
        <v>1009</v>
      </c>
      <c r="BV206">
        <v>4.72</v>
      </c>
      <c r="BW206">
        <v>5.81</v>
      </c>
      <c r="BX206">
        <v>0.97</v>
      </c>
      <c r="BY206">
        <v>37.299999999999997</v>
      </c>
      <c r="BZ206">
        <v>48.1</v>
      </c>
      <c r="CA206">
        <v>0.25</v>
      </c>
      <c r="CB206">
        <v>0.33</v>
      </c>
      <c r="CC206">
        <v>10.9</v>
      </c>
      <c r="CD206">
        <v>0.71</v>
      </c>
      <c r="CE206">
        <v>0.59</v>
      </c>
      <c r="CF206">
        <v>93.2</v>
      </c>
      <c r="CG206">
        <v>11.2</v>
      </c>
      <c r="CH206">
        <v>90</v>
      </c>
      <c r="CI206">
        <v>0.19</v>
      </c>
      <c r="CJ206">
        <v>0.5</v>
      </c>
      <c r="CK206">
        <v>1</v>
      </c>
      <c r="CL206" s="42" t="str">
        <f t="shared" si="42"/>
        <v>1</v>
      </c>
      <c r="CM206" s="4">
        <v>16.666666666666668</v>
      </c>
      <c r="CN206" s="4">
        <v>0.33333333333333337</v>
      </c>
      <c r="CO206">
        <v>3</v>
      </c>
      <c r="CP206" s="42" t="str">
        <f t="shared" si="43"/>
        <v>1</v>
      </c>
      <c r="CQ206" s="4">
        <v>68.666666666666671</v>
      </c>
      <c r="CR206" s="4">
        <v>0.40740740740740738</v>
      </c>
      <c r="CS206" s="43" t="str">
        <f t="shared" si="44"/>
        <v>1</v>
      </c>
      <c r="CT206" s="4">
        <f t="shared" si="45"/>
        <v>85.333333333333343</v>
      </c>
      <c r="CU206" s="4">
        <f t="shared" si="46"/>
        <v>0.7407407407407407</v>
      </c>
      <c r="CV206" s="4">
        <v>1</v>
      </c>
    </row>
    <row r="207" spans="1:100" x14ac:dyDescent="0.3">
      <c r="A207" s="15" t="s">
        <v>437</v>
      </c>
      <c r="B207" s="17">
        <v>0</v>
      </c>
      <c r="C207">
        <v>30</v>
      </c>
      <c r="D207">
        <v>2</v>
      </c>
      <c r="E207">
        <v>2</v>
      </c>
      <c r="F207">
        <v>1</v>
      </c>
      <c r="G207">
        <v>0</v>
      </c>
      <c r="H207">
        <v>1</v>
      </c>
      <c r="I207">
        <v>0</v>
      </c>
      <c r="J207">
        <v>75</v>
      </c>
      <c r="K207" s="4">
        <f t="shared" si="38"/>
        <v>1.6369999999999998</v>
      </c>
      <c r="L207">
        <v>163.69999999999999</v>
      </c>
      <c r="M207" s="4">
        <f t="shared" si="48"/>
        <v>20.85</v>
      </c>
      <c r="N207" s="4">
        <v>50.9</v>
      </c>
      <c r="O207" s="4">
        <v>27.8</v>
      </c>
      <c r="P207" s="40">
        <v>1</v>
      </c>
      <c r="Q207">
        <v>95.5</v>
      </c>
      <c r="R207" s="37">
        <v>1</v>
      </c>
      <c r="S207">
        <v>104</v>
      </c>
      <c r="T207" s="5">
        <f t="shared" si="47"/>
        <v>0.91826923076923073</v>
      </c>
      <c r="U207" s="37">
        <v>1</v>
      </c>
      <c r="V207" s="4">
        <f t="shared" si="39"/>
        <v>27.987486981153978</v>
      </c>
      <c r="W207" s="39">
        <v>1</v>
      </c>
      <c r="X207">
        <v>12</v>
      </c>
      <c r="Y207" s="37">
        <v>1</v>
      </c>
      <c r="Z207">
        <v>7.7</v>
      </c>
      <c r="AA207" s="23">
        <f t="shared" si="40"/>
        <v>1.6255555555555556</v>
      </c>
      <c r="AB207" s="84">
        <v>0</v>
      </c>
      <c r="AC207" s="5">
        <v>4.75</v>
      </c>
      <c r="AD207" s="37">
        <v>0</v>
      </c>
      <c r="AE207">
        <v>3</v>
      </c>
      <c r="AF207" s="5">
        <v>6.41</v>
      </c>
      <c r="AG207" s="37">
        <v>1</v>
      </c>
      <c r="AH207" s="5">
        <v>1.62</v>
      </c>
      <c r="AI207" s="37">
        <v>0</v>
      </c>
      <c r="AJ207" s="5">
        <v>4.59</v>
      </c>
      <c r="AK207" s="37">
        <v>1</v>
      </c>
      <c r="AL207" s="5">
        <v>1.0900000000000001</v>
      </c>
      <c r="AM207" s="37">
        <v>0</v>
      </c>
      <c r="AN207" s="4">
        <f t="shared" si="41"/>
        <v>5.8807339449541285</v>
      </c>
      <c r="AO207" s="37">
        <v>1</v>
      </c>
      <c r="AP207">
        <v>120</v>
      </c>
      <c r="AQ207" s="38">
        <v>0</v>
      </c>
      <c r="AR207">
        <v>81</v>
      </c>
      <c r="AS207" s="37">
        <v>0</v>
      </c>
      <c r="AT207">
        <v>81</v>
      </c>
      <c r="AU207">
        <v>39</v>
      </c>
      <c r="AV207">
        <v>5.3</v>
      </c>
      <c r="AW207" s="37">
        <v>1</v>
      </c>
      <c r="AX207">
        <v>2759</v>
      </c>
      <c r="AY207">
        <v>71.3</v>
      </c>
      <c r="AZ207">
        <v>71.900000000000006</v>
      </c>
      <c r="BA207">
        <v>486.1</v>
      </c>
      <c r="BB207">
        <v>7.8</v>
      </c>
      <c r="BC207">
        <v>391.9</v>
      </c>
      <c r="BD207">
        <v>66.599999999999994</v>
      </c>
      <c r="BE207">
        <v>53.3</v>
      </c>
      <c r="BF207">
        <v>297.10000000000002</v>
      </c>
      <c r="BG207">
        <v>23.5</v>
      </c>
      <c r="BH207">
        <v>10.3</v>
      </c>
      <c r="BI207">
        <v>66.099999999999994</v>
      </c>
      <c r="BJ207">
        <v>17.100000000000001</v>
      </c>
      <c r="BK207">
        <v>7.2</v>
      </c>
      <c r="BL207">
        <v>52.5</v>
      </c>
      <c r="BM207">
        <v>8</v>
      </c>
      <c r="BN207">
        <v>2.7</v>
      </c>
      <c r="BO207">
        <v>2.27</v>
      </c>
      <c r="BP207">
        <v>0.4</v>
      </c>
      <c r="BQ207">
        <v>0.13</v>
      </c>
      <c r="BR207">
        <v>308</v>
      </c>
      <c r="BS207">
        <v>207.2</v>
      </c>
      <c r="BT207">
        <v>4361</v>
      </c>
      <c r="BU207">
        <v>2078</v>
      </c>
      <c r="BV207">
        <v>10.24</v>
      </c>
      <c r="BW207">
        <v>8.58</v>
      </c>
      <c r="BX207">
        <v>1.17</v>
      </c>
      <c r="BY207">
        <v>19</v>
      </c>
      <c r="BZ207">
        <v>70.900000000000006</v>
      </c>
      <c r="CA207">
        <v>0.65</v>
      </c>
      <c r="CB207">
        <v>0.91</v>
      </c>
      <c r="CC207">
        <v>24.9</v>
      </c>
      <c r="CD207">
        <v>1.03</v>
      </c>
      <c r="CE207">
        <v>2.69</v>
      </c>
      <c r="CF207">
        <v>272.2</v>
      </c>
      <c r="CG207">
        <v>52.6</v>
      </c>
      <c r="CH207">
        <v>682</v>
      </c>
      <c r="CI207">
        <v>1.04</v>
      </c>
      <c r="CJ207">
        <v>2.2000000000000002</v>
      </c>
      <c r="CK207">
        <v>2</v>
      </c>
      <c r="CL207" s="42" t="str">
        <f t="shared" si="42"/>
        <v>2</v>
      </c>
      <c r="CM207" s="4">
        <v>100.66666666666667</v>
      </c>
      <c r="CN207" s="4">
        <v>2.0133333333333336</v>
      </c>
      <c r="CO207">
        <v>6</v>
      </c>
      <c r="CP207" s="42" t="str">
        <f t="shared" si="43"/>
        <v>1</v>
      </c>
      <c r="CQ207" s="4">
        <v>90.333333333333329</v>
      </c>
      <c r="CR207" s="4">
        <v>1.5617283950617282</v>
      </c>
      <c r="CS207" s="43" t="str">
        <f t="shared" si="44"/>
        <v>2</v>
      </c>
      <c r="CT207" s="4">
        <f t="shared" si="45"/>
        <v>191</v>
      </c>
      <c r="CU207" s="4">
        <f t="shared" si="46"/>
        <v>3.5750617283950619</v>
      </c>
      <c r="CV207" s="4">
        <v>3</v>
      </c>
    </row>
    <row r="208" spans="1:100" x14ac:dyDescent="0.3">
      <c r="A208" s="15" t="s">
        <v>438</v>
      </c>
      <c r="B208" s="17">
        <v>0</v>
      </c>
      <c r="C208" s="3">
        <v>33</v>
      </c>
      <c r="D208">
        <v>1</v>
      </c>
      <c r="E208">
        <v>3</v>
      </c>
      <c r="F208">
        <v>2</v>
      </c>
      <c r="G208">
        <v>1</v>
      </c>
      <c r="H208">
        <v>1</v>
      </c>
      <c r="I208">
        <v>1</v>
      </c>
      <c r="J208" s="4">
        <v>76.8</v>
      </c>
      <c r="K208" s="4">
        <f t="shared" si="38"/>
        <v>1.66</v>
      </c>
      <c r="L208">
        <v>166</v>
      </c>
      <c r="M208" s="4">
        <f t="shared" si="48"/>
        <v>22.425599999999999</v>
      </c>
      <c r="N208" s="4">
        <v>51.6</v>
      </c>
      <c r="O208" s="4">
        <v>29.2</v>
      </c>
      <c r="P208" s="40">
        <v>1</v>
      </c>
      <c r="Q208">
        <v>102.5</v>
      </c>
      <c r="R208" s="37">
        <v>1</v>
      </c>
      <c r="S208">
        <v>102</v>
      </c>
      <c r="T208" s="5">
        <f t="shared" si="47"/>
        <v>1.0049019607843137</v>
      </c>
      <c r="U208" s="37">
        <v>1</v>
      </c>
      <c r="V208" s="4">
        <f t="shared" si="39"/>
        <v>27.870518217448108</v>
      </c>
      <c r="W208" s="39">
        <v>1</v>
      </c>
      <c r="X208">
        <v>13</v>
      </c>
      <c r="Y208" s="37">
        <v>1</v>
      </c>
      <c r="Z208">
        <v>10.92</v>
      </c>
      <c r="AA208" s="23">
        <f t="shared" si="40"/>
        <v>2.0789593066666665</v>
      </c>
      <c r="AB208" s="84">
        <v>0</v>
      </c>
      <c r="AC208" s="5">
        <v>4.2835700000000001</v>
      </c>
      <c r="AD208" s="37">
        <v>0</v>
      </c>
      <c r="AE208" s="5">
        <v>21.42916</v>
      </c>
      <c r="AF208" s="5">
        <v>6.5057200000000002</v>
      </c>
      <c r="AG208" s="37">
        <v>1</v>
      </c>
      <c r="AH208" s="5">
        <v>2.30315</v>
      </c>
      <c r="AI208" s="37">
        <v>1</v>
      </c>
      <c r="AJ208" s="5">
        <v>4.7437199999999997</v>
      </c>
      <c r="AK208" s="37">
        <v>1</v>
      </c>
      <c r="AL208" s="5">
        <v>0.71511999999999998</v>
      </c>
      <c r="AM208" s="37">
        <v>1</v>
      </c>
      <c r="AN208" s="4">
        <f t="shared" si="41"/>
        <v>9.0973822575232131</v>
      </c>
      <c r="AO208" s="37">
        <v>1</v>
      </c>
      <c r="AP208">
        <v>119</v>
      </c>
      <c r="AQ208" s="38">
        <v>0</v>
      </c>
      <c r="AR208">
        <v>71</v>
      </c>
      <c r="AS208" s="37">
        <v>0</v>
      </c>
      <c r="AT208">
        <v>72</v>
      </c>
      <c r="AU208">
        <v>48</v>
      </c>
      <c r="AV208">
        <v>5.6</v>
      </c>
      <c r="AW208" s="37">
        <v>1</v>
      </c>
      <c r="AX208">
        <v>2882</v>
      </c>
      <c r="AY208">
        <v>68.2</v>
      </c>
      <c r="AZ208">
        <v>73.8</v>
      </c>
      <c r="BA208">
        <v>517.1</v>
      </c>
      <c r="BB208">
        <v>15.8</v>
      </c>
      <c r="BC208">
        <v>449.4</v>
      </c>
      <c r="BD208">
        <v>41.9</v>
      </c>
      <c r="BE208">
        <v>19.600000000000001</v>
      </c>
      <c r="BF208">
        <v>23.9</v>
      </c>
      <c r="BG208">
        <v>23</v>
      </c>
      <c r="BH208">
        <v>9.5</v>
      </c>
      <c r="BI208">
        <v>67.3</v>
      </c>
      <c r="BJ208">
        <v>17</v>
      </c>
      <c r="BK208">
        <v>2.5</v>
      </c>
      <c r="BL208">
        <v>54.5</v>
      </c>
      <c r="BM208">
        <v>6.7</v>
      </c>
      <c r="BN208">
        <v>3.6</v>
      </c>
      <c r="BO208">
        <v>3.1</v>
      </c>
      <c r="BP208">
        <v>0.28999999999999998</v>
      </c>
      <c r="BQ208">
        <v>0.2</v>
      </c>
      <c r="BR208">
        <v>581</v>
      </c>
      <c r="BS208">
        <v>278</v>
      </c>
      <c r="BT208">
        <v>3717</v>
      </c>
      <c r="BU208">
        <v>2393</v>
      </c>
      <c r="BV208">
        <v>13.65</v>
      </c>
      <c r="BW208">
        <v>9.17</v>
      </c>
      <c r="BX208">
        <v>1.78</v>
      </c>
      <c r="BY208">
        <v>68.900000000000006</v>
      </c>
      <c r="BZ208">
        <v>39.5</v>
      </c>
      <c r="CA208">
        <v>0.99</v>
      </c>
      <c r="CB208">
        <v>0.54</v>
      </c>
      <c r="CC208">
        <v>24.2</v>
      </c>
      <c r="CD208">
        <v>0.85</v>
      </c>
      <c r="CE208">
        <v>1.07</v>
      </c>
      <c r="CF208">
        <v>308.7</v>
      </c>
      <c r="CG208">
        <v>41.8</v>
      </c>
      <c r="CH208">
        <v>648</v>
      </c>
      <c r="CI208">
        <v>0.82</v>
      </c>
      <c r="CJ208">
        <v>2.6</v>
      </c>
      <c r="CK208">
        <v>1</v>
      </c>
      <c r="CL208" s="42" t="str">
        <f t="shared" si="42"/>
        <v>1</v>
      </c>
      <c r="CM208">
        <v>32</v>
      </c>
      <c r="CN208" s="4">
        <v>0.64</v>
      </c>
      <c r="CO208">
        <v>4</v>
      </c>
      <c r="CP208" s="42" t="str">
        <f t="shared" si="43"/>
        <v>1</v>
      </c>
      <c r="CQ208" s="4">
        <v>137</v>
      </c>
      <c r="CR208" s="4">
        <v>1.3271604938271606</v>
      </c>
      <c r="CS208" s="43" t="str">
        <f t="shared" si="44"/>
        <v>2</v>
      </c>
      <c r="CT208" s="4">
        <f t="shared" si="45"/>
        <v>169</v>
      </c>
      <c r="CU208" s="4">
        <f t="shared" si="46"/>
        <v>1.9671604938271607</v>
      </c>
      <c r="CV208" s="4">
        <v>2</v>
      </c>
    </row>
    <row r="209" spans="1:100" x14ac:dyDescent="0.3">
      <c r="A209" s="15" t="s">
        <v>439</v>
      </c>
      <c r="B209" s="17">
        <v>0</v>
      </c>
      <c r="C209" s="3">
        <v>48</v>
      </c>
      <c r="D209">
        <v>2</v>
      </c>
      <c r="E209">
        <v>1</v>
      </c>
      <c r="F209">
        <v>2</v>
      </c>
      <c r="G209">
        <v>0</v>
      </c>
      <c r="H209">
        <v>1</v>
      </c>
      <c r="I209">
        <v>0</v>
      </c>
      <c r="J209" s="4">
        <v>59.3</v>
      </c>
      <c r="K209" s="4">
        <f t="shared" si="38"/>
        <v>1.62</v>
      </c>
      <c r="L209">
        <v>162</v>
      </c>
      <c r="M209" s="4">
        <f t="shared" si="48"/>
        <v>13.5204</v>
      </c>
      <c r="N209" s="4">
        <v>43.4</v>
      </c>
      <c r="O209" s="4">
        <v>22.8</v>
      </c>
      <c r="P209" s="40">
        <v>0</v>
      </c>
      <c r="Q209">
        <v>91.5</v>
      </c>
      <c r="R209" s="37">
        <v>1</v>
      </c>
      <c r="S209">
        <v>93</v>
      </c>
      <c r="T209" s="5">
        <f t="shared" si="47"/>
        <v>0.9838709677419355</v>
      </c>
      <c r="U209" s="37">
        <v>1</v>
      </c>
      <c r="V209" s="4">
        <f t="shared" si="39"/>
        <v>22.595640908398103</v>
      </c>
      <c r="W209" s="39">
        <v>0</v>
      </c>
      <c r="X209">
        <v>11</v>
      </c>
      <c r="Y209" s="37">
        <v>1</v>
      </c>
      <c r="AA209" s="23"/>
      <c r="AB209" s="84"/>
      <c r="AC209" s="5">
        <v>4.2761800000000001</v>
      </c>
      <c r="AD209" s="37">
        <v>0</v>
      </c>
      <c r="AE209" s="5">
        <v>57.258800000000001</v>
      </c>
      <c r="AF209" s="5">
        <v>7.5530799999999996</v>
      </c>
      <c r="AG209" s="37">
        <v>1</v>
      </c>
      <c r="AH209" s="5">
        <v>3.5371100000000002</v>
      </c>
      <c r="AI209" s="37">
        <v>1</v>
      </c>
      <c r="AJ209" s="5">
        <v>5.0211199999999998</v>
      </c>
      <c r="AK209" s="37">
        <v>1</v>
      </c>
      <c r="AL209" s="5">
        <v>0.92418</v>
      </c>
      <c r="AM209" s="37">
        <v>1</v>
      </c>
      <c r="AN209" s="4">
        <f t="shared" si="41"/>
        <v>8.1727369127226286</v>
      </c>
      <c r="AO209" s="37">
        <v>1</v>
      </c>
      <c r="AP209">
        <v>152</v>
      </c>
      <c r="AQ209" s="37">
        <v>1</v>
      </c>
      <c r="AR209">
        <v>100</v>
      </c>
      <c r="AS209" s="37">
        <v>1</v>
      </c>
      <c r="AT209">
        <v>83</v>
      </c>
      <c r="AU209">
        <v>52</v>
      </c>
      <c r="AV209">
        <v>7.8</v>
      </c>
      <c r="AW209" s="37">
        <v>0</v>
      </c>
      <c r="AX209">
        <v>1695</v>
      </c>
      <c r="AY209">
        <v>49.9</v>
      </c>
      <c r="AZ209">
        <v>45.3</v>
      </c>
      <c r="BA209">
        <v>288.5</v>
      </c>
      <c r="BB209">
        <v>6.6</v>
      </c>
      <c r="BC209">
        <v>210.4</v>
      </c>
      <c r="BD209">
        <v>54.2</v>
      </c>
      <c r="BE209">
        <v>39.1</v>
      </c>
      <c r="BF209">
        <v>50.2</v>
      </c>
      <c r="BG209">
        <v>24.1</v>
      </c>
      <c r="BH209">
        <v>11.8</v>
      </c>
      <c r="BI209">
        <v>63.8</v>
      </c>
      <c r="BJ209">
        <v>12.8</v>
      </c>
      <c r="BK209">
        <v>8.6</v>
      </c>
      <c r="BL209">
        <v>24.2</v>
      </c>
      <c r="BM209">
        <v>7.7</v>
      </c>
      <c r="BN209">
        <v>5.5</v>
      </c>
      <c r="BO209">
        <v>4.78</v>
      </c>
      <c r="BP209">
        <v>0.48</v>
      </c>
      <c r="BQ209">
        <v>0.04</v>
      </c>
      <c r="BR209">
        <v>364</v>
      </c>
      <c r="BS209">
        <v>221.3</v>
      </c>
      <c r="BT209">
        <v>2240</v>
      </c>
      <c r="BU209">
        <v>1764</v>
      </c>
      <c r="BV209">
        <v>8.86</v>
      </c>
      <c r="BW209">
        <v>5.9</v>
      </c>
      <c r="BX209">
        <v>1.54</v>
      </c>
      <c r="BY209">
        <v>12.1</v>
      </c>
      <c r="BZ209">
        <v>32.1</v>
      </c>
      <c r="CA209">
        <v>0.65</v>
      </c>
      <c r="CB209">
        <v>0.51</v>
      </c>
      <c r="CC209">
        <v>17.5</v>
      </c>
      <c r="CD209">
        <v>0.71</v>
      </c>
      <c r="CE209">
        <v>1.34</v>
      </c>
      <c r="CF209">
        <v>228.9</v>
      </c>
      <c r="CG209">
        <v>10.9</v>
      </c>
      <c r="CH209">
        <v>192</v>
      </c>
      <c r="CI209">
        <v>2.59</v>
      </c>
      <c r="CJ209">
        <v>2.4</v>
      </c>
      <c r="CK209">
        <v>1</v>
      </c>
      <c r="CL209" s="42" t="str">
        <f t="shared" si="42"/>
        <v>1</v>
      </c>
      <c r="CM209">
        <v>16</v>
      </c>
      <c r="CN209" s="4">
        <v>0.32</v>
      </c>
      <c r="CO209">
        <v>5</v>
      </c>
      <c r="CP209" s="42" t="str">
        <f t="shared" si="43"/>
        <v>1</v>
      </c>
      <c r="CQ209" s="4">
        <v>94.333333333333329</v>
      </c>
      <c r="CR209" s="4">
        <v>1.5</v>
      </c>
      <c r="CS209" s="43" t="str">
        <f t="shared" si="44"/>
        <v>1</v>
      </c>
      <c r="CT209" s="4">
        <f t="shared" si="45"/>
        <v>110.33333333333333</v>
      </c>
      <c r="CU209" s="4">
        <f t="shared" si="46"/>
        <v>1.82</v>
      </c>
      <c r="CV209" s="4">
        <v>1</v>
      </c>
    </row>
    <row r="210" spans="1:100" x14ac:dyDescent="0.3">
      <c r="A210" s="15" t="s">
        <v>440</v>
      </c>
      <c r="B210" s="17">
        <v>0</v>
      </c>
      <c r="C210" s="3">
        <v>47</v>
      </c>
      <c r="D210">
        <v>2</v>
      </c>
      <c r="E210">
        <v>1</v>
      </c>
      <c r="F210">
        <v>2</v>
      </c>
      <c r="G210">
        <v>0</v>
      </c>
      <c r="H210">
        <v>2</v>
      </c>
      <c r="I210">
        <v>1</v>
      </c>
      <c r="J210" s="4">
        <v>54.9</v>
      </c>
      <c r="K210" s="4">
        <f t="shared" si="38"/>
        <v>1.61</v>
      </c>
      <c r="L210">
        <v>161</v>
      </c>
      <c r="M210" s="4">
        <f t="shared" si="48"/>
        <v>9.7172999999999998</v>
      </c>
      <c r="N210" s="4">
        <v>42.8</v>
      </c>
      <c r="O210" s="4">
        <v>17.7</v>
      </c>
      <c r="P210" s="40">
        <v>0</v>
      </c>
      <c r="Q210">
        <v>83</v>
      </c>
      <c r="R210" s="37">
        <v>0</v>
      </c>
      <c r="S210">
        <v>89</v>
      </c>
      <c r="T210" s="5">
        <f t="shared" si="47"/>
        <v>0.93258426966292129</v>
      </c>
      <c r="U210" s="37">
        <v>1</v>
      </c>
      <c r="V210" s="4">
        <f t="shared" si="39"/>
        <v>21.179738436017125</v>
      </c>
      <c r="W210" s="39">
        <v>0</v>
      </c>
      <c r="X210">
        <v>8</v>
      </c>
      <c r="Y210" s="40">
        <v>0</v>
      </c>
      <c r="Z210">
        <v>8.61</v>
      </c>
      <c r="AA210" s="23">
        <f t="shared" si="40"/>
        <v>1.7487483999999998</v>
      </c>
      <c r="AB210" s="84">
        <v>0</v>
      </c>
      <c r="AC210" s="5">
        <v>4.5698999999999996</v>
      </c>
      <c r="AD210" s="37">
        <v>0</v>
      </c>
      <c r="AE210" s="5">
        <v>10.906599999999999</v>
      </c>
      <c r="AF210" s="5">
        <v>6.6538599999999999</v>
      </c>
      <c r="AG210" s="37">
        <v>1</v>
      </c>
      <c r="AH210" s="5">
        <v>2.25787</v>
      </c>
      <c r="AI210" s="37">
        <v>1</v>
      </c>
      <c r="AJ210" s="5">
        <v>4.4581999999999997</v>
      </c>
      <c r="AK210" s="37">
        <v>1</v>
      </c>
      <c r="AL210" s="5">
        <v>1.16936</v>
      </c>
      <c r="AM210" s="37">
        <v>0</v>
      </c>
      <c r="AN210" s="4">
        <f t="shared" si="41"/>
        <v>5.6901724019976738</v>
      </c>
      <c r="AO210" s="37">
        <v>1</v>
      </c>
      <c r="AP210">
        <v>161</v>
      </c>
      <c r="AQ210" s="37">
        <v>1</v>
      </c>
      <c r="AR210">
        <v>107</v>
      </c>
      <c r="AS210" s="37">
        <v>1</v>
      </c>
      <c r="AT210">
        <v>71</v>
      </c>
      <c r="AU210">
        <v>54</v>
      </c>
      <c r="AV210">
        <v>8.1</v>
      </c>
      <c r="AW210" s="37">
        <v>0</v>
      </c>
      <c r="AX210">
        <v>1893</v>
      </c>
      <c r="AY210">
        <v>56.3</v>
      </c>
      <c r="AZ210">
        <v>32.5</v>
      </c>
      <c r="BA210">
        <v>365.3</v>
      </c>
      <c r="BB210">
        <v>7.4</v>
      </c>
      <c r="BC210">
        <v>306.89999999999998</v>
      </c>
      <c r="BD210">
        <v>34</v>
      </c>
      <c r="BE210">
        <v>27</v>
      </c>
      <c r="BF210">
        <v>41.5</v>
      </c>
      <c r="BG210">
        <v>15.4</v>
      </c>
      <c r="BH210">
        <v>11.9</v>
      </c>
      <c r="BI210">
        <v>72.400000000000006</v>
      </c>
      <c r="BJ210">
        <v>9.6999999999999993</v>
      </c>
      <c r="BK210">
        <v>5.3</v>
      </c>
      <c r="BL210">
        <v>20.3</v>
      </c>
      <c r="BM210">
        <v>3.6</v>
      </c>
      <c r="BN210">
        <v>1.6</v>
      </c>
      <c r="BO210">
        <v>1.1000000000000001</v>
      </c>
      <c r="BP210">
        <v>0.3</v>
      </c>
      <c r="BQ210">
        <v>0.03</v>
      </c>
      <c r="BR210">
        <v>261</v>
      </c>
      <c r="BS210">
        <v>205.6</v>
      </c>
      <c r="BT210">
        <v>4402</v>
      </c>
      <c r="BU210">
        <v>1816</v>
      </c>
      <c r="BV210">
        <v>9.84</v>
      </c>
      <c r="BW210">
        <v>7.23</v>
      </c>
      <c r="BX210">
        <v>1.82</v>
      </c>
      <c r="BY210">
        <v>14.9</v>
      </c>
      <c r="BZ210">
        <v>14</v>
      </c>
      <c r="CA210">
        <v>0.55000000000000004</v>
      </c>
      <c r="CB210">
        <v>0.42</v>
      </c>
      <c r="CC210">
        <v>17.3</v>
      </c>
      <c r="CD210">
        <v>0.69</v>
      </c>
      <c r="CE210">
        <v>2.2799999999999998</v>
      </c>
      <c r="CF210">
        <v>220.8</v>
      </c>
      <c r="CG210">
        <v>7.6</v>
      </c>
      <c r="CH210">
        <v>125</v>
      </c>
      <c r="CI210">
        <v>1.89</v>
      </c>
      <c r="CJ210">
        <v>2.6</v>
      </c>
      <c r="CK210">
        <v>1</v>
      </c>
      <c r="CL210" s="42" t="str">
        <f t="shared" si="42"/>
        <v>1</v>
      </c>
      <c r="CM210">
        <v>16</v>
      </c>
      <c r="CN210" s="4">
        <v>0.32</v>
      </c>
      <c r="CO210">
        <v>3</v>
      </c>
      <c r="CP210" s="42" t="str">
        <f t="shared" si="43"/>
        <v>1</v>
      </c>
      <c r="CQ210" s="4">
        <v>58.333333333333336</v>
      </c>
      <c r="CR210" s="4">
        <v>0.70987654320987659</v>
      </c>
      <c r="CS210" s="43" t="str">
        <f t="shared" si="44"/>
        <v>1</v>
      </c>
      <c r="CT210" s="4">
        <f t="shared" si="45"/>
        <v>74.333333333333343</v>
      </c>
      <c r="CU210" s="4">
        <f t="shared" si="46"/>
        <v>1.0298765432098766</v>
      </c>
      <c r="CV210" s="4">
        <v>1</v>
      </c>
    </row>
    <row r="211" spans="1:100" x14ac:dyDescent="0.3">
      <c r="A211" s="15" t="s">
        <v>441</v>
      </c>
      <c r="B211" s="17">
        <v>0</v>
      </c>
      <c r="C211" s="3">
        <v>54</v>
      </c>
      <c r="D211">
        <v>3</v>
      </c>
      <c r="E211">
        <v>1</v>
      </c>
      <c r="F211">
        <v>1</v>
      </c>
      <c r="G211">
        <v>0</v>
      </c>
      <c r="H211">
        <v>0</v>
      </c>
      <c r="I211">
        <v>0</v>
      </c>
      <c r="J211" s="4">
        <v>59</v>
      </c>
      <c r="K211" s="4">
        <f t="shared" si="38"/>
        <v>1.61</v>
      </c>
      <c r="L211">
        <v>161</v>
      </c>
      <c r="M211" s="4">
        <f t="shared" si="48"/>
        <v>14.455</v>
      </c>
      <c r="N211" s="4">
        <v>42.2</v>
      </c>
      <c r="O211" s="4">
        <v>24.5</v>
      </c>
      <c r="P211" s="40">
        <v>1</v>
      </c>
      <c r="Q211">
        <v>88</v>
      </c>
      <c r="R211" s="37">
        <v>0</v>
      </c>
      <c r="S211">
        <v>92</v>
      </c>
      <c r="T211" s="5">
        <f t="shared" si="47"/>
        <v>0.95652173913043481</v>
      </c>
      <c r="U211" s="37">
        <v>1</v>
      </c>
      <c r="V211" s="4">
        <f t="shared" si="39"/>
        <v>22.761467535974688</v>
      </c>
      <c r="W211" s="39">
        <v>0</v>
      </c>
      <c r="X211">
        <v>12</v>
      </c>
      <c r="Y211" s="37">
        <v>1</v>
      </c>
      <c r="Z211">
        <v>23.5</v>
      </c>
      <c r="AA211" s="23">
        <f t="shared" si="40"/>
        <v>4.5328888888888885</v>
      </c>
      <c r="AB211" s="84">
        <v>1</v>
      </c>
      <c r="AC211" s="5">
        <v>4.34</v>
      </c>
      <c r="AD211" s="37">
        <v>0</v>
      </c>
      <c r="AE211">
        <v>3</v>
      </c>
      <c r="AF211" s="5">
        <v>5.59</v>
      </c>
      <c r="AG211" s="37">
        <v>1</v>
      </c>
      <c r="AH211" s="5">
        <v>1.1100000000000001</v>
      </c>
      <c r="AI211" s="37">
        <v>0</v>
      </c>
      <c r="AJ211" s="5">
        <v>3.75</v>
      </c>
      <c r="AK211" s="37">
        <v>1</v>
      </c>
      <c r="AL211" s="5">
        <v>1.34</v>
      </c>
      <c r="AM211" s="37">
        <v>0</v>
      </c>
      <c r="AN211" s="4">
        <f t="shared" si="41"/>
        <v>4.1716417910447756</v>
      </c>
      <c r="AO211" s="37">
        <v>1</v>
      </c>
      <c r="AP211">
        <v>118</v>
      </c>
      <c r="AQ211" s="38">
        <v>0</v>
      </c>
      <c r="AR211">
        <v>80</v>
      </c>
      <c r="AS211" s="37">
        <v>0</v>
      </c>
      <c r="AT211">
        <v>69</v>
      </c>
      <c r="AU211">
        <v>37</v>
      </c>
      <c r="AV211">
        <v>7.4</v>
      </c>
      <c r="AW211" s="37">
        <v>1</v>
      </c>
      <c r="AX211">
        <v>1439</v>
      </c>
      <c r="AY211">
        <v>30.5</v>
      </c>
      <c r="AZ211">
        <v>26</v>
      </c>
      <c r="BA211">
        <v>287.39999999999998</v>
      </c>
      <c r="BB211">
        <v>3.1</v>
      </c>
      <c r="BC211">
        <v>244.1</v>
      </c>
      <c r="BD211">
        <v>30.6</v>
      </c>
      <c r="BE211">
        <v>25.7</v>
      </c>
      <c r="BF211">
        <v>6.3</v>
      </c>
      <c r="BG211">
        <v>16.3</v>
      </c>
      <c r="BH211">
        <v>8.5</v>
      </c>
      <c r="BI211">
        <v>74.900000000000006</v>
      </c>
      <c r="BJ211">
        <v>10.5</v>
      </c>
      <c r="BK211">
        <v>6.7</v>
      </c>
      <c r="BL211">
        <v>16.899999999999999</v>
      </c>
      <c r="BM211">
        <v>1.6</v>
      </c>
      <c r="BN211">
        <v>0.5</v>
      </c>
      <c r="BO211">
        <v>0.37</v>
      </c>
      <c r="BP211">
        <v>0.13</v>
      </c>
      <c r="BQ211">
        <v>0</v>
      </c>
      <c r="BR211">
        <v>157</v>
      </c>
      <c r="BS211">
        <v>105.3</v>
      </c>
      <c r="BT211">
        <v>989</v>
      </c>
      <c r="BU211">
        <v>1073</v>
      </c>
      <c r="BV211">
        <v>4.92</v>
      </c>
      <c r="BW211">
        <v>4.57</v>
      </c>
      <c r="BX211">
        <v>0.77</v>
      </c>
      <c r="BY211">
        <v>2.8</v>
      </c>
      <c r="BZ211">
        <v>4.7</v>
      </c>
      <c r="CA211">
        <v>0.28999999999999998</v>
      </c>
      <c r="CB211">
        <v>0.34</v>
      </c>
      <c r="CC211">
        <v>9.4</v>
      </c>
      <c r="CD211">
        <v>0.34</v>
      </c>
      <c r="CE211">
        <v>0.8</v>
      </c>
      <c r="CF211">
        <v>96.1</v>
      </c>
      <c r="CG211">
        <v>9.3000000000000007</v>
      </c>
      <c r="CH211">
        <v>83</v>
      </c>
      <c r="CI211">
        <v>0.84</v>
      </c>
      <c r="CJ211">
        <v>0.7</v>
      </c>
      <c r="CK211">
        <v>2</v>
      </c>
      <c r="CL211" s="42" t="str">
        <f t="shared" si="42"/>
        <v>1</v>
      </c>
      <c r="CM211" s="4">
        <v>26.666666666666668</v>
      </c>
      <c r="CN211" s="4">
        <v>0.53333333333333333</v>
      </c>
      <c r="CO211">
        <v>3</v>
      </c>
      <c r="CP211" s="42" t="str">
        <f t="shared" si="43"/>
        <v>1</v>
      </c>
      <c r="CQ211" s="4">
        <v>51.333333333333336</v>
      </c>
      <c r="CR211" s="4">
        <v>0.24691358024691359</v>
      </c>
      <c r="CS211" s="43" t="str">
        <f t="shared" si="44"/>
        <v>1</v>
      </c>
      <c r="CT211" s="4">
        <f t="shared" si="45"/>
        <v>78</v>
      </c>
      <c r="CU211" s="4">
        <f t="shared" si="46"/>
        <v>0.78024691358024689</v>
      </c>
      <c r="CV211" s="4">
        <v>1</v>
      </c>
    </row>
    <row r="212" spans="1:100" x14ac:dyDescent="0.3">
      <c r="A212" s="15" t="s">
        <v>442</v>
      </c>
      <c r="B212" s="17">
        <v>0</v>
      </c>
      <c r="C212" s="3">
        <v>39</v>
      </c>
      <c r="D212">
        <v>2</v>
      </c>
      <c r="E212">
        <v>2</v>
      </c>
      <c r="F212">
        <v>2</v>
      </c>
      <c r="G212">
        <v>0</v>
      </c>
      <c r="H212">
        <v>1</v>
      </c>
      <c r="I212">
        <v>1</v>
      </c>
      <c r="J212" s="4">
        <v>72</v>
      </c>
      <c r="K212" s="4">
        <f t="shared" si="38"/>
        <v>1.79</v>
      </c>
      <c r="L212">
        <v>179</v>
      </c>
      <c r="M212" s="4">
        <f t="shared" si="48"/>
        <v>22.896000000000001</v>
      </c>
      <c r="N212" s="4">
        <v>46</v>
      </c>
      <c r="O212" s="4">
        <v>31.8</v>
      </c>
      <c r="P212" s="40">
        <v>1</v>
      </c>
      <c r="Q212">
        <v>84.5</v>
      </c>
      <c r="R212" s="37">
        <v>0</v>
      </c>
      <c r="S212">
        <v>100.5</v>
      </c>
      <c r="T212" s="5">
        <f t="shared" si="47"/>
        <v>0.84079601990049746</v>
      </c>
      <c r="U212" s="37">
        <v>0</v>
      </c>
      <c r="V212" s="4">
        <f t="shared" si="39"/>
        <v>22.471208763771418</v>
      </c>
      <c r="W212" s="39">
        <v>0</v>
      </c>
      <c r="X212">
        <v>5</v>
      </c>
      <c r="Y212" s="40">
        <v>0</v>
      </c>
      <c r="Z212" s="9">
        <v>5.09</v>
      </c>
      <c r="AA212" s="23">
        <f t="shared" si="40"/>
        <v>0.33028444444444444</v>
      </c>
      <c r="AB212" s="84">
        <v>0</v>
      </c>
      <c r="AC212" s="5">
        <v>1.46</v>
      </c>
      <c r="AD212" s="37">
        <v>0</v>
      </c>
      <c r="AE212">
        <v>3</v>
      </c>
      <c r="AF212" s="5">
        <v>0.86</v>
      </c>
      <c r="AG212" s="37">
        <v>0</v>
      </c>
      <c r="AH212" s="5">
        <v>0.64</v>
      </c>
      <c r="AI212" s="37">
        <v>0</v>
      </c>
      <c r="AJ212" s="5">
        <v>0.48</v>
      </c>
      <c r="AK212" s="37">
        <v>0</v>
      </c>
      <c r="AL212" s="5">
        <v>0.08</v>
      </c>
      <c r="AM212" s="37">
        <v>1</v>
      </c>
      <c r="AN212" s="4">
        <f t="shared" si="41"/>
        <v>10.75</v>
      </c>
      <c r="AO212" s="37">
        <v>1</v>
      </c>
      <c r="AP212">
        <v>126</v>
      </c>
      <c r="AQ212" s="38">
        <v>0</v>
      </c>
      <c r="AR212">
        <v>78</v>
      </c>
      <c r="AS212" s="37">
        <v>0</v>
      </c>
      <c r="AT212">
        <v>63</v>
      </c>
      <c r="AU212">
        <v>48</v>
      </c>
      <c r="AV212">
        <v>6.3</v>
      </c>
      <c r="AW212" s="37">
        <v>1</v>
      </c>
      <c r="AX212">
        <v>2520</v>
      </c>
      <c r="AY212">
        <v>79.7</v>
      </c>
      <c r="AZ212">
        <v>62</v>
      </c>
      <c r="BA212">
        <v>436.6</v>
      </c>
      <c r="BB212">
        <v>10.5</v>
      </c>
      <c r="BC212">
        <v>329.8</v>
      </c>
      <c r="BD212">
        <v>79.7</v>
      </c>
      <c r="BE212">
        <v>67.3</v>
      </c>
      <c r="BF212">
        <v>97.5</v>
      </c>
      <c r="BG212">
        <v>22.2</v>
      </c>
      <c r="BH212">
        <v>12.6</v>
      </c>
      <c r="BI212">
        <v>65</v>
      </c>
      <c r="BJ212">
        <v>15.3</v>
      </c>
      <c r="BK212">
        <v>10</v>
      </c>
      <c r="BL212">
        <v>42.8</v>
      </c>
      <c r="BM212">
        <v>6.5</v>
      </c>
      <c r="BN212">
        <v>3.4</v>
      </c>
      <c r="BO212">
        <v>2.97</v>
      </c>
      <c r="BP212">
        <v>0.3</v>
      </c>
      <c r="BQ212">
        <v>0.05</v>
      </c>
      <c r="BR212">
        <v>509</v>
      </c>
      <c r="BS212">
        <v>420.2</v>
      </c>
      <c r="BT212">
        <v>3689</v>
      </c>
      <c r="BU212">
        <v>3930</v>
      </c>
      <c r="BV212">
        <v>18.34</v>
      </c>
      <c r="BW212">
        <v>9.01</v>
      </c>
      <c r="BX212">
        <v>2.1800000000000002</v>
      </c>
      <c r="BY212">
        <v>86.8</v>
      </c>
      <c r="BZ212">
        <v>40</v>
      </c>
      <c r="CA212">
        <v>1</v>
      </c>
      <c r="CB212">
        <v>0.66</v>
      </c>
      <c r="CC212">
        <v>34.299999999999997</v>
      </c>
      <c r="CD212">
        <v>1.42</v>
      </c>
      <c r="CE212">
        <v>0.5</v>
      </c>
      <c r="CF212">
        <v>253.9</v>
      </c>
      <c r="CG212">
        <v>25.6</v>
      </c>
      <c r="CH212">
        <v>326</v>
      </c>
      <c r="CI212">
        <v>4.87</v>
      </c>
      <c r="CJ212">
        <v>2.2000000000000002</v>
      </c>
      <c r="CK212" s="26"/>
      <c r="CL212" s="42" t="str">
        <f t="shared" si="42"/>
        <v>1</v>
      </c>
      <c r="CM212">
        <v>0</v>
      </c>
      <c r="CN212" s="4" t="e">
        <v>#DIV/0!</v>
      </c>
      <c r="CO212" s="26"/>
      <c r="CP212" s="42" t="str">
        <f t="shared" si="43"/>
        <v>1</v>
      </c>
      <c r="CQ212" s="4">
        <v>0</v>
      </c>
      <c r="CR212" s="4">
        <v>0</v>
      </c>
      <c r="CS212" s="43" t="str">
        <f t="shared" si="44"/>
        <v>1</v>
      </c>
      <c r="CT212" s="4">
        <f t="shared" si="45"/>
        <v>0</v>
      </c>
      <c r="CU212" s="4" t="e">
        <f t="shared" si="46"/>
        <v>#DIV/0!</v>
      </c>
    </row>
    <row r="213" spans="1:100" x14ac:dyDescent="0.3">
      <c r="A213" s="15" t="s">
        <v>443</v>
      </c>
      <c r="B213" s="17">
        <v>0</v>
      </c>
      <c r="C213" s="3">
        <v>48</v>
      </c>
      <c r="D213">
        <v>4</v>
      </c>
      <c r="E213">
        <v>1</v>
      </c>
      <c r="F213">
        <v>2</v>
      </c>
      <c r="G213">
        <v>0</v>
      </c>
      <c r="H213">
        <v>0</v>
      </c>
      <c r="I213">
        <v>0</v>
      </c>
      <c r="J213" s="4">
        <v>76.900000000000006</v>
      </c>
      <c r="K213" s="4">
        <f t="shared" si="38"/>
        <v>1.72</v>
      </c>
      <c r="L213">
        <v>172</v>
      </c>
      <c r="M213" s="4">
        <f t="shared" si="48"/>
        <v>19.225000000000001</v>
      </c>
      <c r="N213" s="4">
        <v>54.7</v>
      </c>
      <c r="O213" s="4">
        <v>25</v>
      </c>
      <c r="P213" s="40">
        <v>1</v>
      </c>
      <c r="Q213">
        <v>90.8</v>
      </c>
      <c r="R213" s="37">
        <v>1</v>
      </c>
      <c r="S213">
        <v>102.4</v>
      </c>
      <c r="T213" s="5">
        <f t="shared" si="47"/>
        <v>0.88671874999999989</v>
      </c>
      <c r="U213" s="37">
        <v>0</v>
      </c>
      <c r="V213" s="4">
        <f t="shared" si="39"/>
        <v>25.993780421849653</v>
      </c>
      <c r="W213" s="39">
        <v>1</v>
      </c>
      <c r="X213">
        <v>13</v>
      </c>
      <c r="Y213" s="37">
        <v>1</v>
      </c>
      <c r="Z213">
        <v>17.059999999999999</v>
      </c>
      <c r="AA213" s="23">
        <f t="shared" si="40"/>
        <v>4.132311111111111</v>
      </c>
      <c r="AB213" s="84">
        <v>1</v>
      </c>
      <c r="AC213" s="5">
        <v>5.45</v>
      </c>
      <c r="AD213" s="37">
        <v>0</v>
      </c>
      <c r="AE213">
        <v>3</v>
      </c>
      <c r="AF213" s="5">
        <v>5.71</v>
      </c>
      <c r="AG213" s="37">
        <v>1</v>
      </c>
      <c r="AH213" s="5">
        <v>1.86</v>
      </c>
      <c r="AI213" s="37">
        <v>1</v>
      </c>
      <c r="AJ213" s="5">
        <v>3.67</v>
      </c>
      <c r="AK213" s="37">
        <v>1</v>
      </c>
      <c r="AL213" s="5">
        <v>1.2</v>
      </c>
      <c r="AM213" s="37">
        <v>0</v>
      </c>
      <c r="AN213" s="4">
        <f t="shared" si="41"/>
        <v>4.7583333333333337</v>
      </c>
      <c r="AO213" s="37">
        <v>1</v>
      </c>
      <c r="AP213">
        <v>130</v>
      </c>
      <c r="AQ213" s="37">
        <v>1</v>
      </c>
      <c r="AR213">
        <v>95</v>
      </c>
      <c r="AS213" s="37">
        <v>1</v>
      </c>
      <c r="AT213">
        <v>73</v>
      </c>
      <c r="AU213">
        <v>35</v>
      </c>
      <c r="AV213">
        <v>7.1</v>
      </c>
      <c r="AW213" s="37">
        <v>1</v>
      </c>
      <c r="AX213">
        <v>2022</v>
      </c>
      <c r="AY213">
        <v>63</v>
      </c>
      <c r="AZ213">
        <v>40.4</v>
      </c>
      <c r="BA213">
        <v>373</v>
      </c>
      <c r="BB213">
        <v>4.5</v>
      </c>
      <c r="BC213">
        <v>306.3</v>
      </c>
      <c r="BD213">
        <v>42.7</v>
      </c>
      <c r="BE213">
        <v>24.6</v>
      </c>
      <c r="BF213">
        <v>108.7</v>
      </c>
      <c r="BG213">
        <v>18</v>
      </c>
      <c r="BH213">
        <v>12.5</v>
      </c>
      <c r="BI213">
        <v>69.2</v>
      </c>
      <c r="BJ213">
        <v>10.199999999999999</v>
      </c>
      <c r="BK213">
        <v>4.5999999999999996</v>
      </c>
      <c r="BL213">
        <v>22.9</v>
      </c>
      <c r="BM213">
        <v>4.9000000000000004</v>
      </c>
      <c r="BN213">
        <v>2.2999999999999998</v>
      </c>
      <c r="BO213">
        <v>1.41</v>
      </c>
      <c r="BP213">
        <v>0.56999999999999995</v>
      </c>
      <c r="BQ213">
        <v>0</v>
      </c>
      <c r="BR213">
        <v>227</v>
      </c>
      <c r="BS213">
        <v>164.6</v>
      </c>
      <c r="BT213">
        <v>2389</v>
      </c>
      <c r="BU213">
        <v>1684</v>
      </c>
      <c r="BV213">
        <v>8.2799999999999994</v>
      </c>
      <c r="BW213">
        <v>7.28</v>
      </c>
      <c r="BX213">
        <v>0.87</v>
      </c>
      <c r="BY213">
        <v>28.5</v>
      </c>
      <c r="BZ213">
        <v>23.5</v>
      </c>
      <c r="CA213">
        <v>0.56999999999999995</v>
      </c>
      <c r="CB213">
        <v>0.61</v>
      </c>
      <c r="CC213">
        <v>24.7</v>
      </c>
      <c r="CD213">
        <v>0.87</v>
      </c>
      <c r="CE213">
        <v>3.28</v>
      </c>
      <c r="CF213">
        <v>162.19999999999999</v>
      </c>
      <c r="CG213">
        <v>18.600000000000001</v>
      </c>
      <c r="CH213">
        <v>471</v>
      </c>
      <c r="CI213">
        <v>3.42</v>
      </c>
      <c r="CJ213">
        <v>1</v>
      </c>
      <c r="CK213">
        <v>0</v>
      </c>
      <c r="CL213" s="42" t="str">
        <f t="shared" si="42"/>
        <v>1</v>
      </c>
      <c r="CM213">
        <v>0</v>
      </c>
      <c r="CN213" s="4">
        <v>0</v>
      </c>
      <c r="CO213">
        <v>3</v>
      </c>
      <c r="CP213" s="42" t="str">
        <f t="shared" si="43"/>
        <v>1</v>
      </c>
      <c r="CQ213" s="4">
        <v>82</v>
      </c>
      <c r="CR213" s="4">
        <v>0.77777777777777779</v>
      </c>
      <c r="CS213" s="43" t="str">
        <f t="shared" si="44"/>
        <v>1</v>
      </c>
      <c r="CT213" s="4">
        <f t="shared" si="45"/>
        <v>82</v>
      </c>
      <c r="CU213" s="4">
        <f t="shared" si="46"/>
        <v>0.77777777777777779</v>
      </c>
      <c r="CV213" s="4">
        <v>1</v>
      </c>
    </row>
    <row r="214" spans="1:100" x14ac:dyDescent="0.3">
      <c r="A214" s="15" t="s">
        <v>453</v>
      </c>
      <c r="B214" s="17">
        <v>0</v>
      </c>
      <c r="C214">
        <v>46</v>
      </c>
      <c r="D214">
        <v>3</v>
      </c>
      <c r="E214">
        <v>1</v>
      </c>
      <c r="F214">
        <v>2</v>
      </c>
      <c r="G214">
        <v>2</v>
      </c>
      <c r="H214">
        <v>1</v>
      </c>
      <c r="I214">
        <v>0</v>
      </c>
      <c r="J214">
        <v>52.8</v>
      </c>
      <c r="K214" s="4">
        <f t="shared" si="38"/>
        <v>1.6419999999999999</v>
      </c>
      <c r="L214">
        <v>164.2</v>
      </c>
      <c r="M214" s="4">
        <f t="shared" si="48"/>
        <v>6.283199999999999</v>
      </c>
      <c r="N214" s="4">
        <v>43.9</v>
      </c>
      <c r="O214">
        <v>11.9</v>
      </c>
      <c r="P214" s="40">
        <v>0</v>
      </c>
      <c r="Q214">
        <v>69</v>
      </c>
      <c r="R214" s="37">
        <v>0</v>
      </c>
      <c r="S214">
        <v>76</v>
      </c>
      <c r="T214" s="5">
        <f t="shared" si="47"/>
        <v>0.90789473684210531</v>
      </c>
      <c r="U214" s="37">
        <v>1</v>
      </c>
      <c r="V214" s="4">
        <f t="shared" si="39"/>
        <v>19.583378459173851</v>
      </c>
      <c r="W214" s="39">
        <v>0</v>
      </c>
      <c r="X214">
        <v>5</v>
      </c>
      <c r="Y214" s="40">
        <v>0</v>
      </c>
      <c r="AA214" s="23"/>
      <c r="AB214" s="84"/>
      <c r="AC214" s="5">
        <v>4.68</v>
      </c>
      <c r="AD214" s="37">
        <v>0</v>
      </c>
      <c r="AE214">
        <v>46.63</v>
      </c>
      <c r="AF214" s="5">
        <v>5.18</v>
      </c>
      <c r="AG214" s="37">
        <v>1</v>
      </c>
      <c r="AH214" s="5">
        <v>1.21</v>
      </c>
      <c r="AI214" s="37">
        <v>0</v>
      </c>
      <c r="AJ214" s="5">
        <v>3.59</v>
      </c>
      <c r="AK214" s="37">
        <v>1</v>
      </c>
      <c r="AL214" s="5">
        <v>0.99</v>
      </c>
      <c r="AM214" s="37">
        <v>1</v>
      </c>
      <c r="AN214" s="4">
        <f t="shared" si="41"/>
        <v>5.2323232323232318</v>
      </c>
      <c r="AO214" s="37">
        <v>1</v>
      </c>
      <c r="AP214">
        <v>109</v>
      </c>
      <c r="AQ214" s="38">
        <v>0</v>
      </c>
      <c r="AR214">
        <v>77</v>
      </c>
      <c r="AS214" s="37">
        <v>0</v>
      </c>
      <c r="AT214">
        <v>49</v>
      </c>
      <c r="AU214">
        <v>32</v>
      </c>
      <c r="AV214">
        <v>6.2</v>
      </c>
      <c r="AW214" s="37">
        <v>1</v>
      </c>
      <c r="AX214">
        <v>2340</v>
      </c>
      <c r="AY214">
        <v>89.9</v>
      </c>
      <c r="AZ214">
        <v>53.1</v>
      </c>
      <c r="BA214">
        <v>398.6</v>
      </c>
      <c r="BB214">
        <v>14.9</v>
      </c>
      <c r="BC214">
        <v>374.9</v>
      </c>
      <c r="BD214">
        <v>9.4</v>
      </c>
      <c r="BE214">
        <v>0.1</v>
      </c>
      <c r="BF214">
        <v>79.099999999999994</v>
      </c>
      <c r="BG214">
        <v>20.399999999999999</v>
      </c>
      <c r="BH214">
        <v>15.4</v>
      </c>
      <c r="BI214">
        <v>63.9</v>
      </c>
      <c r="BJ214">
        <v>14.9</v>
      </c>
      <c r="BK214">
        <v>0</v>
      </c>
      <c r="BL214">
        <v>38.700000000000003</v>
      </c>
      <c r="BM214">
        <v>4.9000000000000004</v>
      </c>
      <c r="BN214">
        <v>2.7</v>
      </c>
      <c r="BO214">
        <v>2.42</v>
      </c>
      <c r="BP214">
        <v>0.1</v>
      </c>
      <c r="BQ214">
        <v>0</v>
      </c>
      <c r="BR214">
        <v>423</v>
      </c>
      <c r="BS214">
        <v>361.9</v>
      </c>
      <c r="BT214">
        <v>5277</v>
      </c>
      <c r="BU214">
        <v>3003</v>
      </c>
      <c r="BV214">
        <v>17.8</v>
      </c>
      <c r="BW214">
        <v>10.88</v>
      </c>
      <c r="BX214">
        <v>2.87</v>
      </c>
      <c r="BY214">
        <v>41.1</v>
      </c>
      <c r="BZ214">
        <v>50.6</v>
      </c>
      <c r="CA214">
        <v>0.86</v>
      </c>
      <c r="CB214">
        <v>0.64</v>
      </c>
      <c r="CC214">
        <v>35.9</v>
      </c>
      <c r="CD214">
        <v>1.8</v>
      </c>
      <c r="CE214">
        <v>2.96</v>
      </c>
      <c r="CF214">
        <v>289.7</v>
      </c>
      <c r="CG214">
        <v>7.8</v>
      </c>
      <c r="CH214">
        <v>232</v>
      </c>
      <c r="CI214">
        <v>1.88</v>
      </c>
      <c r="CJ214">
        <v>2.6</v>
      </c>
      <c r="CK214">
        <v>0</v>
      </c>
      <c r="CL214" s="42" t="str">
        <f t="shared" si="42"/>
        <v>1</v>
      </c>
      <c r="CM214">
        <v>0</v>
      </c>
      <c r="CN214" s="4">
        <v>0</v>
      </c>
      <c r="CO214">
        <v>5</v>
      </c>
      <c r="CP214" s="42" t="str">
        <f t="shared" si="43"/>
        <v>1</v>
      </c>
      <c r="CQ214" s="4">
        <v>105.66666666666667</v>
      </c>
      <c r="CR214" s="4">
        <v>1.7074074074074077</v>
      </c>
      <c r="CS214" s="43" t="str">
        <f t="shared" si="44"/>
        <v>1</v>
      </c>
      <c r="CT214" s="4">
        <f t="shared" si="45"/>
        <v>105.66666666666667</v>
      </c>
      <c r="CU214" s="4">
        <f t="shared" si="46"/>
        <v>1.7074074074074077</v>
      </c>
      <c r="CV214" s="4">
        <v>1</v>
      </c>
    </row>
    <row r="215" spans="1:100" x14ac:dyDescent="0.3">
      <c r="A215" s="15" t="s">
        <v>454</v>
      </c>
      <c r="B215" s="17">
        <v>0</v>
      </c>
      <c r="C215">
        <v>45</v>
      </c>
      <c r="D215">
        <v>2</v>
      </c>
      <c r="E215">
        <v>1</v>
      </c>
      <c r="F215">
        <v>2</v>
      </c>
      <c r="G215">
        <v>0</v>
      </c>
      <c r="H215">
        <v>0</v>
      </c>
      <c r="I215">
        <v>0</v>
      </c>
      <c r="J215">
        <v>66</v>
      </c>
      <c r="K215" s="4">
        <f t="shared" si="38"/>
        <v>1.6740000000000002</v>
      </c>
      <c r="L215">
        <v>167.4</v>
      </c>
      <c r="M215" s="4">
        <f t="shared" si="48"/>
        <v>14.916000000000002</v>
      </c>
      <c r="N215" s="4">
        <v>48</v>
      </c>
      <c r="O215" s="4">
        <v>22.6</v>
      </c>
      <c r="P215" s="40">
        <v>0</v>
      </c>
      <c r="Q215">
        <v>87.5</v>
      </c>
      <c r="R215" s="37">
        <v>0</v>
      </c>
      <c r="S215">
        <v>95.7</v>
      </c>
      <c r="T215" s="5">
        <f t="shared" si="47"/>
        <v>0.9143155694879832</v>
      </c>
      <c r="U215" s="37">
        <v>1</v>
      </c>
      <c r="V215" s="4">
        <f t="shared" si="39"/>
        <v>23.552283929206112</v>
      </c>
      <c r="W215" s="39">
        <v>1</v>
      </c>
      <c r="X215">
        <v>11</v>
      </c>
      <c r="Y215" s="37">
        <v>1</v>
      </c>
      <c r="Z215">
        <v>9.41</v>
      </c>
      <c r="AA215" s="23">
        <f t="shared" si="40"/>
        <v>2.1474080044444448</v>
      </c>
      <c r="AB215" s="84">
        <v>0</v>
      </c>
      <c r="AC215" s="5">
        <v>5.1346100000000003</v>
      </c>
      <c r="AD215" s="37">
        <v>0</v>
      </c>
      <c r="AE215" s="5">
        <v>3</v>
      </c>
      <c r="AF215" s="5">
        <v>5.0927600000000002</v>
      </c>
      <c r="AG215" s="37">
        <v>1</v>
      </c>
      <c r="AH215" s="5">
        <v>0.87909999999999999</v>
      </c>
      <c r="AI215" s="37">
        <v>0</v>
      </c>
      <c r="AJ215" s="5">
        <v>3.4268399999999999</v>
      </c>
      <c r="AK215" s="37">
        <v>1</v>
      </c>
      <c r="AL215" s="5">
        <v>1.26634</v>
      </c>
      <c r="AM215" s="37">
        <v>0</v>
      </c>
      <c r="AN215" s="4">
        <f t="shared" si="41"/>
        <v>4.0216371590568096</v>
      </c>
      <c r="AO215" s="37">
        <v>1</v>
      </c>
      <c r="AP215">
        <v>112</v>
      </c>
      <c r="AQ215" s="38">
        <v>0</v>
      </c>
      <c r="AR215">
        <v>82</v>
      </c>
      <c r="AS215" s="37">
        <v>0</v>
      </c>
      <c r="AT215">
        <v>71</v>
      </c>
      <c r="AU215">
        <v>31</v>
      </c>
      <c r="AV215">
        <v>6.3</v>
      </c>
      <c r="AW215" s="37">
        <v>1</v>
      </c>
      <c r="AX215">
        <v>2540</v>
      </c>
      <c r="AY215">
        <v>55.1</v>
      </c>
      <c r="AZ215">
        <v>80.3</v>
      </c>
      <c r="BA215">
        <v>424.8</v>
      </c>
      <c r="BB215">
        <v>16.600000000000001</v>
      </c>
      <c r="BC215">
        <v>362.9</v>
      </c>
      <c r="BD215">
        <v>46.1</v>
      </c>
      <c r="BE215">
        <v>32.9</v>
      </c>
      <c r="BF215">
        <v>63.4</v>
      </c>
      <c r="BG215">
        <v>28.5</v>
      </c>
      <c r="BH215">
        <v>8.6999999999999993</v>
      </c>
      <c r="BI215">
        <v>62.7</v>
      </c>
      <c r="BJ215">
        <v>20.9</v>
      </c>
      <c r="BK215">
        <v>4.9000000000000004</v>
      </c>
      <c r="BL215">
        <v>58.9</v>
      </c>
      <c r="BM215">
        <v>7.3</v>
      </c>
      <c r="BN215">
        <v>5.2</v>
      </c>
      <c r="BO215">
        <v>4.9000000000000004</v>
      </c>
      <c r="BP215">
        <v>0.28999999999999998</v>
      </c>
      <c r="BQ215">
        <v>0</v>
      </c>
      <c r="BR215">
        <v>468</v>
      </c>
      <c r="BS215">
        <v>225.3</v>
      </c>
      <c r="BT215">
        <v>4358</v>
      </c>
      <c r="BU215">
        <v>1780</v>
      </c>
      <c r="BV215">
        <v>11.7</v>
      </c>
      <c r="BW215">
        <v>7.51</v>
      </c>
      <c r="BX215">
        <v>1.75</v>
      </c>
      <c r="BY215">
        <v>90.5</v>
      </c>
      <c r="BZ215">
        <v>72.8</v>
      </c>
      <c r="CA215">
        <v>0.76</v>
      </c>
      <c r="CB215">
        <v>0.36</v>
      </c>
      <c r="CC215">
        <v>19</v>
      </c>
      <c r="CD215">
        <v>0.87</v>
      </c>
      <c r="CE215">
        <v>0.59</v>
      </c>
      <c r="CF215">
        <v>177.5</v>
      </c>
      <c r="CG215">
        <v>29.8</v>
      </c>
      <c r="CH215">
        <v>324</v>
      </c>
      <c r="CI215">
        <v>1.1299999999999999</v>
      </c>
      <c r="CJ215">
        <v>2.2000000000000002</v>
      </c>
      <c r="CK215" s="26"/>
      <c r="CL215" s="42" t="str">
        <f t="shared" si="42"/>
        <v>1</v>
      </c>
      <c r="CM215">
        <v>0</v>
      </c>
      <c r="CN215" s="4" t="e">
        <v>#DIV/0!</v>
      </c>
      <c r="CO215" s="26"/>
      <c r="CP215" s="42" t="str">
        <f t="shared" si="43"/>
        <v>1</v>
      </c>
      <c r="CQ215" s="4">
        <v>0</v>
      </c>
      <c r="CR215" s="4">
        <v>0</v>
      </c>
      <c r="CS215" s="43" t="str">
        <f t="shared" si="44"/>
        <v>1</v>
      </c>
      <c r="CT215" s="4">
        <f t="shared" si="45"/>
        <v>0</v>
      </c>
      <c r="CU215" s="4" t="e">
        <f t="shared" si="46"/>
        <v>#DIV/0!</v>
      </c>
    </row>
    <row r="216" spans="1:100" x14ac:dyDescent="0.3">
      <c r="A216" s="15" t="s">
        <v>455</v>
      </c>
      <c r="B216" s="17">
        <v>0</v>
      </c>
      <c r="C216">
        <v>32</v>
      </c>
      <c r="D216">
        <v>2</v>
      </c>
      <c r="E216">
        <v>2</v>
      </c>
      <c r="F216">
        <v>1</v>
      </c>
      <c r="G216">
        <v>0</v>
      </c>
      <c r="H216">
        <v>0</v>
      </c>
      <c r="I216">
        <v>1</v>
      </c>
      <c r="J216">
        <v>55.3</v>
      </c>
      <c r="K216" s="4">
        <f t="shared" si="38"/>
        <v>1.605</v>
      </c>
      <c r="L216">
        <v>160.5</v>
      </c>
      <c r="M216" s="4">
        <f t="shared" si="48"/>
        <v>10.949400000000001</v>
      </c>
      <c r="N216" s="4">
        <v>41.2</v>
      </c>
      <c r="O216">
        <v>19.8</v>
      </c>
      <c r="P216" s="40">
        <v>0</v>
      </c>
      <c r="Q216">
        <v>81</v>
      </c>
      <c r="R216" s="37">
        <v>0</v>
      </c>
      <c r="S216">
        <v>89</v>
      </c>
      <c r="T216" s="5">
        <f t="shared" si="47"/>
        <v>0.9101123595505618</v>
      </c>
      <c r="U216" s="37">
        <v>1</v>
      </c>
      <c r="V216" s="4">
        <f t="shared" si="39"/>
        <v>21.467182966003822</v>
      </c>
      <c r="W216" s="39">
        <v>0</v>
      </c>
      <c r="X216">
        <v>6</v>
      </c>
      <c r="Y216" s="40">
        <v>0</v>
      </c>
      <c r="Z216">
        <v>7.07</v>
      </c>
      <c r="AA216" s="23">
        <f t="shared" si="40"/>
        <v>1.2945955555555557</v>
      </c>
      <c r="AB216" s="84">
        <v>0</v>
      </c>
      <c r="AC216" s="5">
        <v>4.12</v>
      </c>
      <c r="AD216" s="37">
        <v>0</v>
      </c>
      <c r="AE216">
        <v>52.58</v>
      </c>
      <c r="AF216" s="5">
        <v>6.28</v>
      </c>
      <c r="AG216" s="37">
        <v>1</v>
      </c>
      <c r="AH216" s="5">
        <v>1.87</v>
      </c>
      <c r="AI216" s="37">
        <v>1</v>
      </c>
      <c r="AJ216" s="5">
        <v>4.54</v>
      </c>
      <c r="AK216" s="37">
        <v>1</v>
      </c>
      <c r="AL216" s="5">
        <v>0.91</v>
      </c>
      <c r="AM216" s="37">
        <v>1</v>
      </c>
      <c r="AN216" s="4">
        <f t="shared" si="41"/>
        <v>6.9010989010989015</v>
      </c>
      <c r="AO216" s="37">
        <v>1</v>
      </c>
      <c r="AP216">
        <v>121</v>
      </c>
      <c r="AQ216" s="38">
        <v>0</v>
      </c>
      <c r="AR216">
        <v>80</v>
      </c>
      <c r="AS216" s="37">
        <v>0</v>
      </c>
      <c r="AT216">
        <v>83</v>
      </c>
      <c r="AU216">
        <v>41</v>
      </c>
      <c r="AV216">
        <v>5.5</v>
      </c>
      <c r="AW216" s="37">
        <v>1</v>
      </c>
      <c r="AX216">
        <v>722</v>
      </c>
      <c r="AY216">
        <v>20.3</v>
      </c>
      <c r="AZ216">
        <v>15.7</v>
      </c>
      <c r="BA216">
        <v>132.9</v>
      </c>
      <c r="BB216">
        <v>7.8</v>
      </c>
      <c r="BC216">
        <v>107.2</v>
      </c>
      <c r="BD216">
        <v>15.2</v>
      </c>
      <c r="BE216">
        <v>7.5</v>
      </c>
      <c r="BF216">
        <v>65.7</v>
      </c>
      <c r="BG216">
        <v>19.600000000000001</v>
      </c>
      <c r="BH216">
        <v>11.3</v>
      </c>
      <c r="BI216">
        <v>69</v>
      </c>
      <c r="BJ216">
        <v>10.199999999999999</v>
      </c>
      <c r="BK216">
        <v>3.9</v>
      </c>
      <c r="BL216">
        <v>8.1999999999999993</v>
      </c>
      <c r="BM216">
        <v>1.9</v>
      </c>
      <c r="BN216">
        <v>1.4</v>
      </c>
      <c r="BO216">
        <v>1.28</v>
      </c>
      <c r="BP216">
        <v>0.05</v>
      </c>
      <c r="BQ216">
        <v>0</v>
      </c>
      <c r="BR216">
        <v>153</v>
      </c>
      <c r="BS216">
        <v>65.7</v>
      </c>
      <c r="BT216">
        <v>1065</v>
      </c>
      <c r="BU216">
        <v>735</v>
      </c>
      <c r="BV216">
        <v>3.74</v>
      </c>
      <c r="BW216">
        <v>3.17</v>
      </c>
      <c r="BX216">
        <v>0.52</v>
      </c>
      <c r="BY216">
        <v>17</v>
      </c>
      <c r="BZ216">
        <v>31.1</v>
      </c>
      <c r="CA216">
        <v>0.27</v>
      </c>
      <c r="CB216">
        <v>0.21</v>
      </c>
      <c r="CC216">
        <v>7.5</v>
      </c>
      <c r="CD216">
        <v>0.48</v>
      </c>
      <c r="CE216">
        <v>0.41</v>
      </c>
      <c r="CF216">
        <v>153.4</v>
      </c>
      <c r="CG216">
        <v>26.8</v>
      </c>
      <c r="CH216">
        <v>630</v>
      </c>
      <c r="CI216">
        <v>0.79</v>
      </c>
      <c r="CJ216">
        <v>1.3</v>
      </c>
      <c r="CK216">
        <v>0</v>
      </c>
      <c r="CL216" s="42" t="str">
        <f t="shared" si="42"/>
        <v>1</v>
      </c>
      <c r="CM216">
        <v>0</v>
      </c>
      <c r="CN216" s="4">
        <v>0</v>
      </c>
      <c r="CO216">
        <v>8</v>
      </c>
      <c r="CP216" s="42" t="str">
        <f t="shared" si="43"/>
        <v>2</v>
      </c>
      <c r="CQ216" s="4">
        <v>218.66666666666666</v>
      </c>
      <c r="CR216" s="4">
        <v>3.5925925925925926</v>
      </c>
      <c r="CS216" s="43" t="str">
        <f t="shared" si="44"/>
        <v>2</v>
      </c>
      <c r="CT216" s="4">
        <f t="shared" si="45"/>
        <v>218.66666666666666</v>
      </c>
      <c r="CU216" s="4">
        <f t="shared" si="46"/>
        <v>3.5925925925925926</v>
      </c>
      <c r="CV216" s="4">
        <v>3</v>
      </c>
    </row>
    <row r="217" spans="1:100" x14ac:dyDescent="0.3">
      <c r="A217" s="15" t="s">
        <v>456</v>
      </c>
      <c r="B217" s="17">
        <v>0</v>
      </c>
      <c r="C217" s="3">
        <v>34</v>
      </c>
      <c r="D217">
        <v>2</v>
      </c>
      <c r="E217">
        <v>1</v>
      </c>
      <c r="F217">
        <v>1</v>
      </c>
      <c r="G217">
        <v>0</v>
      </c>
      <c r="H217">
        <v>0</v>
      </c>
      <c r="I217">
        <v>1</v>
      </c>
      <c r="J217" s="4">
        <v>74.8</v>
      </c>
      <c r="K217" s="4">
        <f t="shared" ref="K217:K235" si="49">L217/100</f>
        <v>1.65</v>
      </c>
      <c r="L217">
        <v>165</v>
      </c>
      <c r="M217" s="4">
        <f t="shared" si="48"/>
        <v>19.223599999999998</v>
      </c>
      <c r="N217" s="4">
        <v>52.7</v>
      </c>
      <c r="O217" s="4">
        <v>25.7</v>
      </c>
      <c r="P217" s="40">
        <v>1</v>
      </c>
      <c r="Q217">
        <v>95.7</v>
      </c>
      <c r="R217" s="37">
        <v>1</v>
      </c>
      <c r="S217">
        <v>104</v>
      </c>
      <c r="T217" s="5">
        <f t="shared" si="47"/>
        <v>0.92019230769230775</v>
      </c>
      <c r="U217" s="37">
        <v>1</v>
      </c>
      <c r="V217" s="4">
        <f t="shared" si="39"/>
        <v>27.474747474747478</v>
      </c>
      <c r="W217" s="39">
        <v>1</v>
      </c>
      <c r="X217">
        <v>12</v>
      </c>
      <c r="Y217" s="37">
        <v>1</v>
      </c>
      <c r="Z217">
        <v>7.33</v>
      </c>
      <c r="AA217" s="23">
        <f t="shared" si="40"/>
        <v>1.7996876622222222</v>
      </c>
      <c r="AB217" s="84">
        <v>0</v>
      </c>
      <c r="AC217" s="5">
        <v>5.5242800000000001</v>
      </c>
      <c r="AD217" s="37">
        <v>0</v>
      </c>
      <c r="AE217" s="5">
        <v>64.655879999999996</v>
      </c>
      <c r="AF217" s="5">
        <v>4.5525399999999996</v>
      </c>
      <c r="AG217" s="37">
        <v>0</v>
      </c>
      <c r="AH217" s="5">
        <v>1.2737700000000001</v>
      </c>
      <c r="AI217" s="37">
        <v>0</v>
      </c>
      <c r="AJ217" s="5">
        <v>2.8887700000000001</v>
      </c>
      <c r="AK217" s="37">
        <v>0</v>
      </c>
      <c r="AL217" s="5">
        <v>1.0847899999999999</v>
      </c>
      <c r="AM217" s="37">
        <v>0</v>
      </c>
      <c r="AN217" s="4">
        <f t="shared" si="41"/>
        <v>4.1967016657601928</v>
      </c>
      <c r="AO217" s="37">
        <v>1</v>
      </c>
      <c r="AP217">
        <v>142</v>
      </c>
      <c r="AQ217" s="37">
        <v>1</v>
      </c>
      <c r="AR217">
        <v>77</v>
      </c>
      <c r="AS217" s="37">
        <v>0</v>
      </c>
      <c r="AT217">
        <v>74</v>
      </c>
      <c r="AU217">
        <v>65</v>
      </c>
      <c r="AV217">
        <v>6.4</v>
      </c>
      <c r="AW217" s="37">
        <v>0</v>
      </c>
      <c r="AX217">
        <v>2380</v>
      </c>
      <c r="AY217">
        <v>63.8</v>
      </c>
      <c r="AZ217">
        <v>54.7</v>
      </c>
      <c r="BA217">
        <v>433.5</v>
      </c>
      <c r="BB217">
        <v>7.3</v>
      </c>
      <c r="BC217">
        <v>334.4</v>
      </c>
      <c r="BD217">
        <v>49.5</v>
      </c>
      <c r="BE217">
        <v>40.6</v>
      </c>
      <c r="BF217">
        <v>87.7</v>
      </c>
      <c r="BG217">
        <v>20.7</v>
      </c>
      <c r="BH217">
        <v>10.7</v>
      </c>
      <c r="BI217">
        <v>68.3</v>
      </c>
      <c r="BJ217">
        <v>16</v>
      </c>
      <c r="BK217">
        <v>6.4</v>
      </c>
      <c r="BL217">
        <v>42.3</v>
      </c>
      <c r="BM217">
        <v>3.9</v>
      </c>
      <c r="BN217">
        <v>2</v>
      </c>
      <c r="BO217">
        <v>1.2</v>
      </c>
      <c r="BP217">
        <v>0.26</v>
      </c>
      <c r="BQ217">
        <v>0</v>
      </c>
      <c r="BR217">
        <v>295</v>
      </c>
      <c r="BS217">
        <v>265.60000000000002</v>
      </c>
      <c r="BT217">
        <v>5319</v>
      </c>
      <c r="BU217">
        <v>2325</v>
      </c>
      <c r="BV217">
        <v>11.75</v>
      </c>
      <c r="BW217">
        <v>8.1300000000000008</v>
      </c>
      <c r="BX217">
        <v>2.14</v>
      </c>
      <c r="BY217">
        <v>55</v>
      </c>
      <c r="BZ217">
        <v>17.600000000000001</v>
      </c>
      <c r="CA217">
        <v>0.63</v>
      </c>
      <c r="CB217">
        <v>0.48</v>
      </c>
      <c r="CC217">
        <v>17.2</v>
      </c>
      <c r="CD217">
        <v>0.77</v>
      </c>
      <c r="CE217">
        <v>3.63</v>
      </c>
      <c r="CF217">
        <v>291.39999999999998</v>
      </c>
      <c r="CG217">
        <v>37.700000000000003</v>
      </c>
      <c r="CH217">
        <v>230</v>
      </c>
      <c r="CI217">
        <v>3.16</v>
      </c>
      <c r="CJ217">
        <v>1.8</v>
      </c>
      <c r="CK217">
        <v>2</v>
      </c>
      <c r="CL217" s="42" t="str">
        <f t="shared" si="42"/>
        <v>1</v>
      </c>
      <c r="CM217" s="4">
        <v>97.566666666666663</v>
      </c>
      <c r="CN217" s="4">
        <v>1.9513333333333334</v>
      </c>
      <c r="CO217">
        <v>5</v>
      </c>
      <c r="CP217" s="42" t="str">
        <f t="shared" si="43"/>
        <v>2</v>
      </c>
      <c r="CQ217" s="4">
        <v>153</v>
      </c>
      <c r="CR217" s="4">
        <v>2.0925925925925926</v>
      </c>
      <c r="CS217" s="43" t="str">
        <f t="shared" si="44"/>
        <v>2</v>
      </c>
      <c r="CT217" s="4">
        <f t="shared" si="45"/>
        <v>250.56666666666666</v>
      </c>
      <c r="CU217" s="4">
        <f t="shared" si="46"/>
        <v>4.0439259259259259</v>
      </c>
      <c r="CV217" s="4">
        <v>4</v>
      </c>
    </row>
    <row r="218" spans="1:100" x14ac:dyDescent="0.3">
      <c r="A218" s="15" t="s">
        <v>457</v>
      </c>
      <c r="B218" s="17">
        <v>0</v>
      </c>
      <c r="C218" s="3">
        <v>49</v>
      </c>
      <c r="D218">
        <v>1</v>
      </c>
      <c r="E218">
        <v>3</v>
      </c>
      <c r="F218">
        <v>2</v>
      </c>
      <c r="G218">
        <v>0</v>
      </c>
      <c r="H218">
        <v>0</v>
      </c>
      <c r="I218">
        <v>1</v>
      </c>
      <c r="J218" s="4">
        <v>78.3</v>
      </c>
      <c r="K218" s="4">
        <f t="shared" si="49"/>
        <v>1.66</v>
      </c>
      <c r="L218">
        <v>166</v>
      </c>
      <c r="M218" s="4">
        <f t="shared" si="48"/>
        <v>21.454199999999997</v>
      </c>
      <c r="N218" s="4">
        <v>53.9</v>
      </c>
      <c r="O218" s="4">
        <v>27.4</v>
      </c>
      <c r="P218" s="40">
        <v>1</v>
      </c>
      <c r="Q218">
        <v>105.5</v>
      </c>
      <c r="R218" s="37">
        <v>1</v>
      </c>
      <c r="S218">
        <v>107.5</v>
      </c>
      <c r="T218" s="5">
        <f t="shared" si="47"/>
        <v>0.98139534883720925</v>
      </c>
      <c r="U218" s="37">
        <v>1</v>
      </c>
      <c r="V218" s="4">
        <f t="shared" si="39"/>
        <v>28.414864276382641</v>
      </c>
      <c r="W218" s="39">
        <v>1</v>
      </c>
      <c r="X218">
        <v>15</v>
      </c>
      <c r="Y218" s="37">
        <v>1</v>
      </c>
      <c r="Z218">
        <v>16.36</v>
      </c>
      <c r="AA218" s="23">
        <f t="shared" si="40"/>
        <v>3.4738969422222219</v>
      </c>
      <c r="AB218" s="84">
        <v>1</v>
      </c>
      <c r="AC218" s="5">
        <v>4.7776699999999996</v>
      </c>
      <c r="AD218" s="37">
        <v>0</v>
      </c>
      <c r="AE218" s="5">
        <v>3</v>
      </c>
      <c r="AF218" s="5">
        <v>4.11564</v>
      </c>
      <c r="AG218" s="37">
        <v>0</v>
      </c>
      <c r="AH218" s="5">
        <v>0.80137000000000003</v>
      </c>
      <c r="AI218" s="37">
        <v>0</v>
      </c>
      <c r="AJ218" s="5">
        <v>2.3218100000000002</v>
      </c>
      <c r="AK218" s="37">
        <v>0</v>
      </c>
      <c r="AL218" s="5">
        <v>1.42957</v>
      </c>
      <c r="AM218" s="37">
        <v>0</v>
      </c>
      <c r="AN218" s="4">
        <f t="shared" si="41"/>
        <v>2.8789356239988249</v>
      </c>
      <c r="AO218" s="37">
        <v>0</v>
      </c>
      <c r="AP218">
        <v>105</v>
      </c>
      <c r="AQ218" s="38">
        <v>0</v>
      </c>
      <c r="AR218">
        <v>68</v>
      </c>
      <c r="AS218" s="37">
        <v>0</v>
      </c>
      <c r="AT218">
        <v>68</v>
      </c>
      <c r="AU218">
        <v>37</v>
      </c>
      <c r="AV218">
        <v>6.5</v>
      </c>
      <c r="AW218" s="37">
        <v>1</v>
      </c>
      <c r="AX218">
        <v>2476</v>
      </c>
      <c r="AY218">
        <v>70.3</v>
      </c>
      <c r="AZ218">
        <v>65.900000000000006</v>
      </c>
      <c r="BA218">
        <v>425.7</v>
      </c>
      <c r="BB218">
        <v>8.6999999999999993</v>
      </c>
      <c r="BC218">
        <v>353.7</v>
      </c>
      <c r="BD218">
        <v>41.9</v>
      </c>
      <c r="BE218">
        <v>8.8000000000000007</v>
      </c>
      <c r="BF218">
        <v>212.1</v>
      </c>
      <c r="BG218">
        <v>24</v>
      </c>
      <c r="BH218">
        <v>11.4</v>
      </c>
      <c r="BI218">
        <v>64.5</v>
      </c>
      <c r="BJ218">
        <v>16.600000000000001</v>
      </c>
      <c r="BK218">
        <v>1.3</v>
      </c>
      <c r="BL218">
        <v>45.7</v>
      </c>
      <c r="BM218">
        <v>7.6</v>
      </c>
      <c r="BN218">
        <v>2.6</v>
      </c>
      <c r="BO218">
        <v>2.1</v>
      </c>
      <c r="BP218">
        <v>0.34</v>
      </c>
      <c r="BQ218">
        <v>0.05</v>
      </c>
      <c r="BR218">
        <v>447</v>
      </c>
      <c r="BS218">
        <v>266.5</v>
      </c>
      <c r="BT218">
        <v>4222</v>
      </c>
      <c r="BU218">
        <v>2362</v>
      </c>
      <c r="BV218">
        <v>13.3</v>
      </c>
      <c r="BW218">
        <v>8.59</v>
      </c>
      <c r="BX218">
        <v>2.34</v>
      </c>
      <c r="BY218">
        <v>38.5</v>
      </c>
      <c r="BZ218">
        <v>50.3</v>
      </c>
      <c r="CA218">
        <v>0.8</v>
      </c>
      <c r="CB218">
        <v>0.61</v>
      </c>
      <c r="CC218">
        <v>20.5</v>
      </c>
      <c r="CD218">
        <v>0.82</v>
      </c>
      <c r="CE218">
        <v>3.4</v>
      </c>
      <c r="CF218">
        <v>243.7</v>
      </c>
      <c r="CG218">
        <v>16.600000000000001</v>
      </c>
      <c r="CH218">
        <v>169</v>
      </c>
      <c r="CI218">
        <v>0.85</v>
      </c>
      <c r="CJ218">
        <v>2.6</v>
      </c>
      <c r="CK218">
        <v>0</v>
      </c>
      <c r="CL218" s="42" t="str">
        <f t="shared" si="42"/>
        <v>1</v>
      </c>
      <c r="CM218">
        <v>0</v>
      </c>
      <c r="CN218" s="4">
        <v>0</v>
      </c>
      <c r="CO218">
        <v>5</v>
      </c>
      <c r="CP218" s="42" t="str">
        <f t="shared" si="43"/>
        <v>2</v>
      </c>
      <c r="CQ218" s="4">
        <v>158.33333333333334</v>
      </c>
      <c r="CR218" s="4">
        <v>1.8209876543209875</v>
      </c>
      <c r="CS218" s="43" t="str">
        <f t="shared" si="44"/>
        <v>2</v>
      </c>
      <c r="CT218" s="4">
        <f t="shared" si="45"/>
        <v>158.33333333333334</v>
      </c>
      <c r="CU218" s="4">
        <f t="shared" si="46"/>
        <v>1.8209876543209875</v>
      </c>
      <c r="CV218" s="4">
        <v>1</v>
      </c>
    </row>
    <row r="219" spans="1:100" x14ac:dyDescent="0.3">
      <c r="A219" s="15" t="s">
        <v>458</v>
      </c>
      <c r="B219" s="17">
        <v>0</v>
      </c>
      <c r="C219" s="3">
        <v>40</v>
      </c>
      <c r="D219">
        <v>1</v>
      </c>
      <c r="E219">
        <v>2</v>
      </c>
      <c r="F219">
        <v>2</v>
      </c>
      <c r="G219">
        <v>0</v>
      </c>
      <c r="H219">
        <v>1</v>
      </c>
      <c r="I219">
        <v>1</v>
      </c>
      <c r="J219" s="4">
        <v>69.900000000000006</v>
      </c>
      <c r="K219" s="4">
        <f t="shared" si="49"/>
        <v>1.67</v>
      </c>
      <c r="L219">
        <v>167</v>
      </c>
      <c r="M219" s="4">
        <f t="shared" si="48"/>
        <v>16.3566</v>
      </c>
      <c r="N219" s="4">
        <v>50.7</v>
      </c>
      <c r="O219" s="4">
        <v>23.4</v>
      </c>
      <c r="P219" s="40">
        <v>1</v>
      </c>
      <c r="Q219">
        <v>92</v>
      </c>
      <c r="R219" s="37">
        <v>1</v>
      </c>
      <c r="S219">
        <v>103</v>
      </c>
      <c r="T219" s="5">
        <f t="shared" si="47"/>
        <v>0.89320388349514568</v>
      </c>
      <c r="U219" s="37">
        <v>0</v>
      </c>
      <c r="V219" s="4">
        <f t="shared" si="39"/>
        <v>25.063645164760302</v>
      </c>
      <c r="W219" s="39">
        <v>1</v>
      </c>
      <c r="X219">
        <v>11</v>
      </c>
      <c r="Y219" s="37">
        <v>1</v>
      </c>
      <c r="Z219">
        <v>8.09</v>
      </c>
      <c r="AA219" s="23">
        <f t="shared" si="40"/>
        <v>1.7140265022222223</v>
      </c>
      <c r="AB219" s="84">
        <v>0</v>
      </c>
      <c r="AC219" s="5">
        <v>4.7670700000000004</v>
      </c>
      <c r="AD219" s="37">
        <v>0</v>
      </c>
      <c r="AE219" s="5">
        <v>23.709299999999999</v>
      </c>
      <c r="AF219" s="5">
        <v>5.9625700000000004</v>
      </c>
      <c r="AG219" s="37">
        <v>1</v>
      </c>
      <c r="AH219" s="5">
        <v>1.15496</v>
      </c>
      <c r="AI219" s="37">
        <v>0</v>
      </c>
      <c r="AJ219" s="5">
        <v>4.3783899999999996</v>
      </c>
      <c r="AK219" s="37">
        <v>1</v>
      </c>
      <c r="AL219" s="5">
        <v>1.0591999999999999</v>
      </c>
      <c r="AM219" s="37">
        <v>0</v>
      </c>
      <c r="AN219" s="4">
        <f t="shared" si="41"/>
        <v>5.6293145770392758</v>
      </c>
      <c r="AO219" s="37">
        <v>1</v>
      </c>
      <c r="AP219">
        <v>123</v>
      </c>
      <c r="AQ219" s="38">
        <v>0</v>
      </c>
      <c r="AR219">
        <v>83</v>
      </c>
      <c r="AS219" s="37">
        <v>0</v>
      </c>
      <c r="AT219">
        <v>75</v>
      </c>
      <c r="AU219">
        <v>40</v>
      </c>
      <c r="AV219">
        <v>6.1</v>
      </c>
      <c r="AW219" s="37">
        <v>1</v>
      </c>
      <c r="AX219">
        <v>3387</v>
      </c>
      <c r="AY219">
        <v>76.900000000000006</v>
      </c>
      <c r="AZ219">
        <v>54</v>
      </c>
      <c r="BA219">
        <v>688.7</v>
      </c>
      <c r="BB219">
        <v>6.3</v>
      </c>
      <c r="BC219">
        <v>622.29999999999995</v>
      </c>
      <c r="BD219">
        <v>40.200000000000003</v>
      </c>
      <c r="BE219">
        <v>36</v>
      </c>
      <c r="BF219">
        <v>171.2</v>
      </c>
      <c r="BG219">
        <v>14.4</v>
      </c>
      <c r="BH219">
        <v>9.1</v>
      </c>
      <c r="BI219">
        <v>76.3</v>
      </c>
      <c r="BJ219">
        <v>9.9</v>
      </c>
      <c r="BK219">
        <v>4</v>
      </c>
      <c r="BL219">
        <v>37.299999999999997</v>
      </c>
      <c r="BM219">
        <v>4.3</v>
      </c>
      <c r="BN219">
        <v>1.7</v>
      </c>
      <c r="BO219">
        <v>1.49</v>
      </c>
      <c r="BP219">
        <v>0.1</v>
      </c>
      <c r="BQ219">
        <v>0</v>
      </c>
      <c r="BR219">
        <v>310</v>
      </c>
      <c r="BS219">
        <v>219.8</v>
      </c>
      <c r="BT219">
        <v>2408</v>
      </c>
      <c r="BU219">
        <v>2104</v>
      </c>
      <c r="BV219">
        <v>13.59</v>
      </c>
      <c r="BW219">
        <v>11.49</v>
      </c>
      <c r="BX219">
        <v>1.43</v>
      </c>
      <c r="BY219">
        <v>37</v>
      </c>
      <c r="BZ219">
        <v>31.8</v>
      </c>
      <c r="CA219">
        <v>0.57999999999999996</v>
      </c>
      <c r="CB219">
        <v>0.63</v>
      </c>
      <c r="CC219">
        <v>26.3</v>
      </c>
      <c r="CD219">
        <v>0.44</v>
      </c>
      <c r="CE219">
        <v>0.65</v>
      </c>
      <c r="CF219">
        <v>228.4</v>
      </c>
      <c r="CG219">
        <v>15.7</v>
      </c>
      <c r="CH219">
        <v>190</v>
      </c>
      <c r="CI219">
        <v>1.07</v>
      </c>
      <c r="CJ219">
        <v>2</v>
      </c>
      <c r="CK219">
        <v>0</v>
      </c>
      <c r="CL219" s="42" t="str">
        <f t="shared" si="42"/>
        <v>1</v>
      </c>
      <c r="CM219">
        <v>0</v>
      </c>
      <c r="CN219" s="4">
        <v>0</v>
      </c>
      <c r="CO219">
        <v>5</v>
      </c>
      <c r="CP219" s="42" t="str">
        <f t="shared" si="43"/>
        <v>2</v>
      </c>
      <c r="CQ219" s="4">
        <v>225.66666666666666</v>
      </c>
      <c r="CR219" s="4">
        <v>3.6037037037037036</v>
      </c>
      <c r="CS219" s="43" t="str">
        <f t="shared" si="44"/>
        <v>2</v>
      </c>
      <c r="CT219" s="4">
        <f t="shared" si="45"/>
        <v>225.66666666666666</v>
      </c>
      <c r="CU219" s="4">
        <f t="shared" si="46"/>
        <v>3.6037037037037036</v>
      </c>
      <c r="CV219" s="4">
        <v>3</v>
      </c>
    </row>
    <row r="220" spans="1:100" x14ac:dyDescent="0.3">
      <c r="A220" s="15" t="s">
        <v>459</v>
      </c>
      <c r="B220" s="17">
        <v>0</v>
      </c>
      <c r="C220" s="3">
        <v>47</v>
      </c>
      <c r="D220">
        <v>2</v>
      </c>
      <c r="E220">
        <v>1</v>
      </c>
      <c r="F220">
        <v>2</v>
      </c>
      <c r="G220">
        <v>0</v>
      </c>
      <c r="H220">
        <v>1</v>
      </c>
      <c r="I220">
        <v>1</v>
      </c>
      <c r="J220" s="4">
        <v>64.099999999999994</v>
      </c>
      <c r="K220" s="4">
        <f t="shared" si="49"/>
        <v>1.74</v>
      </c>
      <c r="L220">
        <v>174</v>
      </c>
      <c r="M220" s="4">
        <f t="shared" si="48"/>
        <v>13.6533</v>
      </c>
      <c r="N220" s="4">
        <v>47.8</v>
      </c>
      <c r="O220" s="4">
        <v>21.3</v>
      </c>
      <c r="P220" s="40">
        <v>0</v>
      </c>
      <c r="Q220">
        <v>91.5</v>
      </c>
      <c r="R220" s="37">
        <v>1</v>
      </c>
      <c r="S220">
        <v>98.5</v>
      </c>
      <c r="T220" s="5">
        <f t="shared" si="47"/>
        <v>0.92893401015228427</v>
      </c>
      <c r="U220" s="37">
        <v>1</v>
      </c>
      <c r="V220" s="4">
        <f t="shared" si="39"/>
        <v>21.171885321706959</v>
      </c>
      <c r="W220" s="39">
        <v>0</v>
      </c>
      <c r="X220">
        <v>10</v>
      </c>
      <c r="Y220" s="37">
        <v>1</v>
      </c>
      <c r="Z220">
        <v>5.27</v>
      </c>
      <c r="AA220" s="23">
        <f t="shared" si="40"/>
        <v>1.1698018088888888</v>
      </c>
      <c r="AB220" s="84">
        <v>0</v>
      </c>
      <c r="AC220" s="5">
        <v>4.9944100000000002</v>
      </c>
      <c r="AD220" s="37">
        <v>0</v>
      </c>
      <c r="AE220" s="5">
        <v>11.661530000000001</v>
      </c>
      <c r="AF220" s="5">
        <v>4.9963800000000003</v>
      </c>
      <c r="AG220" s="37">
        <v>0</v>
      </c>
      <c r="AH220" s="5">
        <v>1.1764699999999999</v>
      </c>
      <c r="AI220" s="37">
        <v>0</v>
      </c>
      <c r="AJ220" s="5">
        <v>3.52345</v>
      </c>
      <c r="AK220" s="37">
        <v>1</v>
      </c>
      <c r="AL220" s="5">
        <v>0.93816999999999995</v>
      </c>
      <c r="AM220" s="37">
        <v>1</v>
      </c>
      <c r="AN220" s="4">
        <f t="shared" si="41"/>
        <v>5.3256659240862536</v>
      </c>
      <c r="AO220" s="37">
        <v>1</v>
      </c>
      <c r="AP220">
        <v>125</v>
      </c>
      <c r="AQ220" s="38">
        <v>0</v>
      </c>
      <c r="AR220">
        <v>75</v>
      </c>
      <c r="AS220" s="37">
        <v>0</v>
      </c>
      <c r="AT220">
        <v>66</v>
      </c>
      <c r="AU220">
        <v>50</v>
      </c>
      <c r="AV220">
        <v>6.9</v>
      </c>
      <c r="AW220" s="37">
        <v>1</v>
      </c>
      <c r="AX220">
        <v>1753</v>
      </c>
      <c r="AY220">
        <v>48.9</v>
      </c>
      <c r="AZ220">
        <v>37.700000000000003</v>
      </c>
      <c r="BA220">
        <v>323.5</v>
      </c>
      <c r="BB220">
        <v>4.0999999999999996</v>
      </c>
      <c r="BC220">
        <v>266.7</v>
      </c>
      <c r="BD220">
        <v>27.4</v>
      </c>
      <c r="BE220">
        <v>13.3</v>
      </c>
      <c r="BF220">
        <v>182.8</v>
      </c>
      <c r="BG220">
        <v>19.399999999999999</v>
      </c>
      <c r="BH220">
        <v>11.2</v>
      </c>
      <c r="BI220">
        <v>69.2</v>
      </c>
      <c r="BJ220">
        <v>10.8</v>
      </c>
      <c r="BK220">
        <v>2.9</v>
      </c>
      <c r="BL220">
        <v>21.1</v>
      </c>
      <c r="BM220">
        <v>6.7</v>
      </c>
      <c r="BN220">
        <v>2</v>
      </c>
      <c r="BO220">
        <v>1.53</v>
      </c>
      <c r="BP220">
        <v>0.42</v>
      </c>
      <c r="BQ220">
        <v>0.02</v>
      </c>
      <c r="BR220">
        <v>649</v>
      </c>
      <c r="BS220">
        <v>188.5</v>
      </c>
      <c r="BT220">
        <v>2982</v>
      </c>
      <c r="BU220">
        <v>1652</v>
      </c>
      <c r="BV220">
        <v>10.16</v>
      </c>
      <c r="BW220">
        <v>6.6</v>
      </c>
      <c r="BX220">
        <v>1.01</v>
      </c>
      <c r="BY220">
        <v>18.600000000000001</v>
      </c>
      <c r="BZ220">
        <v>26.7</v>
      </c>
      <c r="CA220">
        <v>10.35</v>
      </c>
      <c r="CB220">
        <v>9.16</v>
      </c>
      <c r="CC220">
        <v>16.600000000000001</v>
      </c>
      <c r="CD220">
        <v>0.51</v>
      </c>
      <c r="CE220">
        <v>1.92</v>
      </c>
      <c r="CF220">
        <v>172.5</v>
      </c>
      <c r="CG220">
        <v>54</v>
      </c>
      <c r="CH220">
        <v>267</v>
      </c>
      <c r="CI220">
        <v>6.08</v>
      </c>
      <c r="CJ220">
        <v>2.1</v>
      </c>
      <c r="CK220">
        <v>1</v>
      </c>
      <c r="CL220" s="42" t="str">
        <f t="shared" si="42"/>
        <v>1</v>
      </c>
      <c r="CM220">
        <v>32</v>
      </c>
      <c r="CN220" s="4">
        <v>0.64</v>
      </c>
      <c r="CO220">
        <v>9</v>
      </c>
      <c r="CP220" s="42" t="str">
        <f t="shared" si="43"/>
        <v>1</v>
      </c>
      <c r="CQ220" s="4">
        <v>140</v>
      </c>
      <c r="CR220" s="4">
        <v>2.5555555555555554</v>
      </c>
      <c r="CS220" s="43" t="str">
        <f t="shared" si="44"/>
        <v>2</v>
      </c>
      <c r="CT220" s="4">
        <f t="shared" si="45"/>
        <v>172</v>
      </c>
      <c r="CU220" s="4">
        <f t="shared" si="46"/>
        <v>3.1955555555555555</v>
      </c>
      <c r="CV220" s="4">
        <v>3</v>
      </c>
    </row>
    <row r="221" spans="1:100" x14ac:dyDescent="0.3">
      <c r="A221" s="15" t="s">
        <v>460</v>
      </c>
      <c r="B221" s="17">
        <v>0</v>
      </c>
      <c r="C221">
        <v>47</v>
      </c>
      <c r="D221">
        <v>2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66.5</v>
      </c>
      <c r="K221" s="4">
        <f t="shared" si="49"/>
        <v>1.6669999999999998</v>
      </c>
      <c r="L221">
        <v>166.7</v>
      </c>
      <c r="M221" s="4">
        <f t="shared" si="48"/>
        <v>15.4945</v>
      </c>
      <c r="N221" s="4">
        <v>47.4</v>
      </c>
      <c r="O221" s="4">
        <v>23.3</v>
      </c>
      <c r="P221" s="40">
        <v>1</v>
      </c>
      <c r="Q221">
        <v>95</v>
      </c>
      <c r="R221" s="37">
        <v>1</v>
      </c>
      <c r="S221">
        <v>96.5</v>
      </c>
      <c r="T221" s="5">
        <f t="shared" si="47"/>
        <v>0.98445595854922274</v>
      </c>
      <c r="U221" s="37">
        <v>1</v>
      </c>
      <c r="V221" s="4">
        <f t="shared" si="39"/>
        <v>23.930426872034115</v>
      </c>
      <c r="W221" s="39">
        <v>1</v>
      </c>
      <c r="X221">
        <v>11</v>
      </c>
      <c r="Y221" s="37">
        <v>1</v>
      </c>
      <c r="Z221">
        <v>9.2200000000000006</v>
      </c>
      <c r="AA221" s="23">
        <f t="shared" si="40"/>
        <v>1.7160550844444449</v>
      </c>
      <c r="AB221" s="84">
        <v>0</v>
      </c>
      <c r="AC221" s="5">
        <v>4.1877700000000004</v>
      </c>
      <c r="AD221" s="37">
        <v>0</v>
      </c>
      <c r="AE221" s="5">
        <v>24.384309999999999</v>
      </c>
      <c r="AF221" s="5">
        <v>4.89879</v>
      </c>
      <c r="AG221" s="37">
        <v>0</v>
      </c>
      <c r="AH221" s="5">
        <v>2.6829499999999999</v>
      </c>
      <c r="AI221" s="37">
        <v>1</v>
      </c>
      <c r="AJ221" s="5">
        <v>2.8961899999999998</v>
      </c>
      <c r="AK221" s="37">
        <v>0</v>
      </c>
      <c r="AL221" s="5">
        <v>0.78308</v>
      </c>
      <c r="AM221" s="37">
        <v>1</v>
      </c>
      <c r="AN221" s="4">
        <f t="shared" si="41"/>
        <v>6.2557976196557181</v>
      </c>
      <c r="AO221" s="37">
        <v>1</v>
      </c>
      <c r="AP221">
        <v>110</v>
      </c>
      <c r="AQ221" s="38">
        <v>0</v>
      </c>
      <c r="AR221">
        <v>75</v>
      </c>
      <c r="AS221" s="37">
        <v>0</v>
      </c>
      <c r="AT221">
        <v>70</v>
      </c>
      <c r="AU221">
        <v>36</v>
      </c>
      <c r="AV221">
        <v>6.5</v>
      </c>
      <c r="AW221" s="37">
        <v>1</v>
      </c>
      <c r="AX221">
        <v>2947</v>
      </c>
      <c r="AY221">
        <v>56.3</v>
      </c>
      <c r="AZ221">
        <v>67.599999999999994</v>
      </c>
      <c r="BA221">
        <v>561.6</v>
      </c>
      <c r="BB221">
        <v>11.6</v>
      </c>
      <c r="BC221">
        <v>487.6</v>
      </c>
      <c r="BD221">
        <v>43.7</v>
      </c>
      <c r="BE221">
        <v>34.4</v>
      </c>
      <c r="BF221">
        <v>12</v>
      </c>
      <c r="BG221">
        <v>20.7</v>
      </c>
      <c r="BH221">
        <v>7.6</v>
      </c>
      <c r="BI221">
        <v>71.5</v>
      </c>
      <c r="BJ221">
        <v>14.6</v>
      </c>
      <c r="BK221">
        <v>4.4000000000000004</v>
      </c>
      <c r="BL221">
        <v>47.6</v>
      </c>
      <c r="BM221">
        <v>10</v>
      </c>
      <c r="BN221">
        <v>1.7</v>
      </c>
      <c r="BO221">
        <v>1.51</v>
      </c>
      <c r="BP221">
        <v>0.11</v>
      </c>
      <c r="BQ221">
        <v>0</v>
      </c>
      <c r="BR221">
        <v>468</v>
      </c>
      <c r="BS221">
        <v>214.7</v>
      </c>
      <c r="BT221">
        <v>4025</v>
      </c>
      <c r="BU221">
        <v>1996</v>
      </c>
      <c r="BV221">
        <v>11.7</v>
      </c>
      <c r="BW221">
        <v>7.81</v>
      </c>
      <c r="BX221">
        <v>1.21</v>
      </c>
      <c r="BY221">
        <v>6.1</v>
      </c>
      <c r="BZ221">
        <v>19.5</v>
      </c>
      <c r="CA221">
        <v>0.72</v>
      </c>
      <c r="CB221">
        <v>0.47</v>
      </c>
      <c r="CC221">
        <v>20.9</v>
      </c>
      <c r="CD221">
        <v>0.57999999999999996</v>
      </c>
      <c r="CE221">
        <v>0.36</v>
      </c>
      <c r="CF221">
        <v>218.5</v>
      </c>
      <c r="CG221">
        <v>26.1</v>
      </c>
      <c r="CH221">
        <v>202</v>
      </c>
      <c r="CI221">
        <v>0.14000000000000001</v>
      </c>
      <c r="CJ221">
        <v>2.4</v>
      </c>
      <c r="CK221">
        <v>2</v>
      </c>
      <c r="CL221" s="42" t="str">
        <f t="shared" si="42"/>
        <v>1</v>
      </c>
      <c r="CM221">
        <v>80</v>
      </c>
      <c r="CN221" s="4">
        <v>1.6</v>
      </c>
      <c r="CO221">
        <v>3</v>
      </c>
      <c r="CP221" s="42" t="str">
        <f t="shared" si="43"/>
        <v>2</v>
      </c>
      <c r="CQ221" s="4">
        <v>273</v>
      </c>
      <c r="CR221" s="4">
        <v>1.5925925925925926</v>
      </c>
      <c r="CS221" s="43" t="str">
        <f t="shared" si="44"/>
        <v>3</v>
      </c>
      <c r="CT221" s="4">
        <f t="shared" si="45"/>
        <v>353</v>
      </c>
      <c r="CU221" s="4">
        <f t="shared" si="46"/>
        <v>3.1925925925925926</v>
      </c>
      <c r="CV221" s="4">
        <v>3</v>
      </c>
    </row>
    <row r="222" spans="1:100" x14ac:dyDescent="0.3">
      <c r="A222" s="15" t="s">
        <v>461</v>
      </c>
      <c r="B222" s="17">
        <v>0</v>
      </c>
      <c r="C222" s="3">
        <v>40</v>
      </c>
      <c r="D222">
        <v>2</v>
      </c>
      <c r="E222">
        <v>1</v>
      </c>
      <c r="F222">
        <v>2</v>
      </c>
      <c r="G222">
        <v>2</v>
      </c>
      <c r="H222">
        <v>2</v>
      </c>
      <c r="I222">
        <v>1</v>
      </c>
      <c r="J222" s="4">
        <v>67.599999999999994</v>
      </c>
      <c r="K222" s="4">
        <f t="shared" si="49"/>
        <v>1.7</v>
      </c>
      <c r="L222">
        <v>170</v>
      </c>
      <c r="M222" s="4">
        <f t="shared" si="48"/>
        <v>14.871999999999998</v>
      </c>
      <c r="N222" s="4">
        <v>49.9</v>
      </c>
      <c r="O222" s="4">
        <v>22</v>
      </c>
      <c r="P222" s="40">
        <v>0</v>
      </c>
      <c r="Q222">
        <v>91.8</v>
      </c>
      <c r="R222" s="37">
        <v>1</v>
      </c>
      <c r="S222">
        <v>90.3</v>
      </c>
      <c r="T222" s="5">
        <f t="shared" si="47"/>
        <v>1.0166112956810631</v>
      </c>
      <c r="U222" s="37">
        <v>1</v>
      </c>
      <c r="V222" s="4">
        <f t="shared" si="39"/>
        <v>23.391003460207614</v>
      </c>
      <c r="W222" s="39">
        <v>1</v>
      </c>
      <c r="X222">
        <v>10</v>
      </c>
      <c r="Y222" s="37">
        <v>1</v>
      </c>
      <c r="AA222" s="23"/>
      <c r="AB222" s="84"/>
      <c r="AC222" s="5">
        <v>4.9400000000000004</v>
      </c>
      <c r="AD222" s="37">
        <v>0</v>
      </c>
      <c r="AE222">
        <v>3</v>
      </c>
      <c r="AF222" s="5">
        <v>6.5</v>
      </c>
      <c r="AG222" s="37">
        <v>1</v>
      </c>
      <c r="AH222" s="5">
        <v>4.54</v>
      </c>
      <c r="AI222" s="37">
        <v>1</v>
      </c>
      <c r="AJ222" s="5">
        <v>3.42</v>
      </c>
      <c r="AK222" s="37">
        <v>1</v>
      </c>
      <c r="AL222" s="5">
        <v>1.02</v>
      </c>
      <c r="AM222" s="37">
        <v>0</v>
      </c>
      <c r="AN222" s="4">
        <f t="shared" si="41"/>
        <v>6.3725490196078427</v>
      </c>
      <c r="AO222" s="37">
        <v>1</v>
      </c>
      <c r="AP222">
        <v>128</v>
      </c>
      <c r="AQ222" s="38">
        <v>0</v>
      </c>
      <c r="AR222">
        <v>87</v>
      </c>
      <c r="AS222" s="37">
        <v>1</v>
      </c>
      <c r="AT222">
        <v>59</v>
      </c>
      <c r="AU222">
        <v>41</v>
      </c>
      <c r="AV222">
        <v>6.1</v>
      </c>
      <c r="AW222" s="37">
        <v>1</v>
      </c>
      <c r="AX222">
        <v>2437</v>
      </c>
      <c r="AY222">
        <v>58</v>
      </c>
      <c r="AZ222">
        <v>49.4</v>
      </c>
      <c r="BA222">
        <v>467.6</v>
      </c>
      <c r="BB222">
        <v>7.4</v>
      </c>
      <c r="BC222">
        <v>414.1</v>
      </c>
      <c r="BD222">
        <v>35.6</v>
      </c>
      <c r="BE222">
        <v>29.6</v>
      </c>
      <c r="BF222">
        <v>143.80000000000001</v>
      </c>
      <c r="BG222">
        <v>18.3</v>
      </c>
      <c r="BH222">
        <v>9.5</v>
      </c>
      <c r="BI222">
        <v>72</v>
      </c>
      <c r="BJ222">
        <v>12.4</v>
      </c>
      <c r="BK222">
        <v>4.5999999999999996</v>
      </c>
      <c r="BL222">
        <v>41.7</v>
      </c>
      <c r="BM222">
        <v>7.2</v>
      </c>
      <c r="BN222">
        <v>2.7</v>
      </c>
      <c r="BO222">
        <v>2.2799999999999998</v>
      </c>
      <c r="BP222">
        <v>0.2</v>
      </c>
      <c r="BQ222">
        <v>0</v>
      </c>
      <c r="BR222">
        <v>323</v>
      </c>
      <c r="BS222">
        <v>170.5</v>
      </c>
      <c r="BT222">
        <v>3198</v>
      </c>
      <c r="BU222">
        <v>1468</v>
      </c>
      <c r="BV222">
        <v>10.1</v>
      </c>
      <c r="BW222">
        <v>7.63</v>
      </c>
      <c r="BX222">
        <v>1.17</v>
      </c>
      <c r="BY222">
        <v>40</v>
      </c>
      <c r="BZ222">
        <v>38.5</v>
      </c>
      <c r="CA222">
        <v>0.56999999999999995</v>
      </c>
      <c r="CB222">
        <v>0.4</v>
      </c>
      <c r="CC222">
        <v>20.399999999999999</v>
      </c>
      <c r="CD222">
        <v>0.52</v>
      </c>
      <c r="CE222">
        <v>0.77</v>
      </c>
      <c r="CF222">
        <v>177.4</v>
      </c>
      <c r="CG222">
        <v>9</v>
      </c>
      <c r="CH222">
        <v>153</v>
      </c>
      <c r="CI222">
        <v>0.93</v>
      </c>
      <c r="CJ222">
        <v>1.5</v>
      </c>
      <c r="CK222">
        <v>0</v>
      </c>
      <c r="CL222" s="42" t="str">
        <f t="shared" si="42"/>
        <v>1</v>
      </c>
      <c r="CM222">
        <v>0</v>
      </c>
      <c r="CN222" s="4">
        <v>0</v>
      </c>
      <c r="CO222">
        <v>3</v>
      </c>
      <c r="CP222" s="42" t="str">
        <f t="shared" si="43"/>
        <v>1</v>
      </c>
      <c r="CQ222" s="4">
        <v>63.666666666666664</v>
      </c>
      <c r="CR222" s="4">
        <v>1.425925925925926</v>
      </c>
      <c r="CS222" s="43" t="str">
        <f t="shared" si="44"/>
        <v>1</v>
      </c>
      <c r="CT222" s="4">
        <f t="shared" si="45"/>
        <v>63.666666666666664</v>
      </c>
      <c r="CU222" s="4">
        <f t="shared" si="46"/>
        <v>1.425925925925926</v>
      </c>
      <c r="CV222" s="4">
        <v>1</v>
      </c>
    </row>
    <row r="223" spans="1:100" x14ac:dyDescent="0.3">
      <c r="A223" s="15" t="s">
        <v>462</v>
      </c>
      <c r="B223" s="17">
        <v>0</v>
      </c>
      <c r="C223" s="3">
        <v>55</v>
      </c>
      <c r="D223">
        <v>2</v>
      </c>
      <c r="E223">
        <v>2</v>
      </c>
      <c r="F223">
        <v>1</v>
      </c>
      <c r="G223">
        <v>1</v>
      </c>
      <c r="H223">
        <v>1</v>
      </c>
      <c r="I223">
        <v>0</v>
      </c>
      <c r="J223" s="4">
        <v>64.2</v>
      </c>
      <c r="K223" s="4">
        <f t="shared" si="49"/>
        <v>1.6</v>
      </c>
      <c r="L223">
        <v>160</v>
      </c>
      <c r="M223" s="4">
        <f t="shared" si="48"/>
        <v>15.408000000000001</v>
      </c>
      <c r="N223" s="4">
        <v>46.3</v>
      </c>
      <c r="O223" s="4">
        <v>24</v>
      </c>
      <c r="P223" s="40">
        <v>1</v>
      </c>
      <c r="Q223">
        <v>92.7</v>
      </c>
      <c r="R223" s="37">
        <v>1</v>
      </c>
      <c r="S223">
        <v>91.2</v>
      </c>
      <c r="T223" s="5">
        <f>Q223/S223</f>
        <v>1.0164473684210527</v>
      </c>
      <c r="U223" s="37">
        <v>1</v>
      </c>
      <c r="V223" s="4">
        <f t="shared" si="39"/>
        <v>25.078124999999996</v>
      </c>
      <c r="W223" s="39">
        <v>1</v>
      </c>
      <c r="X223">
        <v>12</v>
      </c>
      <c r="Y223" s="37">
        <v>1</v>
      </c>
      <c r="Z223">
        <v>7.33</v>
      </c>
      <c r="AA223" s="23">
        <f t="shared" si="40"/>
        <v>1.6907866666666669</v>
      </c>
      <c r="AB223" s="84">
        <v>0</v>
      </c>
      <c r="AC223" s="5">
        <v>5.19</v>
      </c>
      <c r="AD223" s="37">
        <v>0</v>
      </c>
      <c r="AE223">
        <v>3</v>
      </c>
      <c r="AF223" s="5">
        <v>4.4800000000000004</v>
      </c>
      <c r="AG223" s="37">
        <v>0</v>
      </c>
      <c r="AH223" s="5">
        <v>2.5299999999999998</v>
      </c>
      <c r="AI223" s="37">
        <v>1</v>
      </c>
      <c r="AJ223" s="5">
        <v>2.62</v>
      </c>
      <c r="AK223" s="37">
        <v>0</v>
      </c>
      <c r="AL223" s="5">
        <v>1.3</v>
      </c>
      <c r="AM223" s="37">
        <v>0</v>
      </c>
      <c r="AN223" s="4">
        <f t="shared" si="41"/>
        <v>3.4461538461538463</v>
      </c>
      <c r="AO223" s="37">
        <v>0</v>
      </c>
      <c r="AP223">
        <v>119</v>
      </c>
      <c r="AQ223" s="38">
        <v>0</v>
      </c>
      <c r="AR223">
        <v>83</v>
      </c>
      <c r="AS223" s="37">
        <v>0</v>
      </c>
      <c r="AT223">
        <v>51</v>
      </c>
      <c r="AU223">
        <v>36</v>
      </c>
      <c r="AV223">
        <v>7.8</v>
      </c>
      <c r="AW223" s="37">
        <v>1</v>
      </c>
      <c r="AX223">
        <v>2545</v>
      </c>
      <c r="AY223">
        <v>49.7</v>
      </c>
      <c r="AZ223">
        <v>57.7</v>
      </c>
      <c r="BA223">
        <v>485.1</v>
      </c>
      <c r="BB223">
        <v>9</v>
      </c>
      <c r="BC223">
        <v>371.5</v>
      </c>
      <c r="BD223">
        <v>79.099999999999994</v>
      </c>
      <c r="BE223">
        <v>69.099999999999994</v>
      </c>
      <c r="BF223">
        <v>82.3</v>
      </c>
      <c r="BG223">
        <v>20.399999999999999</v>
      </c>
      <c r="BH223">
        <v>7.8</v>
      </c>
      <c r="BI223">
        <v>71.5</v>
      </c>
      <c r="BJ223">
        <v>14.7</v>
      </c>
      <c r="BK223">
        <v>10.199999999999999</v>
      </c>
      <c r="BL223">
        <v>33.5</v>
      </c>
      <c r="BM223">
        <v>5.2</v>
      </c>
      <c r="BN223">
        <v>2.5</v>
      </c>
      <c r="BO223">
        <v>2.2799999999999998</v>
      </c>
      <c r="BP223">
        <v>0.16</v>
      </c>
      <c r="BQ223">
        <v>0</v>
      </c>
      <c r="BR223">
        <v>391</v>
      </c>
      <c r="BS223">
        <v>207.1</v>
      </c>
      <c r="BT223">
        <v>3572</v>
      </c>
      <c r="BU223">
        <v>1597</v>
      </c>
      <c r="BV223">
        <v>12.41</v>
      </c>
      <c r="BW223">
        <v>8.2100000000000009</v>
      </c>
      <c r="BX223">
        <v>2.21</v>
      </c>
      <c r="BY223">
        <v>46</v>
      </c>
      <c r="BZ223">
        <v>68.7</v>
      </c>
      <c r="CA223">
        <v>0.5</v>
      </c>
      <c r="CB223">
        <v>0.46</v>
      </c>
      <c r="CC223">
        <v>15.8</v>
      </c>
      <c r="CD223">
        <v>1.33</v>
      </c>
      <c r="CE223">
        <v>1.3</v>
      </c>
      <c r="CF223">
        <v>144.19999999999999</v>
      </c>
      <c r="CG223">
        <v>32</v>
      </c>
      <c r="CH223">
        <v>237</v>
      </c>
      <c r="CI223">
        <v>0.53</v>
      </c>
      <c r="CJ223">
        <v>1.7</v>
      </c>
      <c r="CK223" s="26"/>
      <c r="CL223" s="42" t="str">
        <f t="shared" si="42"/>
        <v>1</v>
      </c>
      <c r="CM223">
        <v>0</v>
      </c>
      <c r="CN223" s="4" t="e">
        <v>#DIV/0!</v>
      </c>
      <c r="CO223" s="26"/>
      <c r="CP223" s="42" t="str">
        <f t="shared" si="43"/>
        <v>1</v>
      </c>
      <c r="CQ223" s="4">
        <v>0</v>
      </c>
      <c r="CR223" s="4">
        <v>0</v>
      </c>
      <c r="CS223" s="43" t="str">
        <f t="shared" si="44"/>
        <v>1</v>
      </c>
      <c r="CT223" s="4">
        <f t="shared" si="45"/>
        <v>0</v>
      </c>
      <c r="CU223" s="4" t="e">
        <f t="shared" si="46"/>
        <v>#DIV/0!</v>
      </c>
    </row>
    <row r="224" spans="1:100" x14ac:dyDescent="0.3">
      <c r="A224" s="15" t="s">
        <v>463</v>
      </c>
      <c r="B224" s="17">
        <v>0</v>
      </c>
      <c r="C224">
        <v>30</v>
      </c>
      <c r="D224">
        <v>1</v>
      </c>
      <c r="E224">
        <v>3</v>
      </c>
      <c r="F224">
        <v>0</v>
      </c>
      <c r="G224">
        <v>2</v>
      </c>
      <c r="H224">
        <v>2</v>
      </c>
      <c r="I224">
        <v>1</v>
      </c>
      <c r="J224">
        <v>78.7</v>
      </c>
      <c r="K224" s="4">
        <f t="shared" si="49"/>
        <v>1.64</v>
      </c>
      <c r="L224">
        <v>164</v>
      </c>
      <c r="M224" s="4">
        <f t="shared" si="48"/>
        <v>22.429500000000004</v>
      </c>
      <c r="N224" s="4">
        <v>53.2</v>
      </c>
      <c r="O224" s="4">
        <v>28.5</v>
      </c>
      <c r="P224" s="40">
        <v>1</v>
      </c>
      <c r="Q224">
        <v>97.4</v>
      </c>
      <c r="R224" s="37">
        <v>1</v>
      </c>
      <c r="S224">
        <v>99.3</v>
      </c>
      <c r="T224" s="5">
        <f>Q224/S224</f>
        <v>0.98086606243705954</v>
      </c>
      <c r="U224" s="37">
        <v>1</v>
      </c>
      <c r="V224" s="4">
        <f t="shared" si="39"/>
        <v>29.260856632956578</v>
      </c>
      <c r="W224" s="39">
        <v>1</v>
      </c>
      <c r="X224">
        <v>13</v>
      </c>
      <c r="Y224" s="37">
        <v>1</v>
      </c>
      <c r="AA224" s="23"/>
      <c r="AB224" s="84"/>
      <c r="AC224" s="5">
        <v>4.95</v>
      </c>
      <c r="AD224" s="37">
        <v>0</v>
      </c>
      <c r="AE224">
        <v>52.64</v>
      </c>
      <c r="AF224" s="5">
        <v>5.32</v>
      </c>
      <c r="AG224" s="37">
        <v>1</v>
      </c>
      <c r="AH224" s="5">
        <v>3.01</v>
      </c>
      <c r="AI224" s="37">
        <v>1</v>
      </c>
      <c r="AJ224" s="5">
        <v>1.69</v>
      </c>
      <c r="AK224" s="37">
        <v>0</v>
      </c>
      <c r="AL224" s="5">
        <v>2.2000000000000002</v>
      </c>
      <c r="AM224" s="37">
        <v>0</v>
      </c>
      <c r="AN224" s="4">
        <f t="shared" si="41"/>
        <v>2.418181818181818</v>
      </c>
      <c r="AO224" s="37">
        <v>0</v>
      </c>
      <c r="AP224">
        <v>129</v>
      </c>
      <c r="AQ224" s="38">
        <v>0</v>
      </c>
      <c r="AR224">
        <v>91</v>
      </c>
      <c r="AS224" s="37">
        <v>1</v>
      </c>
      <c r="AT224">
        <v>87</v>
      </c>
      <c r="AU224">
        <v>38</v>
      </c>
      <c r="AV224">
        <v>5.6</v>
      </c>
      <c r="AW224" s="37">
        <v>1</v>
      </c>
      <c r="AX224">
        <v>3039</v>
      </c>
      <c r="AY224">
        <v>136.6</v>
      </c>
      <c r="AZ224">
        <v>123.1</v>
      </c>
      <c r="BA224">
        <v>368.5</v>
      </c>
      <c r="BB224">
        <v>11.5</v>
      </c>
      <c r="BC224">
        <v>256.7</v>
      </c>
      <c r="BD224">
        <v>69.2</v>
      </c>
      <c r="BE224">
        <v>47.6</v>
      </c>
      <c r="BF224">
        <v>510.9</v>
      </c>
      <c r="BG224">
        <v>36.5</v>
      </c>
      <c r="BH224">
        <v>18</v>
      </c>
      <c r="BI224">
        <v>45.5</v>
      </c>
      <c r="BJ224">
        <v>25.1</v>
      </c>
      <c r="BK224">
        <v>5.9</v>
      </c>
      <c r="BL224">
        <v>84.7</v>
      </c>
      <c r="BM224">
        <v>12.6</v>
      </c>
      <c r="BN224">
        <v>7</v>
      </c>
      <c r="BO224">
        <v>6.41</v>
      </c>
      <c r="BP224">
        <v>0.48</v>
      </c>
      <c r="BQ224">
        <v>0</v>
      </c>
      <c r="BR224">
        <v>394</v>
      </c>
      <c r="BS224">
        <v>321.39999999999998</v>
      </c>
      <c r="BT224">
        <v>10301</v>
      </c>
      <c r="BU224">
        <v>3673</v>
      </c>
      <c r="BV224">
        <v>16.010000000000002</v>
      </c>
      <c r="BW224">
        <v>11.25</v>
      </c>
      <c r="BX224">
        <v>1.85</v>
      </c>
      <c r="BY224">
        <v>65.8</v>
      </c>
      <c r="BZ224">
        <v>99.6</v>
      </c>
      <c r="CA224">
        <v>1.19</v>
      </c>
      <c r="CB224">
        <v>1.38</v>
      </c>
      <c r="CC224">
        <v>56.5</v>
      </c>
      <c r="CD224">
        <v>2.33</v>
      </c>
      <c r="CE224">
        <v>2.25</v>
      </c>
      <c r="CF224">
        <v>280.60000000000002</v>
      </c>
      <c r="CG224">
        <v>43.1</v>
      </c>
      <c r="CH224">
        <v>941</v>
      </c>
      <c r="CI224">
        <v>3.38</v>
      </c>
      <c r="CJ224">
        <v>3.2</v>
      </c>
      <c r="CK224">
        <v>3</v>
      </c>
      <c r="CL224" s="42" t="str">
        <f t="shared" si="42"/>
        <v>1</v>
      </c>
      <c r="CM224">
        <v>62.5</v>
      </c>
      <c r="CN224" s="4">
        <v>1.25</v>
      </c>
      <c r="CO224">
        <v>6</v>
      </c>
      <c r="CP224" s="42" t="str">
        <f t="shared" si="43"/>
        <v>1</v>
      </c>
      <c r="CQ224" s="4">
        <v>111</v>
      </c>
      <c r="CR224" s="4">
        <v>1.4876543209876543</v>
      </c>
      <c r="CS224" s="43" t="str">
        <f t="shared" si="44"/>
        <v>2</v>
      </c>
      <c r="CT224" s="4">
        <f t="shared" si="45"/>
        <v>173.5</v>
      </c>
      <c r="CU224" s="4">
        <f t="shared" si="46"/>
        <v>2.7376543209876543</v>
      </c>
      <c r="CV224" s="4">
        <v>2</v>
      </c>
    </row>
    <row r="225" spans="1:100" x14ac:dyDescent="0.3">
      <c r="A225" s="15" t="s">
        <v>464</v>
      </c>
      <c r="B225" s="17">
        <v>0</v>
      </c>
      <c r="C225" s="3">
        <v>54</v>
      </c>
      <c r="D225">
        <v>3</v>
      </c>
      <c r="E225">
        <v>0</v>
      </c>
      <c r="F225">
        <v>2</v>
      </c>
      <c r="H225">
        <v>2</v>
      </c>
      <c r="I225">
        <v>1</v>
      </c>
      <c r="J225">
        <v>50.4</v>
      </c>
      <c r="K225" s="4">
        <f t="shared" si="49"/>
        <v>1.6559999999999999</v>
      </c>
      <c r="L225">
        <v>165.6</v>
      </c>
      <c r="M225" s="4">
        <f t="shared" si="48"/>
        <v>8.719199999999999</v>
      </c>
      <c r="N225" s="4">
        <v>39.700000000000003</v>
      </c>
      <c r="O225">
        <v>17.3</v>
      </c>
      <c r="P225" s="40">
        <v>0</v>
      </c>
      <c r="Q225">
        <v>79.5</v>
      </c>
      <c r="R225" s="37">
        <v>0</v>
      </c>
      <c r="S225">
        <v>86</v>
      </c>
      <c r="T225" s="5">
        <f>Q225/S225</f>
        <v>0.92441860465116277</v>
      </c>
      <c r="U225" s="37">
        <v>1</v>
      </c>
      <c r="V225" s="4">
        <f t="shared" si="39"/>
        <v>18.378491913463559</v>
      </c>
      <c r="W225" s="39">
        <v>0</v>
      </c>
      <c r="X225">
        <v>6</v>
      </c>
      <c r="Y225" s="40">
        <v>0</v>
      </c>
      <c r="AA225" s="23"/>
      <c r="AB225" s="84"/>
      <c r="AC225" s="5">
        <v>5.45</v>
      </c>
      <c r="AD225" s="37">
        <v>0</v>
      </c>
      <c r="AE225">
        <v>3</v>
      </c>
      <c r="AF225" s="5">
        <v>7.15</v>
      </c>
      <c r="AG225" s="37">
        <v>1</v>
      </c>
      <c r="AH225" s="5">
        <v>1.22</v>
      </c>
      <c r="AI225" s="37">
        <v>0</v>
      </c>
      <c r="AJ225" s="5">
        <v>5.32</v>
      </c>
      <c r="AK225" s="37">
        <v>1</v>
      </c>
      <c r="AL225" s="5">
        <v>1.27</v>
      </c>
      <c r="AM225" s="37">
        <v>0</v>
      </c>
      <c r="AN225" s="4">
        <f t="shared" si="41"/>
        <v>5.6299212598425195</v>
      </c>
      <c r="AO225" s="37">
        <v>1</v>
      </c>
      <c r="AP225">
        <v>151</v>
      </c>
      <c r="AQ225" s="37">
        <v>1</v>
      </c>
      <c r="AR225">
        <v>94</v>
      </c>
      <c r="AS225" s="37">
        <v>1</v>
      </c>
      <c r="AT225">
        <v>70</v>
      </c>
      <c r="AU225">
        <v>57</v>
      </c>
      <c r="AV225">
        <v>8.5</v>
      </c>
      <c r="AW225" s="37">
        <v>0</v>
      </c>
      <c r="AX225">
        <v>1501</v>
      </c>
      <c r="AY225">
        <v>50.1</v>
      </c>
      <c r="AZ225">
        <v>22.5</v>
      </c>
      <c r="BA225">
        <v>291.10000000000002</v>
      </c>
      <c r="BB225">
        <v>6</v>
      </c>
      <c r="BC225">
        <v>278.3</v>
      </c>
      <c r="BD225">
        <v>5.3</v>
      </c>
      <c r="BE225">
        <v>0</v>
      </c>
      <c r="BF225">
        <v>31.2</v>
      </c>
      <c r="BG225">
        <v>13.5</v>
      </c>
      <c r="BH225">
        <v>13.4</v>
      </c>
      <c r="BI225">
        <v>72.7</v>
      </c>
      <c r="BJ225">
        <v>7.8</v>
      </c>
      <c r="BK225">
        <v>0</v>
      </c>
      <c r="BL225">
        <v>13.1</v>
      </c>
      <c r="BM225">
        <v>2.9</v>
      </c>
      <c r="BN225">
        <v>2.6</v>
      </c>
      <c r="BO225">
        <v>1.8</v>
      </c>
      <c r="BP225">
        <v>0.67</v>
      </c>
      <c r="BQ225">
        <v>0</v>
      </c>
      <c r="BR225">
        <v>344</v>
      </c>
      <c r="BS225">
        <v>225</v>
      </c>
      <c r="BT225">
        <v>4041</v>
      </c>
      <c r="BU225">
        <v>1419</v>
      </c>
      <c r="BV225">
        <v>10.119999999999999</v>
      </c>
      <c r="BW225">
        <v>7.04</v>
      </c>
      <c r="BX225">
        <v>1.34</v>
      </c>
      <c r="BY225">
        <v>72.7</v>
      </c>
      <c r="BZ225">
        <v>49.8</v>
      </c>
      <c r="CA225">
        <v>0.54</v>
      </c>
      <c r="CB225">
        <v>0.33</v>
      </c>
      <c r="CC225">
        <v>15.3</v>
      </c>
      <c r="CD225">
        <v>0.86</v>
      </c>
      <c r="CE225">
        <v>4.3499999999999996</v>
      </c>
      <c r="CF225">
        <v>276</v>
      </c>
      <c r="CG225">
        <v>5.0999999999999996</v>
      </c>
      <c r="CH225">
        <v>161</v>
      </c>
      <c r="CI225">
        <v>5.19</v>
      </c>
      <c r="CJ225">
        <v>0.9</v>
      </c>
      <c r="CK225">
        <v>0</v>
      </c>
      <c r="CL225" s="42" t="str">
        <f t="shared" si="42"/>
        <v>1</v>
      </c>
      <c r="CM225">
        <v>0</v>
      </c>
      <c r="CN225" s="4">
        <v>0</v>
      </c>
      <c r="CO225">
        <v>2</v>
      </c>
      <c r="CP225" s="42" t="str">
        <f t="shared" si="43"/>
        <v>1</v>
      </c>
      <c r="CQ225" s="4">
        <v>40</v>
      </c>
      <c r="CR225" s="4">
        <v>0.79012345679012341</v>
      </c>
      <c r="CS225" s="43" t="str">
        <f t="shared" si="44"/>
        <v>1</v>
      </c>
      <c r="CT225" s="4">
        <f t="shared" si="45"/>
        <v>40</v>
      </c>
      <c r="CU225" s="4">
        <f t="shared" si="46"/>
        <v>0.79012345679012341</v>
      </c>
      <c r="CV225" s="4">
        <v>1</v>
      </c>
    </row>
    <row r="226" spans="1:100" x14ac:dyDescent="0.3">
      <c r="A226" s="15" t="s">
        <v>465</v>
      </c>
      <c r="B226" s="17">
        <v>0</v>
      </c>
      <c r="C226" s="3">
        <v>45</v>
      </c>
      <c r="D226">
        <v>2</v>
      </c>
      <c r="E226">
        <v>1</v>
      </c>
      <c r="F226">
        <v>1</v>
      </c>
      <c r="G226">
        <v>1</v>
      </c>
      <c r="H226">
        <v>1</v>
      </c>
      <c r="I226">
        <v>1</v>
      </c>
      <c r="J226" s="4">
        <v>64.099999999999994</v>
      </c>
      <c r="K226" s="4">
        <f t="shared" si="49"/>
        <v>1.61</v>
      </c>
      <c r="L226">
        <v>161</v>
      </c>
      <c r="M226" s="4">
        <f t="shared" si="48"/>
        <v>17.050599999999999</v>
      </c>
      <c r="N226" s="4">
        <v>44.5</v>
      </c>
      <c r="O226" s="4">
        <v>26.6</v>
      </c>
      <c r="P226" s="40">
        <v>1</v>
      </c>
      <c r="Q226">
        <v>90.2</v>
      </c>
      <c r="R226" s="37">
        <v>1</v>
      </c>
      <c r="S226">
        <v>88.9</v>
      </c>
      <c r="T226" s="5">
        <f t="shared" si="47"/>
        <v>1.0146231721034871</v>
      </c>
      <c r="U226" s="37">
        <v>1</v>
      </c>
      <c r="V226" s="4">
        <f t="shared" si="39"/>
        <v>24.728984221287753</v>
      </c>
      <c r="W226" s="39">
        <v>1</v>
      </c>
      <c r="X226">
        <v>12</v>
      </c>
      <c r="Y226" s="37">
        <v>1</v>
      </c>
      <c r="Z226">
        <v>10.02</v>
      </c>
      <c r="AA226" s="23">
        <f t="shared" si="40"/>
        <v>2.5161333333333333</v>
      </c>
      <c r="AB226" s="84">
        <v>0</v>
      </c>
      <c r="AC226" s="5">
        <v>5.65</v>
      </c>
      <c r="AD226" s="37">
        <v>1</v>
      </c>
      <c r="AE226">
        <v>17.329999999999998</v>
      </c>
      <c r="AF226" s="5">
        <v>6.2</v>
      </c>
      <c r="AG226" s="37">
        <v>1</v>
      </c>
      <c r="AH226" s="5">
        <v>1.33</v>
      </c>
      <c r="AI226" s="37">
        <v>0</v>
      </c>
      <c r="AJ226" s="5">
        <v>4.41</v>
      </c>
      <c r="AK226" s="37">
        <v>1</v>
      </c>
      <c r="AL226" s="5">
        <v>1.18</v>
      </c>
      <c r="AM226" s="37">
        <v>0</v>
      </c>
      <c r="AN226" s="4">
        <f t="shared" si="41"/>
        <v>5.2542372881355934</v>
      </c>
      <c r="AO226" s="37">
        <v>1</v>
      </c>
      <c r="AP226">
        <v>111</v>
      </c>
      <c r="AQ226" s="38">
        <v>0</v>
      </c>
      <c r="AR226">
        <v>69</v>
      </c>
      <c r="AS226" s="37">
        <v>0</v>
      </c>
      <c r="AT226">
        <v>72</v>
      </c>
      <c r="AU226">
        <v>42</v>
      </c>
      <c r="AV226">
        <v>6.3</v>
      </c>
      <c r="AW226" s="37">
        <v>1</v>
      </c>
      <c r="AX226">
        <v>2953</v>
      </c>
      <c r="AY226">
        <v>77.599999999999994</v>
      </c>
      <c r="AZ226">
        <v>58.8</v>
      </c>
      <c r="BA226">
        <v>561.5</v>
      </c>
      <c r="BB226">
        <v>13.4</v>
      </c>
      <c r="BC226">
        <v>528.4</v>
      </c>
      <c r="BD226">
        <v>21.7</v>
      </c>
      <c r="BE226">
        <v>12.5</v>
      </c>
      <c r="BF226">
        <v>49.9</v>
      </c>
      <c r="BG226">
        <v>17.899999999999999</v>
      </c>
      <c r="BH226">
        <v>10.5</v>
      </c>
      <c r="BI226">
        <v>71.3</v>
      </c>
      <c r="BJ226">
        <v>13.3</v>
      </c>
      <c r="BK226">
        <v>1.6</v>
      </c>
      <c r="BL226">
        <v>43.8</v>
      </c>
      <c r="BM226">
        <v>5.7</v>
      </c>
      <c r="BN226">
        <v>4.0999999999999996</v>
      </c>
      <c r="BO226">
        <v>3.56</v>
      </c>
      <c r="BP226">
        <v>0.44</v>
      </c>
      <c r="BQ226">
        <v>0.03</v>
      </c>
      <c r="BR226">
        <v>366</v>
      </c>
      <c r="BS226">
        <v>214.3</v>
      </c>
      <c r="BT226">
        <v>3122</v>
      </c>
      <c r="BU226">
        <v>2094</v>
      </c>
      <c r="BV226">
        <v>11.71</v>
      </c>
      <c r="BW226">
        <v>10.98</v>
      </c>
      <c r="BX226">
        <v>2.15</v>
      </c>
      <c r="BY226">
        <v>99.2</v>
      </c>
      <c r="BZ226">
        <v>84.5</v>
      </c>
      <c r="CA226">
        <v>4.3600000000000003</v>
      </c>
      <c r="CB226">
        <v>3.41</v>
      </c>
      <c r="CC226">
        <v>24.6</v>
      </c>
      <c r="CD226">
        <v>1.43</v>
      </c>
      <c r="CE226">
        <v>1.86</v>
      </c>
      <c r="CF226">
        <v>193.6</v>
      </c>
      <c r="CG226">
        <v>14.5</v>
      </c>
      <c r="CH226">
        <v>110</v>
      </c>
      <c r="CI226">
        <v>1.97</v>
      </c>
      <c r="CJ226">
        <v>1.8</v>
      </c>
      <c r="CK226">
        <v>0</v>
      </c>
      <c r="CL226" s="42" t="str">
        <f t="shared" si="42"/>
        <v>1</v>
      </c>
      <c r="CM226">
        <v>0</v>
      </c>
      <c r="CN226" s="4">
        <v>0</v>
      </c>
      <c r="CO226">
        <v>3</v>
      </c>
      <c r="CP226" s="42" t="str">
        <f t="shared" si="43"/>
        <v>1</v>
      </c>
      <c r="CQ226" s="4">
        <v>28</v>
      </c>
      <c r="CR226" s="4">
        <v>0.48148148148148145</v>
      </c>
      <c r="CS226" s="43" t="str">
        <f t="shared" si="44"/>
        <v>1</v>
      </c>
      <c r="CT226" s="4">
        <f t="shared" si="45"/>
        <v>28</v>
      </c>
      <c r="CU226" s="4">
        <f t="shared" si="46"/>
        <v>0.48148148148148145</v>
      </c>
      <c r="CV226" s="4">
        <v>1</v>
      </c>
    </row>
    <row r="227" spans="1:100" x14ac:dyDescent="0.3">
      <c r="A227" s="15" t="s">
        <v>466</v>
      </c>
      <c r="B227" s="17">
        <v>0</v>
      </c>
      <c r="C227" s="3">
        <v>33</v>
      </c>
      <c r="D227">
        <v>2</v>
      </c>
      <c r="E227">
        <v>2</v>
      </c>
      <c r="F227">
        <v>2</v>
      </c>
      <c r="G227">
        <v>0</v>
      </c>
      <c r="H227">
        <v>0</v>
      </c>
      <c r="I227">
        <v>1</v>
      </c>
      <c r="J227" s="4">
        <v>78.3</v>
      </c>
      <c r="K227" s="4">
        <f t="shared" si="49"/>
        <v>1.74</v>
      </c>
      <c r="L227">
        <v>174</v>
      </c>
      <c r="M227" s="4">
        <f t="shared" si="48"/>
        <v>20.123100000000001</v>
      </c>
      <c r="N227" s="4">
        <v>55.2</v>
      </c>
      <c r="O227" s="4">
        <v>25.7</v>
      </c>
      <c r="P227" s="40">
        <v>1</v>
      </c>
      <c r="Q227">
        <v>95.5</v>
      </c>
      <c r="R227" s="37">
        <v>1</v>
      </c>
      <c r="S227">
        <v>96.2</v>
      </c>
      <c r="T227" s="5">
        <f t="shared" si="47"/>
        <v>0.9927234927234927</v>
      </c>
      <c r="U227" s="37">
        <v>1</v>
      </c>
      <c r="V227" s="4">
        <f t="shared" si="39"/>
        <v>25.862068965517238</v>
      </c>
      <c r="W227" s="39">
        <v>1</v>
      </c>
      <c r="X227">
        <v>11</v>
      </c>
      <c r="Y227" s="37">
        <v>1</v>
      </c>
      <c r="AA227" s="23"/>
      <c r="AB227" s="84"/>
      <c r="AC227" s="5">
        <v>4.4044600000000003</v>
      </c>
      <c r="AD227" s="37">
        <v>0</v>
      </c>
      <c r="AE227" s="5">
        <v>3</v>
      </c>
      <c r="AF227" s="5">
        <v>6.6991300000000003</v>
      </c>
      <c r="AG227" s="37">
        <v>1</v>
      </c>
      <c r="AH227" s="5">
        <v>3.0140799999999999</v>
      </c>
      <c r="AI227" s="37">
        <v>1</v>
      </c>
      <c r="AJ227" s="5">
        <v>4.3536999999999999</v>
      </c>
      <c r="AK227" s="37">
        <v>1</v>
      </c>
      <c r="AL227" s="5">
        <v>0.97538999999999998</v>
      </c>
      <c r="AM227" s="37">
        <v>1</v>
      </c>
      <c r="AN227" s="4">
        <f t="shared" si="41"/>
        <v>6.8681553019817718</v>
      </c>
      <c r="AO227" s="37">
        <v>1</v>
      </c>
      <c r="AP227">
        <v>138</v>
      </c>
      <c r="AQ227" s="37">
        <v>1</v>
      </c>
      <c r="AR227">
        <v>89</v>
      </c>
      <c r="AS227" s="37">
        <v>1</v>
      </c>
      <c r="AT227">
        <v>71</v>
      </c>
      <c r="AU227">
        <v>49</v>
      </c>
      <c r="AV227">
        <v>6.2</v>
      </c>
      <c r="AW227" s="37">
        <v>0</v>
      </c>
      <c r="AX227">
        <v>3268</v>
      </c>
      <c r="AY227">
        <v>105.1</v>
      </c>
      <c r="AZ227">
        <v>88</v>
      </c>
      <c r="BA227">
        <v>546</v>
      </c>
      <c r="BB227">
        <v>20.7</v>
      </c>
      <c r="BC227">
        <v>453.8</v>
      </c>
      <c r="BD227">
        <v>56.7</v>
      </c>
      <c r="BE227">
        <v>39.9</v>
      </c>
      <c r="BF227">
        <v>38.299999999999997</v>
      </c>
      <c r="BG227">
        <v>24.2</v>
      </c>
      <c r="BH227">
        <v>12.9</v>
      </c>
      <c r="BI227">
        <v>62.7</v>
      </c>
      <c r="BJ227">
        <v>13.2</v>
      </c>
      <c r="BK227">
        <v>4.5999999999999996</v>
      </c>
      <c r="BL227">
        <v>48</v>
      </c>
      <c r="BM227">
        <v>16.399999999999999</v>
      </c>
      <c r="BN227">
        <v>11.8</v>
      </c>
      <c r="BO227">
        <v>10.74</v>
      </c>
      <c r="BP227">
        <v>0.86</v>
      </c>
      <c r="BQ227">
        <v>0</v>
      </c>
      <c r="BR227">
        <v>698</v>
      </c>
      <c r="BS227">
        <v>723.5</v>
      </c>
      <c r="BT227">
        <v>8201</v>
      </c>
      <c r="BU227">
        <v>7067</v>
      </c>
      <c r="BV227">
        <v>25.12</v>
      </c>
      <c r="BW227">
        <v>14.32</v>
      </c>
      <c r="BX227">
        <v>3.59</v>
      </c>
      <c r="BY227">
        <v>12.8</v>
      </c>
      <c r="BZ227">
        <v>37.4</v>
      </c>
      <c r="CA227">
        <v>1.25</v>
      </c>
      <c r="CB227">
        <v>0.98</v>
      </c>
      <c r="CC227">
        <v>50</v>
      </c>
      <c r="CD227">
        <v>1.32</v>
      </c>
      <c r="CE227">
        <v>1.57</v>
      </c>
      <c r="CF227">
        <v>583.4</v>
      </c>
      <c r="CG227">
        <v>13.3</v>
      </c>
      <c r="CH227">
        <v>395</v>
      </c>
      <c r="CI227">
        <v>1.9</v>
      </c>
      <c r="CJ227">
        <v>8.6999999999999993</v>
      </c>
      <c r="CK227">
        <v>0</v>
      </c>
      <c r="CL227" s="42" t="str">
        <f t="shared" si="42"/>
        <v>1</v>
      </c>
      <c r="CM227">
        <v>0</v>
      </c>
      <c r="CN227" s="4">
        <v>0</v>
      </c>
      <c r="CO227">
        <v>4</v>
      </c>
      <c r="CP227" s="42" t="str">
        <f t="shared" si="43"/>
        <v>1</v>
      </c>
      <c r="CQ227" s="4">
        <v>108</v>
      </c>
      <c r="CR227" s="4">
        <v>2.1481481481481484</v>
      </c>
      <c r="CS227" s="43" t="str">
        <f t="shared" si="44"/>
        <v>1</v>
      </c>
      <c r="CT227" s="4">
        <f t="shared" si="45"/>
        <v>108</v>
      </c>
      <c r="CU227" s="4">
        <f t="shared" si="46"/>
        <v>2.1481481481481484</v>
      </c>
      <c r="CV227" s="4">
        <v>2</v>
      </c>
    </row>
    <row r="228" spans="1:100" x14ac:dyDescent="0.3">
      <c r="A228" s="15" t="s">
        <v>467</v>
      </c>
      <c r="B228" s="17">
        <v>0</v>
      </c>
      <c r="C228" s="3">
        <v>56</v>
      </c>
      <c r="D228">
        <v>2</v>
      </c>
      <c r="E228">
        <v>1</v>
      </c>
      <c r="F228">
        <v>1</v>
      </c>
      <c r="G228">
        <v>0</v>
      </c>
      <c r="H228">
        <v>1</v>
      </c>
      <c r="I228">
        <v>0</v>
      </c>
      <c r="J228" s="4">
        <v>69.7</v>
      </c>
      <c r="K228" s="4">
        <f t="shared" si="49"/>
        <v>1.59</v>
      </c>
      <c r="L228">
        <v>159</v>
      </c>
      <c r="M228" s="4">
        <f t="shared" si="48"/>
        <v>18.331100000000003</v>
      </c>
      <c r="N228" s="4">
        <v>48.7</v>
      </c>
      <c r="O228" s="4">
        <v>26.3</v>
      </c>
      <c r="P228" s="40">
        <v>1</v>
      </c>
      <c r="Q228">
        <v>100.2</v>
      </c>
      <c r="R228" s="37">
        <v>1</v>
      </c>
      <c r="S228">
        <v>93.6</v>
      </c>
      <c r="T228" s="5">
        <f t="shared" si="47"/>
        <v>1.0705128205128207</v>
      </c>
      <c r="U228" s="37">
        <v>1</v>
      </c>
      <c r="V228" s="4">
        <f t="shared" si="39"/>
        <v>27.570111941774453</v>
      </c>
      <c r="W228" s="39">
        <v>1</v>
      </c>
      <c r="X228">
        <v>15</v>
      </c>
      <c r="Y228" s="37">
        <v>1</v>
      </c>
      <c r="AA228" s="23"/>
      <c r="AB228" s="84"/>
      <c r="AC228" s="5">
        <v>6.2400900000000004</v>
      </c>
      <c r="AD228" s="37">
        <v>1</v>
      </c>
      <c r="AE228" s="5">
        <v>26.87368</v>
      </c>
      <c r="AF228" s="5">
        <v>6.9860899999999999</v>
      </c>
      <c r="AG228" s="37">
        <v>1</v>
      </c>
      <c r="AH228" s="5">
        <v>1.71566</v>
      </c>
      <c r="AI228" s="37">
        <v>1</v>
      </c>
      <c r="AJ228" s="5">
        <v>5.2536199999999997</v>
      </c>
      <c r="AK228" s="37">
        <v>1</v>
      </c>
      <c r="AL228" s="5">
        <v>0.95262999999999998</v>
      </c>
      <c r="AM228" s="37">
        <v>1</v>
      </c>
      <c r="AN228" s="4">
        <f t="shared" si="41"/>
        <v>7.3334767958178935</v>
      </c>
      <c r="AO228" s="37">
        <v>1</v>
      </c>
      <c r="AP228">
        <v>134</v>
      </c>
      <c r="AQ228" s="37">
        <v>1</v>
      </c>
      <c r="AR228">
        <v>78</v>
      </c>
      <c r="AS228" s="37">
        <v>0</v>
      </c>
      <c r="AT228">
        <v>78</v>
      </c>
      <c r="AU228">
        <v>56</v>
      </c>
      <c r="AV228">
        <v>8.3000000000000007</v>
      </c>
      <c r="AW228" s="37">
        <v>1</v>
      </c>
      <c r="AX228">
        <v>1645</v>
      </c>
      <c r="AY228">
        <v>36.9</v>
      </c>
      <c r="AZ228">
        <v>34.700000000000003</v>
      </c>
      <c r="BA228">
        <v>313.60000000000002</v>
      </c>
      <c r="BB228">
        <v>3.9</v>
      </c>
      <c r="BC228">
        <v>237</v>
      </c>
      <c r="BD228">
        <v>35.9</v>
      </c>
      <c r="BE228">
        <v>30.1</v>
      </c>
      <c r="BF228">
        <v>61.5</v>
      </c>
      <c r="BG228">
        <v>19</v>
      </c>
      <c r="BH228">
        <v>9</v>
      </c>
      <c r="BI228">
        <v>71.5</v>
      </c>
      <c r="BJ228">
        <v>10.199999999999999</v>
      </c>
      <c r="BK228">
        <v>6.9</v>
      </c>
      <c r="BL228">
        <v>18.7</v>
      </c>
      <c r="BM228">
        <v>4.5</v>
      </c>
      <c r="BN228">
        <v>2.2999999999999998</v>
      </c>
      <c r="BO228">
        <v>2.02</v>
      </c>
      <c r="BP228">
        <v>0.2</v>
      </c>
      <c r="BQ228">
        <v>0.08</v>
      </c>
      <c r="BR228">
        <v>222</v>
      </c>
      <c r="BS228">
        <v>159.19999999999999</v>
      </c>
      <c r="BT228">
        <v>1851</v>
      </c>
      <c r="BU228">
        <v>1285</v>
      </c>
      <c r="BV228">
        <v>7.45</v>
      </c>
      <c r="BW228">
        <v>5.12</v>
      </c>
      <c r="BX228">
        <v>1.2</v>
      </c>
      <c r="BY228">
        <v>12.1</v>
      </c>
      <c r="BZ228">
        <v>13.7</v>
      </c>
      <c r="CA228">
        <v>0.48</v>
      </c>
      <c r="CB228">
        <v>0.4</v>
      </c>
      <c r="CC228">
        <v>11.6</v>
      </c>
      <c r="CD228">
        <v>0.36</v>
      </c>
      <c r="CE228">
        <v>0.52</v>
      </c>
      <c r="CF228">
        <v>151.30000000000001</v>
      </c>
      <c r="CG228">
        <v>16.3</v>
      </c>
      <c r="CH228">
        <v>143</v>
      </c>
      <c r="CI228">
        <v>1.94</v>
      </c>
      <c r="CJ228">
        <v>1.7</v>
      </c>
      <c r="CK228">
        <v>1</v>
      </c>
      <c r="CL228" s="42" t="str">
        <f t="shared" si="42"/>
        <v>1</v>
      </c>
      <c r="CM228" s="4">
        <v>86.666666666666671</v>
      </c>
      <c r="CN228" s="4">
        <v>1.7333333333333334</v>
      </c>
      <c r="CO228">
        <v>3</v>
      </c>
      <c r="CP228" s="42" t="str">
        <f t="shared" si="43"/>
        <v>1</v>
      </c>
      <c r="CQ228" s="4">
        <v>109.33333333333333</v>
      </c>
      <c r="CR228" s="4">
        <v>0.7407407407407407</v>
      </c>
      <c r="CS228" s="43" t="str">
        <f t="shared" si="44"/>
        <v>2</v>
      </c>
      <c r="CT228" s="4">
        <f t="shared" si="45"/>
        <v>196</v>
      </c>
      <c r="CU228" s="4">
        <f t="shared" si="46"/>
        <v>2.4740740740740739</v>
      </c>
      <c r="CV228" s="4">
        <v>2</v>
      </c>
    </row>
    <row r="229" spans="1:100" x14ac:dyDescent="0.3">
      <c r="A229" s="15" t="s">
        <v>468</v>
      </c>
      <c r="B229" s="17">
        <v>0</v>
      </c>
      <c r="C229" s="3">
        <v>42</v>
      </c>
      <c r="D229">
        <v>2</v>
      </c>
      <c r="E229">
        <v>1</v>
      </c>
      <c r="F229">
        <v>1</v>
      </c>
      <c r="G229">
        <v>0</v>
      </c>
      <c r="H229">
        <v>1</v>
      </c>
      <c r="I229">
        <v>0</v>
      </c>
      <c r="J229" s="4">
        <v>68.2</v>
      </c>
      <c r="K229" s="4">
        <f t="shared" si="49"/>
        <v>1.55</v>
      </c>
      <c r="L229">
        <v>155</v>
      </c>
      <c r="M229" s="4">
        <f t="shared" si="48"/>
        <v>19.573400000000003</v>
      </c>
      <c r="N229" s="4">
        <v>46.1</v>
      </c>
      <c r="O229" s="4">
        <v>28.7</v>
      </c>
      <c r="P229" s="40">
        <v>1</v>
      </c>
      <c r="Q229">
        <v>91.6</v>
      </c>
      <c r="R229" s="37">
        <v>1</v>
      </c>
      <c r="S229">
        <v>97.3</v>
      </c>
      <c r="T229" s="5">
        <f t="shared" si="47"/>
        <v>0.94141829393627952</v>
      </c>
      <c r="U229" s="37">
        <v>1</v>
      </c>
      <c r="V229" s="4">
        <f t="shared" si="39"/>
        <v>28.387096774193544</v>
      </c>
      <c r="W229" s="39">
        <v>1</v>
      </c>
      <c r="X229">
        <v>14</v>
      </c>
      <c r="Y229" s="37">
        <v>1</v>
      </c>
      <c r="AA229" s="23"/>
      <c r="AB229" s="84"/>
      <c r="AC229" s="5">
        <v>4.6509600000000004</v>
      </c>
      <c r="AD229" s="37">
        <v>0</v>
      </c>
      <c r="AE229" s="5">
        <v>15.185359999999999</v>
      </c>
      <c r="AF229" s="5">
        <v>4.9962</v>
      </c>
      <c r="AG229" s="37">
        <v>0</v>
      </c>
      <c r="AH229" s="5">
        <v>1.3585799999999999</v>
      </c>
      <c r="AI229" s="37">
        <v>0</v>
      </c>
      <c r="AJ229" s="5">
        <v>3.39</v>
      </c>
      <c r="AK229" s="37">
        <v>0</v>
      </c>
      <c r="AL229" s="5">
        <v>0.98236999999999997</v>
      </c>
      <c r="AM229" s="37">
        <v>1</v>
      </c>
      <c r="AN229" s="4">
        <f t="shared" si="41"/>
        <v>5.0858637784134286</v>
      </c>
      <c r="AO229" s="37">
        <v>1</v>
      </c>
      <c r="AP229">
        <v>145</v>
      </c>
      <c r="AQ229" s="37">
        <v>1</v>
      </c>
      <c r="AR229">
        <v>92</v>
      </c>
      <c r="AS229" s="37">
        <v>1</v>
      </c>
      <c r="AT229">
        <v>92</v>
      </c>
      <c r="AU229">
        <v>54</v>
      </c>
      <c r="AV229">
        <v>7</v>
      </c>
      <c r="AW229" s="37">
        <v>0</v>
      </c>
      <c r="AX229">
        <v>2203</v>
      </c>
      <c r="AY229">
        <v>57.6</v>
      </c>
      <c r="AZ229">
        <v>43.4</v>
      </c>
      <c r="BA229">
        <v>419.5</v>
      </c>
      <c r="BB229">
        <v>6.3</v>
      </c>
      <c r="BC229">
        <v>342.3</v>
      </c>
      <c r="BD229">
        <v>47.7</v>
      </c>
      <c r="BE229">
        <v>37.6</v>
      </c>
      <c r="BF229">
        <v>81.3</v>
      </c>
      <c r="BG229">
        <v>17.7</v>
      </c>
      <c r="BH229">
        <v>10.5</v>
      </c>
      <c r="BI229">
        <v>71.400000000000006</v>
      </c>
      <c r="BJ229">
        <v>10.9</v>
      </c>
      <c r="BK229">
        <v>6.4</v>
      </c>
      <c r="BL229">
        <v>26.6</v>
      </c>
      <c r="BM229">
        <v>4.2</v>
      </c>
      <c r="BN229">
        <v>1.9</v>
      </c>
      <c r="BO229">
        <v>1.27</v>
      </c>
      <c r="BP229">
        <v>0.42</v>
      </c>
      <c r="BQ229">
        <v>0.18</v>
      </c>
      <c r="BR229">
        <v>370</v>
      </c>
      <c r="BS229">
        <v>195.2</v>
      </c>
      <c r="BT229">
        <v>2952</v>
      </c>
      <c r="BU229">
        <v>1953</v>
      </c>
      <c r="BV229">
        <v>11.23</v>
      </c>
      <c r="BW229">
        <v>8.02</v>
      </c>
      <c r="BX229">
        <v>1.08</v>
      </c>
      <c r="BY229">
        <v>36.299999999999997</v>
      </c>
      <c r="BZ229">
        <v>45</v>
      </c>
      <c r="CA229">
        <v>0.46</v>
      </c>
      <c r="CB229">
        <v>0.65</v>
      </c>
      <c r="CC229">
        <v>18.899999999999999</v>
      </c>
      <c r="CD229">
        <v>1.41</v>
      </c>
      <c r="CE229">
        <v>3</v>
      </c>
      <c r="CF229">
        <v>167.7</v>
      </c>
      <c r="CG229">
        <v>32.299999999999997</v>
      </c>
      <c r="CH229">
        <v>156</v>
      </c>
      <c r="CI229">
        <v>2.41</v>
      </c>
      <c r="CJ229">
        <v>0.8</v>
      </c>
      <c r="CK229">
        <v>1</v>
      </c>
      <c r="CL229" s="42" t="str">
        <f t="shared" si="42"/>
        <v>1</v>
      </c>
      <c r="CM229" s="4">
        <v>16.333333333333332</v>
      </c>
      <c r="CN229" s="4">
        <v>0.32666666666666666</v>
      </c>
      <c r="CO229">
        <v>8</v>
      </c>
      <c r="CP229" s="42" t="str">
        <f t="shared" si="43"/>
        <v>2</v>
      </c>
      <c r="CQ229" s="4">
        <v>200.33333333333334</v>
      </c>
      <c r="CR229" s="4">
        <v>1.3765432098765431</v>
      </c>
      <c r="CS229" s="43" t="str">
        <f t="shared" si="44"/>
        <v>2</v>
      </c>
      <c r="CT229" s="4">
        <f t="shared" si="45"/>
        <v>216.66666666666669</v>
      </c>
      <c r="CU229" s="4">
        <f t="shared" si="46"/>
        <v>1.7032098765432098</v>
      </c>
      <c r="CV229" s="4">
        <v>1</v>
      </c>
    </row>
    <row r="230" spans="1:100" x14ac:dyDescent="0.3">
      <c r="A230" s="15" t="s">
        <v>469</v>
      </c>
      <c r="B230" s="17">
        <v>0</v>
      </c>
      <c r="C230">
        <v>49</v>
      </c>
      <c r="D230">
        <v>2</v>
      </c>
      <c r="E230">
        <v>1</v>
      </c>
      <c r="F230">
        <v>1</v>
      </c>
      <c r="G230">
        <v>0</v>
      </c>
      <c r="H230">
        <v>2</v>
      </c>
      <c r="I230">
        <v>0</v>
      </c>
      <c r="J230">
        <v>69</v>
      </c>
      <c r="K230" s="4">
        <f t="shared" si="49"/>
        <v>1.6459999999999999</v>
      </c>
      <c r="L230">
        <v>164.6</v>
      </c>
      <c r="M230" s="4">
        <f t="shared" si="48"/>
        <v>16.629000000000001</v>
      </c>
      <c r="N230" s="4">
        <v>49.4</v>
      </c>
      <c r="O230">
        <v>24.1</v>
      </c>
      <c r="P230" s="40">
        <v>1</v>
      </c>
      <c r="Q230">
        <v>93.2</v>
      </c>
      <c r="R230" s="37">
        <v>1</v>
      </c>
      <c r="S230">
        <v>91.1</v>
      </c>
      <c r="T230" s="5">
        <f t="shared" si="47"/>
        <v>1.0230515916575194</v>
      </c>
      <c r="U230" s="37">
        <v>1</v>
      </c>
      <c r="V230" s="4">
        <f t="shared" si="39"/>
        <v>25.467682618048247</v>
      </c>
      <c r="W230" s="39">
        <v>1</v>
      </c>
      <c r="X230">
        <v>13</v>
      </c>
      <c r="Y230" s="37">
        <v>1</v>
      </c>
      <c r="Z230">
        <v>9.2200000000000006</v>
      </c>
      <c r="AA230" s="23">
        <f t="shared" si="40"/>
        <v>1.9218577777777779</v>
      </c>
      <c r="AB230" s="84">
        <v>0</v>
      </c>
      <c r="AC230" s="5">
        <v>4.6900000000000004</v>
      </c>
      <c r="AD230" s="37">
        <v>0</v>
      </c>
      <c r="AE230">
        <v>3</v>
      </c>
      <c r="AF230" s="5">
        <v>4.92</v>
      </c>
      <c r="AG230" s="37">
        <v>0</v>
      </c>
      <c r="AH230" s="5">
        <v>1.36</v>
      </c>
      <c r="AI230" s="37">
        <v>0</v>
      </c>
      <c r="AJ230" s="5">
        <v>3.31</v>
      </c>
      <c r="AK230" s="37">
        <v>0</v>
      </c>
      <c r="AL230" s="5">
        <v>1</v>
      </c>
      <c r="AM230" s="37">
        <v>1</v>
      </c>
      <c r="AN230" s="4">
        <f t="shared" si="41"/>
        <v>4.92</v>
      </c>
      <c r="AO230" s="37">
        <v>1</v>
      </c>
      <c r="AP230">
        <v>102</v>
      </c>
      <c r="AQ230" s="38">
        <v>0</v>
      </c>
      <c r="AR230">
        <v>66</v>
      </c>
      <c r="AS230" s="37">
        <v>0</v>
      </c>
      <c r="AT230">
        <v>81</v>
      </c>
      <c r="AU230">
        <v>36</v>
      </c>
      <c r="AV230">
        <v>6.4</v>
      </c>
      <c r="AW230" s="37">
        <v>1</v>
      </c>
      <c r="AX230">
        <v>1660</v>
      </c>
      <c r="AY230">
        <v>45.3</v>
      </c>
      <c r="AZ230">
        <v>44</v>
      </c>
      <c r="BA230">
        <v>287.8</v>
      </c>
      <c r="BB230">
        <v>8.4</v>
      </c>
      <c r="BC230">
        <v>254.1</v>
      </c>
      <c r="BD230">
        <v>27</v>
      </c>
      <c r="BE230">
        <v>16.100000000000001</v>
      </c>
      <c r="BF230">
        <v>121.7</v>
      </c>
      <c r="BG230">
        <v>23.8</v>
      </c>
      <c r="BH230">
        <v>10.9</v>
      </c>
      <c r="BI230">
        <v>65</v>
      </c>
      <c r="BJ230">
        <v>15.3</v>
      </c>
      <c r="BK230">
        <v>3.6</v>
      </c>
      <c r="BL230">
        <v>28.2</v>
      </c>
      <c r="BM230">
        <v>5.0999999999999996</v>
      </c>
      <c r="BN230">
        <v>3.5</v>
      </c>
      <c r="BO230">
        <v>2.8</v>
      </c>
      <c r="BP230">
        <v>0.56000000000000005</v>
      </c>
      <c r="BQ230">
        <v>0</v>
      </c>
      <c r="BR230">
        <v>166</v>
      </c>
      <c r="BS230">
        <v>136.69999999999999</v>
      </c>
      <c r="BT230">
        <v>2362</v>
      </c>
      <c r="BU230">
        <v>1433</v>
      </c>
      <c r="BV230">
        <v>7.35</v>
      </c>
      <c r="BW230">
        <v>6.36</v>
      </c>
      <c r="BX230">
        <v>1.18</v>
      </c>
      <c r="BY230">
        <v>42.3</v>
      </c>
      <c r="BZ230">
        <v>60.4</v>
      </c>
      <c r="CA230">
        <v>0.46</v>
      </c>
      <c r="CB230">
        <v>0.33</v>
      </c>
      <c r="CC230">
        <v>16.600000000000001</v>
      </c>
      <c r="CD230">
        <v>1.04</v>
      </c>
      <c r="CE230">
        <v>3.29</v>
      </c>
      <c r="CF230">
        <v>171</v>
      </c>
      <c r="CG230">
        <v>34</v>
      </c>
      <c r="CH230">
        <v>639</v>
      </c>
      <c r="CI230">
        <v>3.08</v>
      </c>
      <c r="CJ230">
        <v>1.8</v>
      </c>
      <c r="CK230">
        <v>2</v>
      </c>
      <c r="CL230" s="42" t="str">
        <f t="shared" si="42"/>
        <v>1</v>
      </c>
      <c r="CM230">
        <v>96</v>
      </c>
      <c r="CN230" s="4">
        <v>1.92</v>
      </c>
      <c r="CO230">
        <v>4</v>
      </c>
      <c r="CP230" s="42" t="str">
        <f t="shared" si="43"/>
        <v>1</v>
      </c>
      <c r="CQ230" s="4">
        <v>114</v>
      </c>
      <c r="CR230" s="4">
        <v>1.0617283950617284</v>
      </c>
      <c r="CS230" s="43" t="str">
        <f t="shared" si="44"/>
        <v>2</v>
      </c>
      <c r="CT230" s="4">
        <f t="shared" si="45"/>
        <v>210</v>
      </c>
      <c r="CU230" s="4">
        <f t="shared" si="46"/>
        <v>2.9817283950617286</v>
      </c>
      <c r="CV230" s="4">
        <v>3</v>
      </c>
    </row>
    <row r="231" spans="1:100" x14ac:dyDescent="0.3">
      <c r="A231" s="15" t="s">
        <v>470</v>
      </c>
      <c r="B231" s="17">
        <v>0</v>
      </c>
      <c r="C231">
        <v>38</v>
      </c>
      <c r="D231">
        <v>2</v>
      </c>
      <c r="E231">
        <v>2</v>
      </c>
      <c r="F231">
        <v>1</v>
      </c>
      <c r="G231">
        <v>2</v>
      </c>
      <c r="H231">
        <v>1</v>
      </c>
      <c r="I231">
        <v>1</v>
      </c>
      <c r="J231">
        <v>75</v>
      </c>
      <c r="K231" s="4">
        <f t="shared" si="49"/>
        <v>1.633</v>
      </c>
      <c r="L231">
        <v>163.30000000000001</v>
      </c>
      <c r="M231" s="4">
        <f t="shared" si="48"/>
        <v>19.725000000000001</v>
      </c>
      <c r="N231" s="4">
        <v>53.3</v>
      </c>
      <c r="O231" s="4">
        <v>26.3</v>
      </c>
      <c r="P231" s="40">
        <v>1</v>
      </c>
      <c r="Q231">
        <v>93</v>
      </c>
      <c r="R231" s="37">
        <v>1</v>
      </c>
      <c r="S231">
        <v>103</v>
      </c>
      <c r="T231" s="5">
        <f t="shared" si="47"/>
        <v>0.90291262135922334</v>
      </c>
      <c r="U231" s="37">
        <v>1</v>
      </c>
      <c r="V231" s="4">
        <f t="shared" si="39"/>
        <v>28.12476445509769</v>
      </c>
      <c r="W231" s="39">
        <v>1</v>
      </c>
      <c r="X231">
        <v>14</v>
      </c>
      <c r="Y231" s="37">
        <v>1</v>
      </c>
      <c r="AA231" s="23"/>
      <c r="AB231" s="84"/>
      <c r="AC231" s="5">
        <v>5.32273</v>
      </c>
      <c r="AD231" s="37">
        <v>0</v>
      </c>
      <c r="AE231" s="5">
        <v>3</v>
      </c>
      <c r="AF231" s="5">
        <v>8.7190600000000007</v>
      </c>
      <c r="AG231" s="37">
        <v>1</v>
      </c>
      <c r="AH231" s="5">
        <v>1.9381900000000001</v>
      </c>
      <c r="AI231" s="37">
        <v>1</v>
      </c>
      <c r="AJ231" s="5">
        <v>6.2469000000000001</v>
      </c>
      <c r="AK231" s="37">
        <v>1</v>
      </c>
      <c r="AL231" s="5">
        <v>1.5911599999999999</v>
      </c>
      <c r="AM231" s="37">
        <v>0</v>
      </c>
      <c r="AN231" s="4">
        <f t="shared" si="41"/>
        <v>5.4796877749566359</v>
      </c>
      <c r="AO231" s="37">
        <v>1</v>
      </c>
      <c r="AP231">
        <v>131</v>
      </c>
      <c r="AQ231" s="37">
        <v>1</v>
      </c>
      <c r="AR231">
        <v>85</v>
      </c>
      <c r="AS231" s="37">
        <v>1</v>
      </c>
      <c r="AT231">
        <v>89</v>
      </c>
      <c r="AU231">
        <v>46</v>
      </c>
      <c r="AV231">
        <v>6.3</v>
      </c>
      <c r="AW231" s="37">
        <v>1</v>
      </c>
      <c r="AX231">
        <v>1612</v>
      </c>
      <c r="AY231">
        <v>48.4</v>
      </c>
      <c r="AZ231">
        <v>66</v>
      </c>
      <c r="BA231">
        <v>219.6</v>
      </c>
      <c r="BB231">
        <v>7.5</v>
      </c>
      <c r="BC231">
        <v>149.69999999999999</v>
      </c>
      <c r="BD231">
        <v>48.1</v>
      </c>
      <c r="BE231">
        <v>37.200000000000003</v>
      </c>
      <c r="BF231">
        <v>130.6</v>
      </c>
      <c r="BG231">
        <v>36.799999999999997</v>
      </c>
      <c r="BH231">
        <v>12</v>
      </c>
      <c r="BI231">
        <v>51.1</v>
      </c>
      <c r="BJ231">
        <v>23.5</v>
      </c>
      <c r="BK231">
        <v>8.6</v>
      </c>
      <c r="BL231">
        <v>42</v>
      </c>
      <c r="BM231">
        <v>6.3</v>
      </c>
      <c r="BN231">
        <v>3.2</v>
      </c>
      <c r="BO231">
        <v>2.73</v>
      </c>
      <c r="BP231">
        <v>0.2</v>
      </c>
      <c r="BQ231">
        <v>0.39</v>
      </c>
      <c r="BR231">
        <v>543</v>
      </c>
      <c r="BS231">
        <v>174.9</v>
      </c>
      <c r="BT231">
        <v>3480</v>
      </c>
      <c r="BU231">
        <v>1615</v>
      </c>
      <c r="BV231">
        <v>11.56</v>
      </c>
      <c r="BW231">
        <v>5.66</v>
      </c>
      <c r="BX231">
        <v>1.32</v>
      </c>
      <c r="BY231">
        <v>24.5</v>
      </c>
      <c r="BZ231">
        <v>53.6</v>
      </c>
      <c r="CA231">
        <v>0.56000000000000005</v>
      </c>
      <c r="CB231">
        <v>0.74</v>
      </c>
      <c r="CC231">
        <v>16.5</v>
      </c>
      <c r="CD231">
        <v>0.83</v>
      </c>
      <c r="CE231">
        <v>0.79</v>
      </c>
      <c r="CF231">
        <v>176.4</v>
      </c>
      <c r="CG231">
        <v>23.8</v>
      </c>
      <c r="CH231">
        <v>590</v>
      </c>
      <c r="CI231">
        <v>1.54</v>
      </c>
      <c r="CJ231">
        <v>1.9</v>
      </c>
      <c r="CK231">
        <v>0</v>
      </c>
      <c r="CL231" s="42" t="str">
        <f t="shared" si="42"/>
        <v>1</v>
      </c>
      <c r="CM231">
        <v>0</v>
      </c>
      <c r="CN231" s="4">
        <v>0</v>
      </c>
      <c r="CO231">
        <v>4</v>
      </c>
      <c r="CP231" s="42" t="str">
        <f t="shared" si="43"/>
        <v>1</v>
      </c>
      <c r="CQ231" s="4">
        <v>78.666666666666671</v>
      </c>
      <c r="CR231" s="4">
        <v>1.4222222222222221</v>
      </c>
      <c r="CS231" s="43" t="str">
        <f t="shared" si="44"/>
        <v>1</v>
      </c>
      <c r="CT231" s="4">
        <f t="shared" si="45"/>
        <v>78.666666666666671</v>
      </c>
      <c r="CU231" s="4">
        <f t="shared" si="46"/>
        <v>1.4222222222222221</v>
      </c>
      <c r="CV231" s="4">
        <v>1</v>
      </c>
    </row>
    <row r="232" spans="1:100" x14ac:dyDescent="0.3">
      <c r="A232" s="15" t="s">
        <v>471</v>
      </c>
      <c r="B232" s="17">
        <v>0</v>
      </c>
      <c r="C232" s="3">
        <v>52</v>
      </c>
      <c r="D232">
        <v>2</v>
      </c>
      <c r="E232">
        <v>1</v>
      </c>
      <c r="F232">
        <v>2</v>
      </c>
      <c r="G232">
        <v>0</v>
      </c>
      <c r="H232">
        <v>1</v>
      </c>
      <c r="I232">
        <v>1</v>
      </c>
      <c r="J232" s="4">
        <v>64.400000000000006</v>
      </c>
      <c r="K232" s="4">
        <f t="shared" si="49"/>
        <v>1.68</v>
      </c>
      <c r="L232">
        <v>168</v>
      </c>
      <c r="M232" s="4">
        <f t="shared" si="48"/>
        <v>13.4596</v>
      </c>
      <c r="N232" s="4">
        <v>48.2</v>
      </c>
      <c r="O232" s="4">
        <v>20.9</v>
      </c>
      <c r="P232" s="40">
        <v>0</v>
      </c>
      <c r="Q232">
        <v>84.8</v>
      </c>
      <c r="R232" s="37">
        <v>0</v>
      </c>
      <c r="S232">
        <v>90.8</v>
      </c>
      <c r="T232" s="5">
        <f t="shared" si="47"/>
        <v>0.93392070484581502</v>
      </c>
      <c r="U232" s="37">
        <v>1</v>
      </c>
      <c r="V232" s="4">
        <f t="shared" si="39"/>
        <v>22.817460317460323</v>
      </c>
      <c r="W232" s="39">
        <v>0</v>
      </c>
      <c r="X232">
        <v>11</v>
      </c>
      <c r="Y232" s="37">
        <v>1</v>
      </c>
      <c r="AA232" s="23"/>
      <c r="AB232" s="84"/>
      <c r="AC232" s="5">
        <v>4.3899999999999997</v>
      </c>
      <c r="AD232" s="37">
        <v>0</v>
      </c>
      <c r="AE232">
        <v>3</v>
      </c>
      <c r="AF232" s="5">
        <v>5.52</v>
      </c>
      <c r="AG232" s="37">
        <v>1</v>
      </c>
      <c r="AH232" s="5">
        <v>0.73</v>
      </c>
      <c r="AI232" s="37">
        <v>0</v>
      </c>
      <c r="AJ232" s="5">
        <v>4.0199999999999996</v>
      </c>
      <c r="AK232" s="37">
        <v>1</v>
      </c>
      <c r="AL232" s="5">
        <v>1.17</v>
      </c>
      <c r="AM232" s="37">
        <v>0</v>
      </c>
      <c r="AN232" s="4">
        <f t="shared" si="41"/>
        <v>4.7179487179487181</v>
      </c>
      <c r="AO232" s="37">
        <v>1</v>
      </c>
      <c r="AP232">
        <v>152</v>
      </c>
      <c r="AQ232" s="37">
        <v>1</v>
      </c>
      <c r="AR232">
        <v>88</v>
      </c>
      <c r="AS232" s="37">
        <v>1</v>
      </c>
      <c r="AT232">
        <v>86</v>
      </c>
      <c r="AU232">
        <v>64</v>
      </c>
      <c r="AV232">
        <v>8.3000000000000007</v>
      </c>
      <c r="AW232" s="37">
        <v>0</v>
      </c>
      <c r="AX232">
        <v>2268</v>
      </c>
      <c r="AY232">
        <v>60.1</v>
      </c>
      <c r="AZ232">
        <v>46.4</v>
      </c>
      <c r="BA232">
        <v>427.6</v>
      </c>
      <c r="BB232">
        <v>6.6</v>
      </c>
      <c r="BC232">
        <v>347.9</v>
      </c>
      <c r="BD232">
        <v>48.2</v>
      </c>
      <c r="BE232">
        <v>41.7</v>
      </c>
      <c r="BF232">
        <v>166</v>
      </c>
      <c r="BG232">
        <v>18.399999999999999</v>
      </c>
      <c r="BH232">
        <v>10.6</v>
      </c>
      <c r="BI232">
        <v>70.7</v>
      </c>
      <c r="BJ232">
        <v>11.8</v>
      </c>
      <c r="BK232">
        <v>6.9</v>
      </c>
      <c r="BL232">
        <v>29.7</v>
      </c>
      <c r="BM232">
        <v>5.6</v>
      </c>
      <c r="BN232">
        <v>1.9</v>
      </c>
      <c r="BO232">
        <v>1.4</v>
      </c>
      <c r="BP232">
        <v>0.32</v>
      </c>
      <c r="BQ232">
        <v>0</v>
      </c>
      <c r="BR232">
        <v>344</v>
      </c>
      <c r="BS232">
        <v>205.7</v>
      </c>
      <c r="BT232">
        <v>3195</v>
      </c>
      <c r="BU232">
        <v>1947</v>
      </c>
      <c r="BV232">
        <v>12.24</v>
      </c>
      <c r="BW232">
        <v>10.72</v>
      </c>
      <c r="BX232">
        <v>1.45</v>
      </c>
      <c r="BY232">
        <v>29.4</v>
      </c>
      <c r="BZ232">
        <v>30.2</v>
      </c>
      <c r="CA232">
        <v>0.63</v>
      </c>
      <c r="CB232">
        <v>0.53</v>
      </c>
      <c r="CC232">
        <v>18.399999999999999</v>
      </c>
      <c r="CD232">
        <v>0.61</v>
      </c>
      <c r="CE232">
        <v>1.98</v>
      </c>
      <c r="CF232">
        <v>251.8</v>
      </c>
      <c r="CG232">
        <v>16.899999999999999</v>
      </c>
      <c r="CH232">
        <v>192</v>
      </c>
      <c r="CI232">
        <v>3.44</v>
      </c>
      <c r="CJ232">
        <v>1.3</v>
      </c>
      <c r="CK232">
        <v>1</v>
      </c>
      <c r="CL232" s="42" t="str">
        <f t="shared" si="42"/>
        <v>1</v>
      </c>
      <c r="CM232">
        <v>32</v>
      </c>
      <c r="CN232" s="4">
        <v>0.64</v>
      </c>
      <c r="CO232">
        <v>8</v>
      </c>
      <c r="CP232" s="42" t="str">
        <f t="shared" si="43"/>
        <v>1</v>
      </c>
      <c r="CQ232" s="4">
        <v>142.83333333333334</v>
      </c>
      <c r="CR232" s="4">
        <v>2.5808641975308646</v>
      </c>
      <c r="CS232" s="43" t="str">
        <f t="shared" si="44"/>
        <v>2</v>
      </c>
      <c r="CT232" s="4">
        <f t="shared" si="45"/>
        <v>174.83333333333334</v>
      </c>
      <c r="CU232" s="4">
        <f t="shared" si="46"/>
        <v>3.2208641975308647</v>
      </c>
      <c r="CV232" s="4">
        <v>3</v>
      </c>
    </row>
    <row r="233" spans="1:100" x14ac:dyDescent="0.3">
      <c r="A233" s="15" t="s">
        <v>472</v>
      </c>
      <c r="B233" s="17">
        <v>0</v>
      </c>
      <c r="C233">
        <v>47</v>
      </c>
      <c r="D233">
        <v>2</v>
      </c>
      <c r="E233">
        <v>2</v>
      </c>
      <c r="F233">
        <v>1</v>
      </c>
      <c r="G233">
        <v>2</v>
      </c>
      <c r="H233">
        <v>0</v>
      </c>
      <c r="I233">
        <v>1</v>
      </c>
      <c r="J233">
        <v>63.3</v>
      </c>
      <c r="K233" s="4">
        <f t="shared" si="49"/>
        <v>1.556</v>
      </c>
      <c r="L233">
        <v>155.6</v>
      </c>
      <c r="M233" s="4">
        <f t="shared" si="48"/>
        <v>14.685599999999999</v>
      </c>
      <c r="N233" s="4">
        <v>45.4</v>
      </c>
      <c r="O233" s="4">
        <v>23.2</v>
      </c>
      <c r="P233" s="40">
        <v>1</v>
      </c>
      <c r="Q233">
        <v>92</v>
      </c>
      <c r="R233" s="37">
        <v>1</v>
      </c>
      <c r="S233">
        <v>97</v>
      </c>
      <c r="T233" s="5">
        <f t="shared" si="47"/>
        <v>0.94845360824742264</v>
      </c>
      <c r="U233" s="37">
        <v>1</v>
      </c>
      <c r="V233" s="4">
        <f t="shared" si="39"/>
        <v>26.144751885065521</v>
      </c>
      <c r="W233" s="39">
        <v>1</v>
      </c>
      <c r="X233">
        <v>12</v>
      </c>
      <c r="Y233" s="37">
        <v>1</v>
      </c>
      <c r="AA233" s="23"/>
      <c r="AB233" s="84"/>
      <c r="AC233" s="5">
        <v>5.1711799999999997</v>
      </c>
      <c r="AD233" s="37">
        <v>0</v>
      </c>
      <c r="AE233" s="5">
        <v>3.3660899999999998</v>
      </c>
      <c r="AF233" s="5">
        <v>6.3502799999999997</v>
      </c>
      <c r="AG233" s="37">
        <v>1</v>
      </c>
      <c r="AH233" s="5">
        <v>1.0541100000000001</v>
      </c>
      <c r="AI233" s="37">
        <v>0</v>
      </c>
      <c r="AJ233" s="5">
        <v>4.7433699999999996</v>
      </c>
      <c r="AK233" s="37">
        <v>1</v>
      </c>
      <c r="AL233" s="5">
        <v>1.1277699999999999</v>
      </c>
      <c r="AM233" s="37">
        <v>0</v>
      </c>
      <c r="AN233" s="4">
        <f t="shared" si="41"/>
        <v>5.6308289810865695</v>
      </c>
      <c r="AO233" s="37">
        <v>1</v>
      </c>
      <c r="AP233">
        <v>142</v>
      </c>
      <c r="AQ233" s="37">
        <v>1</v>
      </c>
      <c r="AR233">
        <v>92</v>
      </c>
      <c r="AS233" s="37">
        <v>1</v>
      </c>
      <c r="AT233">
        <v>84</v>
      </c>
      <c r="AU233">
        <v>49</v>
      </c>
      <c r="AV233">
        <v>7.4</v>
      </c>
      <c r="AW233" s="37">
        <v>1</v>
      </c>
      <c r="AX233">
        <v>1893</v>
      </c>
      <c r="AY233">
        <v>50</v>
      </c>
      <c r="AZ233">
        <v>37.5</v>
      </c>
      <c r="BA233">
        <v>360.6</v>
      </c>
      <c r="BB233">
        <v>9.6999999999999993</v>
      </c>
      <c r="BC233">
        <v>345.1</v>
      </c>
      <c r="BD233">
        <v>9</v>
      </c>
      <c r="BE233">
        <v>3.4</v>
      </c>
      <c r="BF233">
        <v>220</v>
      </c>
      <c r="BG233">
        <v>17.8</v>
      </c>
      <c r="BH233">
        <v>10.6</v>
      </c>
      <c r="BI233">
        <v>71.400000000000006</v>
      </c>
      <c r="BJ233">
        <v>12.4</v>
      </c>
      <c r="BK233">
        <v>0.7</v>
      </c>
      <c r="BL233">
        <v>26.1</v>
      </c>
      <c r="BM233">
        <v>5</v>
      </c>
      <c r="BN233">
        <v>2.6</v>
      </c>
      <c r="BO233">
        <v>2.42</v>
      </c>
      <c r="BP233">
        <v>0.12</v>
      </c>
      <c r="BQ233">
        <v>0</v>
      </c>
      <c r="BR233">
        <v>264</v>
      </c>
      <c r="BS233">
        <v>149.80000000000001</v>
      </c>
      <c r="BT233">
        <v>2791</v>
      </c>
      <c r="BU233">
        <v>1322</v>
      </c>
      <c r="BV233">
        <v>10.57</v>
      </c>
      <c r="BW233">
        <v>7.54</v>
      </c>
      <c r="BX233">
        <v>1.28</v>
      </c>
      <c r="BY233">
        <v>62.3</v>
      </c>
      <c r="BZ233">
        <v>77.3</v>
      </c>
      <c r="CA233">
        <v>0.61</v>
      </c>
      <c r="CB233">
        <v>0.6</v>
      </c>
      <c r="CC233">
        <v>20.3</v>
      </c>
      <c r="CD233">
        <v>0.96</v>
      </c>
      <c r="CE233">
        <v>1.23</v>
      </c>
      <c r="CF233">
        <v>159.1</v>
      </c>
      <c r="CG233">
        <v>11.1</v>
      </c>
      <c r="CH233">
        <v>162</v>
      </c>
      <c r="CI233">
        <v>1.24</v>
      </c>
      <c r="CJ233">
        <v>1.5</v>
      </c>
      <c r="CK233">
        <v>0</v>
      </c>
      <c r="CL233" s="42" t="str">
        <f t="shared" si="42"/>
        <v>1</v>
      </c>
      <c r="CM233">
        <v>0</v>
      </c>
      <c r="CN233" s="4">
        <v>0</v>
      </c>
      <c r="CO233">
        <v>4</v>
      </c>
      <c r="CP233" s="42" t="str">
        <f t="shared" si="43"/>
        <v>1</v>
      </c>
      <c r="CQ233" s="4">
        <v>34.333333333333336</v>
      </c>
      <c r="CR233" s="4">
        <v>0.78395061728395055</v>
      </c>
      <c r="CS233" s="43" t="str">
        <f t="shared" si="44"/>
        <v>1</v>
      </c>
      <c r="CT233" s="4">
        <f t="shared" si="45"/>
        <v>34.333333333333336</v>
      </c>
      <c r="CU233" s="4">
        <f t="shared" si="46"/>
        <v>0.78395061728395055</v>
      </c>
      <c r="CV233" s="4">
        <v>1</v>
      </c>
    </row>
    <row r="234" spans="1:100" x14ac:dyDescent="0.3">
      <c r="A234" s="15" t="s">
        <v>473</v>
      </c>
      <c r="B234" s="17">
        <v>0</v>
      </c>
      <c r="C234" s="3">
        <v>29</v>
      </c>
      <c r="D234">
        <v>1</v>
      </c>
      <c r="E234">
        <v>3</v>
      </c>
      <c r="F234">
        <v>1</v>
      </c>
      <c r="G234">
        <v>0</v>
      </c>
      <c r="H234">
        <v>0</v>
      </c>
      <c r="I234">
        <v>1</v>
      </c>
      <c r="J234" s="4">
        <v>86.6</v>
      </c>
      <c r="K234" s="4">
        <f t="shared" si="49"/>
        <v>1.71</v>
      </c>
      <c r="L234">
        <v>171</v>
      </c>
      <c r="M234" s="4">
        <f t="shared" si="48"/>
        <v>25.806799999999999</v>
      </c>
      <c r="N234" s="4">
        <v>57.7</v>
      </c>
      <c r="O234" s="4">
        <v>29.8</v>
      </c>
      <c r="P234" s="40">
        <v>1</v>
      </c>
      <c r="Q234">
        <v>98.1</v>
      </c>
      <c r="R234" s="37">
        <v>1</v>
      </c>
      <c r="S234">
        <v>106.8</v>
      </c>
      <c r="T234" s="5">
        <f t="shared" si="47"/>
        <v>0.9185393258426966</v>
      </c>
      <c r="U234" s="37">
        <v>1</v>
      </c>
      <c r="V234" s="4">
        <f t="shared" si="39"/>
        <v>29.615950206901271</v>
      </c>
      <c r="W234" s="39">
        <v>1</v>
      </c>
      <c r="X234">
        <v>13</v>
      </c>
      <c r="Y234" s="37">
        <v>1</v>
      </c>
      <c r="AA234" s="23"/>
      <c r="AB234" s="84"/>
      <c r="AC234" s="5">
        <v>4.6224699999999999</v>
      </c>
      <c r="AD234" s="37">
        <v>0</v>
      </c>
      <c r="AE234" s="5">
        <v>14.836690000000001</v>
      </c>
      <c r="AF234" s="5">
        <v>6.9291099999999997</v>
      </c>
      <c r="AG234" s="37">
        <v>1</v>
      </c>
      <c r="AH234" s="5">
        <v>1.50647</v>
      </c>
      <c r="AI234" s="37">
        <v>0</v>
      </c>
      <c r="AJ234" s="5">
        <v>4.8809699999999996</v>
      </c>
      <c r="AK234" s="37">
        <v>1</v>
      </c>
      <c r="AL234" s="5">
        <v>1.36338</v>
      </c>
      <c r="AM234" s="37">
        <v>0</v>
      </c>
      <c r="AN234" s="4">
        <f t="shared" si="41"/>
        <v>5.0823028062609099</v>
      </c>
      <c r="AO234" s="37">
        <v>1</v>
      </c>
      <c r="AP234">
        <v>123</v>
      </c>
      <c r="AQ234" s="38">
        <v>0</v>
      </c>
      <c r="AR234">
        <v>72</v>
      </c>
      <c r="AS234" s="37">
        <v>0</v>
      </c>
      <c r="AT234">
        <v>73</v>
      </c>
      <c r="AU234">
        <v>51</v>
      </c>
      <c r="AV234">
        <v>5.5</v>
      </c>
      <c r="AW234" s="37">
        <v>1</v>
      </c>
      <c r="AX234">
        <v>1114</v>
      </c>
      <c r="AY234">
        <v>46.9</v>
      </c>
      <c r="AZ234">
        <v>60.2</v>
      </c>
      <c r="BA234">
        <v>102.4</v>
      </c>
      <c r="BB234">
        <v>8.3000000000000007</v>
      </c>
      <c r="BC234">
        <v>67.900000000000006</v>
      </c>
      <c r="BD234">
        <v>18.5</v>
      </c>
      <c r="BE234">
        <v>0.7</v>
      </c>
      <c r="BF234">
        <v>106.5</v>
      </c>
      <c r="BG234">
        <v>48.6</v>
      </c>
      <c r="BH234">
        <v>16.8</v>
      </c>
      <c r="BI234">
        <v>34.5</v>
      </c>
      <c r="BJ234">
        <v>29.3</v>
      </c>
      <c r="BK234">
        <v>0.2</v>
      </c>
      <c r="BL234">
        <v>36.200000000000003</v>
      </c>
      <c r="BM234">
        <v>8.5</v>
      </c>
      <c r="BN234">
        <v>10</v>
      </c>
      <c r="BO234">
        <v>9.66</v>
      </c>
      <c r="BP234">
        <v>0.36</v>
      </c>
      <c r="BQ234">
        <v>0.26</v>
      </c>
      <c r="BR234">
        <v>283</v>
      </c>
      <c r="BS234">
        <v>166.4</v>
      </c>
      <c r="BT234">
        <v>2151</v>
      </c>
      <c r="BU234">
        <v>1583</v>
      </c>
      <c r="BV234">
        <v>9.07</v>
      </c>
      <c r="BW234">
        <v>5.0199999999999996</v>
      </c>
      <c r="BX234">
        <v>1.1200000000000001</v>
      </c>
      <c r="BY234">
        <v>21.4</v>
      </c>
      <c r="BZ234">
        <v>15.1</v>
      </c>
      <c r="CA234">
        <v>4.87</v>
      </c>
      <c r="CB234">
        <v>4.7</v>
      </c>
      <c r="CC234">
        <v>17.3</v>
      </c>
      <c r="CD234">
        <v>0.88</v>
      </c>
      <c r="CE234">
        <v>0.72</v>
      </c>
      <c r="CF234">
        <v>130.5</v>
      </c>
      <c r="CG234">
        <v>98.8</v>
      </c>
      <c r="CH234">
        <v>528</v>
      </c>
      <c r="CI234">
        <v>0.8</v>
      </c>
      <c r="CJ234">
        <v>25.6</v>
      </c>
      <c r="CK234">
        <v>1</v>
      </c>
      <c r="CL234" s="42" t="str">
        <f t="shared" si="42"/>
        <v>2</v>
      </c>
      <c r="CM234">
        <v>150</v>
      </c>
      <c r="CN234" s="4">
        <v>3</v>
      </c>
      <c r="CO234">
        <v>2</v>
      </c>
      <c r="CP234" s="42" t="str">
        <f t="shared" si="43"/>
        <v>1</v>
      </c>
      <c r="CQ234" s="4">
        <v>146.66666666666666</v>
      </c>
      <c r="CR234" s="4">
        <v>2.9135802469135808</v>
      </c>
      <c r="CS234" s="43" t="str">
        <f t="shared" si="44"/>
        <v>2</v>
      </c>
      <c r="CT234" s="4">
        <f t="shared" si="45"/>
        <v>296.66666666666663</v>
      </c>
      <c r="CU234" s="4">
        <f t="shared" si="46"/>
        <v>5.9135802469135808</v>
      </c>
      <c r="CV234" s="4">
        <v>4</v>
      </c>
    </row>
    <row r="235" spans="1:100" x14ac:dyDescent="0.3">
      <c r="A235" s="15" t="s">
        <v>474</v>
      </c>
      <c r="B235" s="17">
        <v>0</v>
      </c>
      <c r="C235">
        <v>35</v>
      </c>
      <c r="D235">
        <v>2</v>
      </c>
      <c r="E235">
        <v>2</v>
      </c>
      <c r="F235">
        <v>0</v>
      </c>
      <c r="G235">
        <v>0</v>
      </c>
      <c r="H235">
        <v>1</v>
      </c>
      <c r="I235">
        <v>0</v>
      </c>
      <c r="J235" s="4">
        <v>71.2</v>
      </c>
      <c r="K235" s="4">
        <f t="shared" si="49"/>
        <v>1.68</v>
      </c>
      <c r="L235">
        <v>168</v>
      </c>
      <c r="M235" s="4">
        <f t="shared" si="48"/>
        <v>17.942399999999999</v>
      </c>
      <c r="N235" s="4">
        <v>50.5</v>
      </c>
      <c r="O235">
        <v>25.2</v>
      </c>
      <c r="P235" s="40">
        <v>1</v>
      </c>
      <c r="Q235">
        <v>93.8</v>
      </c>
      <c r="R235" s="37">
        <v>1</v>
      </c>
      <c r="S235">
        <v>94.2</v>
      </c>
      <c r="T235" s="5">
        <f t="shared" si="47"/>
        <v>0.99575371549893832</v>
      </c>
      <c r="U235" s="37">
        <v>1</v>
      </c>
      <c r="V235" s="4">
        <f t="shared" si="39"/>
        <v>25.226757369614518</v>
      </c>
      <c r="W235" s="39">
        <v>1</v>
      </c>
      <c r="X235">
        <v>11</v>
      </c>
      <c r="Y235" s="37">
        <v>1</v>
      </c>
      <c r="Z235">
        <v>10.71</v>
      </c>
      <c r="AA235" s="23">
        <f t="shared" si="40"/>
        <v>2.0792298800000002</v>
      </c>
      <c r="AB235" s="84">
        <v>0</v>
      </c>
      <c r="AC235" s="5">
        <v>4.3681299999999998</v>
      </c>
      <c r="AD235" s="37">
        <v>0</v>
      </c>
      <c r="AE235" s="5">
        <v>8.8665000000000003</v>
      </c>
      <c r="AF235" s="5">
        <v>5.3770300000000004</v>
      </c>
      <c r="AG235" s="37">
        <v>1</v>
      </c>
      <c r="AH235" s="5">
        <v>1.97105</v>
      </c>
      <c r="AI235" s="37">
        <v>1</v>
      </c>
      <c r="AJ235" s="5">
        <v>3.5631300000000001</v>
      </c>
      <c r="AK235" s="37">
        <v>1</v>
      </c>
      <c r="AL235" s="5">
        <v>0.91798000000000002</v>
      </c>
      <c r="AM235" s="37">
        <v>1</v>
      </c>
      <c r="AN235" s="4">
        <f t="shared" si="41"/>
        <v>5.857458768164884</v>
      </c>
      <c r="AO235" s="37">
        <v>1</v>
      </c>
      <c r="AP235">
        <v>151</v>
      </c>
      <c r="AQ235" s="37">
        <v>1</v>
      </c>
      <c r="AR235">
        <v>88</v>
      </c>
      <c r="AS235" s="37">
        <v>1</v>
      </c>
      <c r="AT235">
        <v>78</v>
      </c>
      <c r="AU235">
        <v>63</v>
      </c>
      <c r="AV235">
        <v>6.8</v>
      </c>
      <c r="AW235" s="37">
        <v>0</v>
      </c>
      <c r="AX235">
        <v>1700</v>
      </c>
      <c r="AY235">
        <v>55.7</v>
      </c>
      <c r="AZ235">
        <v>55.6</v>
      </c>
      <c r="BA235">
        <v>260.3</v>
      </c>
      <c r="BB235">
        <v>12.3</v>
      </c>
      <c r="BC235">
        <v>228.2</v>
      </c>
      <c r="BD235">
        <v>24.3</v>
      </c>
      <c r="BE235">
        <v>15.6</v>
      </c>
      <c r="BF235">
        <v>132</v>
      </c>
      <c r="BG235">
        <v>29.4</v>
      </c>
      <c r="BH235">
        <v>13.1</v>
      </c>
      <c r="BI235">
        <v>57.4</v>
      </c>
      <c r="BJ235">
        <v>19.3</v>
      </c>
      <c r="BK235">
        <v>3.4</v>
      </c>
      <c r="BL235">
        <v>36.4</v>
      </c>
      <c r="BM235">
        <v>5.0999999999999996</v>
      </c>
      <c r="BN235">
        <v>2.6</v>
      </c>
      <c r="BO235">
        <v>1.87</v>
      </c>
      <c r="BP235">
        <v>0.51</v>
      </c>
      <c r="BQ235">
        <v>0</v>
      </c>
      <c r="BR235">
        <v>161</v>
      </c>
      <c r="BS235">
        <v>130.80000000000001</v>
      </c>
      <c r="BT235">
        <v>3033</v>
      </c>
      <c r="BU235">
        <v>1273</v>
      </c>
      <c r="BV235">
        <v>6.55</v>
      </c>
      <c r="BW235">
        <v>3.34</v>
      </c>
      <c r="BX235">
        <v>0.84</v>
      </c>
      <c r="BY235">
        <v>40</v>
      </c>
      <c r="BZ235">
        <v>27.2</v>
      </c>
      <c r="CA235">
        <v>1.69</v>
      </c>
      <c r="CB235">
        <v>2.62</v>
      </c>
      <c r="CC235">
        <v>11.4</v>
      </c>
      <c r="CD235">
        <v>0.69</v>
      </c>
      <c r="CE235">
        <v>3.79</v>
      </c>
      <c r="CF235">
        <v>130.1</v>
      </c>
      <c r="CG235">
        <v>23.9</v>
      </c>
      <c r="CH235">
        <v>457</v>
      </c>
      <c r="CI235">
        <v>3.43</v>
      </c>
      <c r="CJ235">
        <v>1.9</v>
      </c>
      <c r="CK235">
        <v>0</v>
      </c>
      <c r="CL235" s="42" t="str">
        <f t="shared" si="42"/>
        <v>1</v>
      </c>
      <c r="CM235">
        <v>0</v>
      </c>
      <c r="CN235" s="4">
        <v>0</v>
      </c>
      <c r="CO235">
        <v>1</v>
      </c>
      <c r="CP235" s="42" t="str">
        <f t="shared" si="43"/>
        <v>1</v>
      </c>
      <c r="CQ235" s="4">
        <v>20</v>
      </c>
      <c r="CR235" s="4">
        <v>0</v>
      </c>
      <c r="CS235" s="43" t="str">
        <f t="shared" si="44"/>
        <v>1</v>
      </c>
      <c r="CT235" s="4">
        <f t="shared" si="45"/>
        <v>20</v>
      </c>
      <c r="CU235" s="4">
        <f t="shared" si="46"/>
        <v>0</v>
      </c>
      <c r="CV235" s="4">
        <v>1</v>
      </c>
    </row>
    <row r="236" spans="1:100" x14ac:dyDescent="0.3">
      <c r="A236" s="15" t="s">
        <v>475</v>
      </c>
      <c r="B236" s="17">
        <v>0</v>
      </c>
      <c r="C236" s="3">
        <v>52</v>
      </c>
      <c r="D236">
        <v>2</v>
      </c>
      <c r="E236">
        <v>1</v>
      </c>
      <c r="F236">
        <v>1</v>
      </c>
      <c r="G236">
        <v>2</v>
      </c>
      <c r="H236">
        <v>2</v>
      </c>
      <c r="I236">
        <v>1</v>
      </c>
      <c r="J236" s="4">
        <v>61.7</v>
      </c>
      <c r="K236" s="4">
        <v>1.64</v>
      </c>
      <c r="L236">
        <v>160</v>
      </c>
      <c r="M236" s="4">
        <f t="shared" si="48"/>
        <v>12.216600000000001</v>
      </c>
      <c r="N236" s="4">
        <v>46.9</v>
      </c>
      <c r="O236" s="4">
        <v>19.8</v>
      </c>
      <c r="P236" s="40">
        <v>0</v>
      </c>
      <c r="Q236">
        <v>88.2</v>
      </c>
      <c r="R236" s="37">
        <v>0</v>
      </c>
      <c r="S236">
        <v>90.2</v>
      </c>
      <c r="T236" s="5">
        <v>0.98</v>
      </c>
      <c r="U236" s="37">
        <v>1</v>
      </c>
      <c r="V236" s="4">
        <f t="shared" si="39"/>
        <v>22.940214158239147</v>
      </c>
      <c r="W236" s="39">
        <v>0</v>
      </c>
      <c r="X236">
        <v>11</v>
      </c>
      <c r="Y236" s="37">
        <v>1</v>
      </c>
      <c r="AA236" s="23"/>
      <c r="AB236" s="84"/>
      <c r="AC236" s="5">
        <v>5.14107</v>
      </c>
      <c r="AD236" s="37">
        <v>0</v>
      </c>
      <c r="AE236" s="5">
        <v>15.35549</v>
      </c>
      <c r="AF236" s="5">
        <v>5.6878399999999996</v>
      </c>
      <c r="AG236" s="37">
        <v>1</v>
      </c>
      <c r="AH236" s="5">
        <v>0.90961000000000003</v>
      </c>
      <c r="AI236" s="37">
        <v>0</v>
      </c>
      <c r="AJ236" s="5">
        <v>4.0937299999999999</v>
      </c>
      <c r="AK236" s="37">
        <v>1</v>
      </c>
      <c r="AL236" s="5">
        <v>1.18065</v>
      </c>
      <c r="AM236" s="37">
        <v>0</v>
      </c>
      <c r="AN236" s="4">
        <f t="shared" si="41"/>
        <v>4.817549654851141</v>
      </c>
      <c r="AO236" s="37">
        <v>1</v>
      </c>
      <c r="AP236">
        <v>123</v>
      </c>
      <c r="AQ236" s="38">
        <v>0</v>
      </c>
      <c r="AR236">
        <v>85</v>
      </c>
      <c r="AS236" s="37">
        <v>1</v>
      </c>
      <c r="AT236">
        <v>84</v>
      </c>
      <c r="AU236">
        <v>39</v>
      </c>
      <c r="AV236">
        <v>7.4</v>
      </c>
      <c r="AW236" s="37">
        <v>1</v>
      </c>
      <c r="AX236">
        <v>1971</v>
      </c>
      <c r="AY236">
        <v>62</v>
      </c>
      <c r="AZ236">
        <v>53.1</v>
      </c>
      <c r="BA236">
        <v>325.8</v>
      </c>
      <c r="BB236">
        <v>4.3</v>
      </c>
      <c r="BC236">
        <v>199.4</v>
      </c>
      <c r="BD236">
        <v>91.2</v>
      </c>
      <c r="BE236">
        <v>31.9</v>
      </c>
      <c r="BF236">
        <v>169.4</v>
      </c>
      <c r="BG236">
        <v>24.3</v>
      </c>
      <c r="BH236">
        <v>12.6</v>
      </c>
      <c r="BI236">
        <v>62</v>
      </c>
      <c r="BJ236">
        <v>16.399999999999999</v>
      </c>
      <c r="BK236">
        <v>6.1</v>
      </c>
      <c r="BL236">
        <v>35.799999999999997</v>
      </c>
      <c r="BM236">
        <v>7.9</v>
      </c>
      <c r="BN236">
        <v>4</v>
      </c>
      <c r="BO236">
        <v>1.92</v>
      </c>
      <c r="BP236">
        <v>0.37</v>
      </c>
      <c r="BQ236">
        <v>0</v>
      </c>
      <c r="BR236">
        <v>528</v>
      </c>
      <c r="BS236">
        <v>243.7</v>
      </c>
      <c r="BT236">
        <v>3704</v>
      </c>
      <c r="BU236">
        <v>2328</v>
      </c>
      <c r="BV236">
        <v>8.32</v>
      </c>
      <c r="BW236">
        <v>6.56</v>
      </c>
      <c r="BX236">
        <v>0.91</v>
      </c>
      <c r="BY236">
        <v>42.2</v>
      </c>
      <c r="BZ236">
        <v>32.5</v>
      </c>
      <c r="CA236">
        <v>1.02</v>
      </c>
      <c r="CB236">
        <v>1.36</v>
      </c>
      <c r="CC236">
        <v>20.7</v>
      </c>
      <c r="CD236">
        <v>1.22</v>
      </c>
      <c r="CE236">
        <v>2.54</v>
      </c>
      <c r="CF236">
        <v>214.4</v>
      </c>
      <c r="CG236">
        <v>31.4</v>
      </c>
      <c r="CH236">
        <v>573</v>
      </c>
      <c r="CI236">
        <v>10.09</v>
      </c>
      <c r="CJ236">
        <v>2</v>
      </c>
      <c r="CK236">
        <v>1</v>
      </c>
      <c r="CL236" s="42" t="str">
        <f t="shared" si="42"/>
        <v>1</v>
      </c>
      <c r="CM236" s="4">
        <v>44.666666666666664</v>
      </c>
      <c r="CN236" s="4">
        <v>0.89333333333333331</v>
      </c>
      <c r="CO236">
        <v>2</v>
      </c>
      <c r="CP236" s="42" t="str">
        <f t="shared" si="43"/>
        <v>1</v>
      </c>
      <c r="CQ236" s="4">
        <v>46.666666666666664</v>
      </c>
      <c r="CR236" s="4">
        <v>0.86419753086419748</v>
      </c>
      <c r="CS236" s="43" t="str">
        <f t="shared" si="44"/>
        <v>1</v>
      </c>
      <c r="CT236" s="4">
        <f t="shared" si="45"/>
        <v>91.333333333333329</v>
      </c>
      <c r="CU236" s="4">
        <f t="shared" si="46"/>
        <v>1.7575308641975309</v>
      </c>
      <c r="CV236" s="4">
        <v>1</v>
      </c>
    </row>
    <row r="237" spans="1:100" x14ac:dyDescent="0.3">
      <c r="A237" s="15" t="s">
        <v>476</v>
      </c>
      <c r="B237" s="17">
        <v>0</v>
      </c>
      <c r="C237" s="3">
        <v>48</v>
      </c>
      <c r="D237">
        <v>2</v>
      </c>
      <c r="E237">
        <v>1</v>
      </c>
      <c r="F237">
        <v>2</v>
      </c>
      <c r="G237">
        <v>1</v>
      </c>
      <c r="H237">
        <v>0</v>
      </c>
      <c r="I237">
        <v>0</v>
      </c>
      <c r="J237" s="4">
        <v>61.5</v>
      </c>
      <c r="K237" s="4">
        <f>L237/100</f>
        <v>1.67</v>
      </c>
      <c r="L237">
        <v>167</v>
      </c>
      <c r="M237" s="4">
        <f t="shared" si="48"/>
        <v>13.099500000000001</v>
      </c>
      <c r="N237" s="4">
        <v>45.9</v>
      </c>
      <c r="O237" s="4">
        <v>21.3</v>
      </c>
      <c r="P237" s="40">
        <v>0</v>
      </c>
      <c r="Q237">
        <v>90.6</v>
      </c>
      <c r="R237" s="37">
        <v>1</v>
      </c>
      <c r="S237">
        <v>91.8</v>
      </c>
      <c r="T237" s="5">
        <f t="shared" si="47"/>
        <v>0.98692810457516333</v>
      </c>
      <c r="U237" s="37">
        <v>1</v>
      </c>
      <c r="V237" s="4">
        <f t="shared" si="39"/>
        <v>22.051704973286959</v>
      </c>
      <c r="W237" s="39">
        <v>0</v>
      </c>
      <c r="X237">
        <v>10</v>
      </c>
      <c r="Y237" s="37">
        <v>1</v>
      </c>
      <c r="Z237">
        <v>6.51</v>
      </c>
      <c r="AA237" s="23">
        <f t="shared" si="40"/>
        <v>1.2991066666666666</v>
      </c>
      <c r="AB237" s="84">
        <v>0</v>
      </c>
      <c r="AC237" s="5">
        <v>4.49</v>
      </c>
      <c r="AD237" s="37">
        <v>0</v>
      </c>
      <c r="AE237">
        <v>34.39</v>
      </c>
      <c r="AF237" s="5">
        <v>5.32</v>
      </c>
      <c r="AG237" s="37">
        <v>1</v>
      </c>
      <c r="AH237" s="5">
        <v>0.77</v>
      </c>
      <c r="AI237" s="37">
        <v>0</v>
      </c>
      <c r="AJ237" s="5">
        <v>3.78</v>
      </c>
      <c r="AK237" s="37">
        <v>1</v>
      </c>
      <c r="AL237" s="5">
        <v>1.19</v>
      </c>
      <c r="AM237" s="37">
        <v>0</v>
      </c>
      <c r="AN237" s="4">
        <f t="shared" si="41"/>
        <v>4.4705882352941178</v>
      </c>
      <c r="AO237" s="37">
        <v>1</v>
      </c>
      <c r="AP237">
        <v>133</v>
      </c>
      <c r="AQ237" s="37">
        <v>1</v>
      </c>
      <c r="AR237">
        <v>81</v>
      </c>
      <c r="AS237" s="37">
        <v>0</v>
      </c>
      <c r="AT237">
        <v>70</v>
      </c>
      <c r="AU237">
        <v>52</v>
      </c>
      <c r="AV237">
        <v>7.3</v>
      </c>
      <c r="AW237" s="37">
        <v>1</v>
      </c>
      <c r="AX237">
        <v>2268</v>
      </c>
      <c r="AY237">
        <v>60.1</v>
      </c>
      <c r="AZ237">
        <v>46.4</v>
      </c>
      <c r="BA237">
        <v>427.6</v>
      </c>
      <c r="BB237">
        <v>6.6</v>
      </c>
      <c r="BC237">
        <v>347.9</v>
      </c>
      <c r="BD237">
        <v>48.2</v>
      </c>
      <c r="BE237">
        <v>41.7</v>
      </c>
      <c r="BF237">
        <v>166</v>
      </c>
      <c r="BG237">
        <v>18.399999999999999</v>
      </c>
      <c r="BH237">
        <v>10.6</v>
      </c>
      <c r="BI237">
        <v>70.7</v>
      </c>
      <c r="BJ237">
        <v>11.8</v>
      </c>
      <c r="BK237">
        <v>6.9</v>
      </c>
      <c r="BL237">
        <v>40</v>
      </c>
      <c r="BM237">
        <v>8.5</v>
      </c>
      <c r="BN237">
        <v>2.7</v>
      </c>
      <c r="BO237">
        <v>2.04</v>
      </c>
      <c r="BP237">
        <v>0.4</v>
      </c>
      <c r="BQ237">
        <v>0.05</v>
      </c>
      <c r="BR237">
        <v>344</v>
      </c>
      <c r="BS237">
        <v>205.7</v>
      </c>
      <c r="BT237">
        <v>3195</v>
      </c>
      <c r="BU237">
        <v>1947</v>
      </c>
      <c r="BV237">
        <v>12.24</v>
      </c>
      <c r="BW237">
        <v>10.72</v>
      </c>
      <c r="BX237">
        <v>1.45</v>
      </c>
      <c r="BY237">
        <v>29.4</v>
      </c>
      <c r="BZ237">
        <v>30.2</v>
      </c>
      <c r="CA237">
        <v>0.63</v>
      </c>
      <c r="CB237">
        <v>0.53</v>
      </c>
      <c r="CC237">
        <v>18.399999999999999</v>
      </c>
      <c r="CD237">
        <v>0.61</v>
      </c>
      <c r="CE237">
        <v>1.98</v>
      </c>
      <c r="CF237">
        <v>251.8</v>
      </c>
      <c r="CG237">
        <v>16.899999999999999</v>
      </c>
      <c r="CH237">
        <v>192</v>
      </c>
      <c r="CI237">
        <v>3.44</v>
      </c>
      <c r="CJ237">
        <v>1.3</v>
      </c>
      <c r="CK237">
        <v>3</v>
      </c>
      <c r="CL237" s="42" t="str">
        <f t="shared" si="42"/>
        <v>2</v>
      </c>
      <c r="CM237" s="4">
        <v>140.66666666666666</v>
      </c>
      <c r="CN237" s="4">
        <v>2.813333333333333</v>
      </c>
      <c r="CO237">
        <v>9</v>
      </c>
      <c r="CP237" s="42" t="str">
        <f t="shared" si="43"/>
        <v>2</v>
      </c>
      <c r="CQ237" s="4">
        <v>223.66666666666666</v>
      </c>
      <c r="CR237" s="4">
        <v>3.7493827160493822</v>
      </c>
      <c r="CS237" s="43" t="str">
        <f t="shared" si="44"/>
        <v>3</v>
      </c>
      <c r="CT237" s="4">
        <f t="shared" si="45"/>
        <v>364.33333333333331</v>
      </c>
      <c r="CU237" s="4">
        <f t="shared" si="46"/>
        <v>6.5627160493827148</v>
      </c>
      <c r="CV237" s="4">
        <v>4</v>
      </c>
    </row>
    <row r="238" spans="1:100" x14ac:dyDescent="0.3">
      <c r="A238" s="16" t="s">
        <v>477</v>
      </c>
      <c r="B238" s="17">
        <v>0</v>
      </c>
      <c r="C238">
        <v>39</v>
      </c>
      <c r="D238">
        <v>3</v>
      </c>
      <c r="E238">
        <v>2</v>
      </c>
      <c r="F238">
        <v>2</v>
      </c>
      <c r="G238">
        <v>0</v>
      </c>
      <c r="H238">
        <v>1</v>
      </c>
      <c r="I238">
        <v>1</v>
      </c>
      <c r="J238" s="4">
        <v>62.8</v>
      </c>
      <c r="K238" s="4">
        <v>1.6</v>
      </c>
      <c r="L238">
        <v>161</v>
      </c>
      <c r="M238" s="4">
        <f t="shared" si="48"/>
        <v>13.941599999999999</v>
      </c>
      <c r="N238" s="4">
        <v>46.3</v>
      </c>
      <c r="O238">
        <v>22.2</v>
      </c>
      <c r="P238" s="40">
        <v>0</v>
      </c>
      <c r="Q238">
        <v>86</v>
      </c>
      <c r="R238" s="37">
        <v>0</v>
      </c>
      <c r="S238">
        <v>90.6</v>
      </c>
      <c r="T238" s="5">
        <f t="shared" si="47"/>
        <v>0.94922737306843274</v>
      </c>
      <c r="U238" s="37">
        <v>1</v>
      </c>
      <c r="V238" s="4">
        <f t="shared" si="39"/>
        <v>24.531249999999993</v>
      </c>
      <c r="W238" s="39">
        <v>1</v>
      </c>
      <c r="X238">
        <v>9</v>
      </c>
      <c r="Y238" s="40">
        <v>0</v>
      </c>
      <c r="Z238">
        <v>7.53</v>
      </c>
      <c r="AA238" s="23">
        <f t="shared" si="40"/>
        <v>2.2456133333333335</v>
      </c>
      <c r="AB238" s="84">
        <v>0</v>
      </c>
      <c r="AC238" s="5">
        <v>6.71</v>
      </c>
      <c r="AD238" s="37">
        <v>1</v>
      </c>
      <c r="AE238">
        <v>49.4</v>
      </c>
      <c r="AF238" s="5">
        <v>4.7</v>
      </c>
      <c r="AG238" s="37">
        <v>0</v>
      </c>
      <c r="AH238" s="5">
        <v>0.84</v>
      </c>
      <c r="AI238" s="37">
        <v>0</v>
      </c>
      <c r="AJ238" s="5">
        <v>3.12</v>
      </c>
      <c r="AK238" s="37">
        <v>0</v>
      </c>
      <c r="AL238" s="5">
        <v>1.2</v>
      </c>
      <c r="AM238" s="37">
        <v>0</v>
      </c>
      <c r="AN238" s="4">
        <f t="shared" si="41"/>
        <v>3.916666666666667</v>
      </c>
      <c r="AO238" s="37">
        <v>0</v>
      </c>
      <c r="AP238">
        <v>124</v>
      </c>
      <c r="AQ238" s="38">
        <v>0</v>
      </c>
      <c r="AR238">
        <v>86</v>
      </c>
      <c r="AS238" s="37">
        <v>1</v>
      </c>
      <c r="AT238">
        <v>84</v>
      </c>
      <c r="AU238">
        <v>38</v>
      </c>
      <c r="AV238">
        <v>6.1</v>
      </c>
      <c r="AW238" s="37">
        <v>1</v>
      </c>
      <c r="AX238">
        <v>1871</v>
      </c>
      <c r="AY238">
        <v>54.5</v>
      </c>
      <c r="AZ238">
        <v>57.8</v>
      </c>
      <c r="BA238">
        <v>302</v>
      </c>
      <c r="BB238">
        <v>12.5</v>
      </c>
      <c r="BC238">
        <v>243.6</v>
      </c>
      <c r="BD238">
        <v>42.6</v>
      </c>
      <c r="BE238">
        <v>31.8</v>
      </c>
      <c r="BF238">
        <v>149.1</v>
      </c>
      <c r="BG238">
        <v>27.8</v>
      </c>
      <c r="BH238">
        <v>11.6</v>
      </c>
      <c r="BI238">
        <v>60.5</v>
      </c>
      <c r="BJ238">
        <v>18.899999999999999</v>
      </c>
      <c r="BK238">
        <v>6.4</v>
      </c>
      <c r="BL238" s="9">
        <v>39.299999999999997</v>
      </c>
      <c r="BM238" s="9">
        <v>6.2</v>
      </c>
      <c r="BN238" s="9">
        <v>2.7</v>
      </c>
      <c r="BO238" s="9">
        <v>2.23</v>
      </c>
      <c r="BP238" s="9">
        <v>0.31</v>
      </c>
      <c r="BQ238" s="9">
        <v>0</v>
      </c>
      <c r="BR238">
        <v>420</v>
      </c>
      <c r="BS238">
        <v>195.6</v>
      </c>
      <c r="BT238">
        <v>4002</v>
      </c>
      <c r="BU238">
        <v>1656</v>
      </c>
      <c r="BV238">
        <v>12.52</v>
      </c>
      <c r="BW238">
        <v>4.6100000000000003</v>
      </c>
      <c r="BX238">
        <v>1.21</v>
      </c>
      <c r="BY238">
        <v>56.3</v>
      </c>
      <c r="BZ238">
        <v>36</v>
      </c>
      <c r="CA238">
        <v>10.54</v>
      </c>
      <c r="CB238">
        <v>9.9499999999999993</v>
      </c>
      <c r="CC238">
        <v>16.399999999999999</v>
      </c>
      <c r="CD238">
        <v>0.81</v>
      </c>
      <c r="CE238">
        <v>2.0299999999999998</v>
      </c>
      <c r="CF238">
        <v>166.3</v>
      </c>
      <c r="CG238">
        <v>15.8</v>
      </c>
      <c r="CH238">
        <v>276</v>
      </c>
      <c r="CI238">
        <v>3.55</v>
      </c>
      <c r="CJ238">
        <v>41.7</v>
      </c>
      <c r="CK238">
        <v>1</v>
      </c>
      <c r="CL238" s="42" t="str">
        <f t="shared" si="42"/>
        <v>1</v>
      </c>
      <c r="CM238">
        <v>12</v>
      </c>
      <c r="CN238" s="4">
        <v>0.24</v>
      </c>
      <c r="CO238">
        <v>4</v>
      </c>
      <c r="CP238" s="42" t="str">
        <f t="shared" si="43"/>
        <v>2</v>
      </c>
      <c r="CQ238" s="4">
        <v>174.66666666666666</v>
      </c>
      <c r="CR238" s="4">
        <v>0.86172839506172827</v>
      </c>
      <c r="CS238" s="43" t="str">
        <f t="shared" si="44"/>
        <v>2</v>
      </c>
      <c r="CT238" s="4">
        <f t="shared" si="45"/>
        <v>186.66666666666666</v>
      </c>
      <c r="CU238" s="4">
        <f t="shared" si="46"/>
        <v>1.1017283950617283</v>
      </c>
      <c r="CV238" s="4">
        <v>1</v>
      </c>
    </row>
    <row r="239" spans="1:100" x14ac:dyDescent="0.3">
      <c r="A239" s="16" t="s">
        <v>478</v>
      </c>
      <c r="B239" s="17">
        <v>0</v>
      </c>
      <c r="C239">
        <v>55</v>
      </c>
      <c r="D239">
        <v>4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66.5</v>
      </c>
      <c r="K239" s="4">
        <v>1.6</v>
      </c>
      <c r="L239">
        <v>162.6</v>
      </c>
      <c r="M239" s="4">
        <f t="shared" si="48"/>
        <v>15.6275</v>
      </c>
      <c r="N239" s="4">
        <v>48.2</v>
      </c>
      <c r="O239">
        <v>23.5</v>
      </c>
      <c r="P239" s="40">
        <v>1</v>
      </c>
      <c r="Q239">
        <v>88.5</v>
      </c>
      <c r="R239" s="37">
        <v>0</v>
      </c>
      <c r="S239">
        <v>93.2</v>
      </c>
      <c r="T239" s="5">
        <f t="shared" si="47"/>
        <v>0.9495708154506437</v>
      </c>
      <c r="U239" s="37">
        <v>1</v>
      </c>
      <c r="V239" s="4">
        <f t="shared" si="39"/>
        <v>25.976562499999996</v>
      </c>
      <c r="W239" s="39">
        <v>1</v>
      </c>
      <c r="X239">
        <v>12</v>
      </c>
      <c r="Y239" s="37">
        <v>1</v>
      </c>
      <c r="AA239" s="23"/>
      <c r="AB239" s="84"/>
      <c r="AC239" s="5">
        <v>4.91995</v>
      </c>
      <c r="AD239" s="37">
        <v>0</v>
      </c>
      <c r="AE239" s="5">
        <v>36.210439999999998</v>
      </c>
      <c r="AF239" s="5">
        <v>5.4974999999999996</v>
      </c>
      <c r="AG239" s="37">
        <v>1</v>
      </c>
      <c r="AH239" s="5">
        <v>1.3081400000000001</v>
      </c>
      <c r="AI239" s="37">
        <v>0</v>
      </c>
      <c r="AJ239" s="5">
        <v>4.3283899999999997</v>
      </c>
      <c r="AK239" s="37">
        <v>1</v>
      </c>
      <c r="AL239" s="5">
        <v>1.2621500000000001</v>
      </c>
      <c r="AM239" s="37">
        <v>0</v>
      </c>
      <c r="AN239" s="4">
        <f t="shared" si="41"/>
        <v>4.3556629560670279</v>
      </c>
      <c r="AO239" s="37">
        <v>1</v>
      </c>
      <c r="AP239">
        <v>140</v>
      </c>
      <c r="AQ239" s="37">
        <v>1</v>
      </c>
      <c r="AR239">
        <v>90</v>
      </c>
      <c r="AS239" s="37">
        <v>1</v>
      </c>
      <c r="AT239">
        <v>64</v>
      </c>
      <c r="AU239">
        <v>50</v>
      </c>
      <c r="AV239">
        <v>8.4</v>
      </c>
      <c r="AW239" s="37">
        <v>0</v>
      </c>
      <c r="AX239">
        <v>2551</v>
      </c>
      <c r="AY239">
        <v>64.3</v>
      </c>
      <c r="AZ239">
        <v>42.7</v>
      </c>
      <c r="BA239">
        <v>507.5</v>
      </c>
      <c r="BB239">
        <v>5.7</v>
      </c>
      <c r="BC239">
        <v>396</v>
      </c>
      <c r="BD239">
        <v>84.5</v>
      </c>
      <c r="BE239">
        <v>75</v>
      </c>
      <c r="BF239">
        <v>104.7</v>
      </c>
      <c r="BG239">
        <v>15.1</v>
      </c>
      <c r="BH239">
        <v>10.1</v>
      </c>
      <c r="BI239">
        <v>74.599999999999994</v>
      </c>
      <c r="BJ239">
        <v>10.1</v>
      </c>
      <c r="BK239">
        <v>11</v>
      </c>
      <c r="BL239">
        <v>28.7</v>
      </c>
      <c r="BM239">
        <v>5.6</v>
      </c>
      <c r="BN239">
        <v>2.2999999999999998</v>
      </c>
      <c r="BO239">
        <v>1.48</v>
      </c>
      <c r="BP239">
        <v>0.41</v>
      </c>
      <c r="BQ239">
        <v>0</v>
      </c>
      <c r="BR239">
        <v>385</v>
      </c>
      <c r="BS239">
        <v>210.5</v>
      </c>
      <c r="BT239">
        <v>3383</v>
      </c>
      <c r="BU239">
        <v>1691</v>
      </c>
      <c r="BV239">
        <v>11.94</v>
      </c>
      <c r="BW239">
        <v>8.32</v>
      </c>
      <c r="BX239">
        <v>1.51</v>
      </c>
      <c r="BY239">
        <v>33</v>
      </c>
      <c r="BZ239">
        <v>36.5</v>
      </c>
      <c r="CA239">
        <v>0.63</v>
      </c>
      <c r="CB239">
        <v>0.56000000000000005</v>
      </c>
      <c r="CC239">
        <v>21.4</v>
      </c>
      <c r="CD239">
        <v>0.72</v>
      </c>
      <c r="CE239">
        <v>2.74</v>
      </c>
      <c r="CF239">
        <v>190.5</v>
      </c>
      <c r="CG239">
        <v>8.9</v>
      </c>
      <c r="CH239">
        <v>168</v>
      </c>
      <c r="CI239">
        <v>1.8</v>
      </c>
      <c r="CJ239">
        <v>1.1000000000000001</v>
      </c>
      <c r="CK239">
        <v>1</v>
      </c>
      <c r="CL239" s="42" t="str">
        <f t="shared" si="42"/>
        <v>1</v>
      </c>
      <c r="CM239" s="4">
        <v>27.333333333333332</v>
      </c>
      <c r="CN239" s="4">
        <v>0.54666666666666663</v>
      </c>
      <c r="CO239">
        <v>3</v>
      </c>
      <c r="CP239" s="42" t="str">
        <f t="shared" si="43"/>
        <v>1</v>
      </c>
      <c r="CQ239" s="4">
        <v>49.333333333333336</v>
      </c>
      <c r="CR239" s="4">
        <v>1.2197530864197532</v>
      </c>
      <c r="CS239" s="43" t="str">
        <f t="shared" si="44"/>
        <v>1</v>
      </c>
      <c r="CT239" s="4">
        <f t="shared" si="45"/>
        <v>76.666666666666671</v>
      </c>
      <c r="CU239" s="4">
        <f t="shared" si="46"/>
        <v>1.7664197530864199</v>
      </c>
      <c r="CV239" s="4">
        <v>1</v>
      </c>
    </row>
    <row r="240" spans="1:100" x14ac:dyDescent="0.3">
      <c r="A240" s="16" t="s">
        <v>479</v>
      </c>
      <c r="B240" s="17">
        <v>0</v>
      </c>
      <c r="C240">
        <v>34</v>
      </c>
      <c r="D240">
        <v>2</v>
      </c>
      <c r="E240">
        <v>1</v>
      </c>
      <c r="F240">
        <v>2</v>
      </c>
      <c r="G240">
        <v>0</v>
      </c>
      <c r="H240">
        <v>1</v>
      </c>
      <c r="I240">
        <v>1</v>
      </c>
      <c r="J240">
        <v>63.9</v>
      </c>
      <c r="K240" s="4">
        <v>1.6</v>
      </c>
      <c r="L240">
        <v>161</v>
      </c>
      <c r="M240" s="4">
        <f t="shared" si="48"/>
        <v>13.3551</v>
      </c>
      <c r="N240" s="4">
        <v>47.8</v>
      </c>
      <c r="O240" s="4">
        <v>20.9</v>
      </c>
      <c r="P240" s="40">
        <v>0</v>
      </c>
      <c r="Q240">
        <v>81.599999999999994</v>
      </c>
      <c r="R240" s="37">
        <v>0</v>
      </c>
      <c r="S240">
        <v>91.3</v>
      </c>
      <c r="T240" s="5">
        <f t="shared" si="47"/>
        <v>0.89375684556407442</v>
      </c>
      <c r="U240" s="37">
        <v>0</v>
      </c>
      <c r="V240" s="4">
        <f t="shared" si="39"/>
        <v>24.960937499999993</v>
      </c>
      <c r="W240" s="39">
        <v>1</v>
      </c>
      <c r="X240">
        <v>9</v>
      </c>
      <c r="Y240" s="40">
        <v>0</v>
      </c>
      <c r="AA240" s="23"/>
      <c r="AB240" s="84"/>
      <c r="AC240" s="5">
        <v>5.0413500000000004</v>
      </c>
      <c r="AD240" s="37">
        <v>0</v>
      </c>
      <c r="AE240" s="5">
        <v>27.504919999999998</v>
      </c>
      <c r="AF240" s="5">
        <v>5.9847799999999998</v>
      </c>
      <c r="AG240" s="37">
        <v>1</v>
      </c>
      <c r="AH240" s="5">
        <v>0.86731999999999998</v>
      </c>
      <c r="AI240" s="37">
        <v>0</v>
      </c>
      <c r="AJ240" s="5">
        <v>3.4887199999999998</v>
      </c>
      <c r="AK240" s="37">
        <v>1</v>
      </c>
      <c r="AL240" s="5">
        <v>1.41418</v>
      </c>
      <c r="AM240" s="37">
        <v>0</v>
      </c>
      <c r="AN240" s="4">
        <f t="shared" si="41"/>
        <v>4.2319789560027719</v>
      </c>
      <c r="AO240" s="37">
        <v>1</v>
      </c>
      <c r="AP240">
        <v>157</v>
      </c>
      <c r="AQ240" s="37">
        <v>1</v>
      </c>
      <c r="AR240">
        <v>92</v>
      </c>
      <c r="AS240" s="37">
        <v>1</v>
      </c>
      <c r="AT240">
        <v>78</v>
      </c>
      <c r="AU240">
        <v>65</v>
      </c>
      <c r="AV240">
        <v>7</v>
      </c>
      <c r="AW240" s="37">
        <v>0</v>
      </c>
      <c r="AX240">
        <v>2475</v>
      </c>
      <c r="AY240">
        <v>62.3</v>
      </c>
      <c r="AZ240">
        <v>63.2</v>
      </c>
      <c r="BA240">
        <v>439.7</v>
      </c>
      <c r="BB240">
        <v>14.9</v>
      </c>
      <c r="BC240">
        <v>301.2</v>
      </c>
      <c r="BD240">
        <v>98.7</v>
      </c>
      <c r="BE240">
        <v>73.099999999999994</v>
      </c>
      <c r="BF240">
        <v>73.900000000000006</v>
      </c>
      <c r="BG240">
        <v>23</v>
      </c>
      <c r="BH240">
        <v>10.1</v>
      </c>
      <c r="BI240">
        <v>66.599999999999994</v>
      </c>
      <c r="BJ240">
        <v>15.8</v>
      </c>
      <c r="BK240">
        <v>11.1</v>
      </c>
      <c r="BL240">
        <v>43.5</v>
      </c>
      <c r="BM240">
        <v>5.9</v>
      </c>
      <c r="BN240">
        <v>3.5</v>
      </c>
      <c r="BO240">
        <v>3.15</v>
      </c>
      <c r="BP240">
        <v>0.24</v>
      </c>
      <c r="BQ240">
        <v>0.05</v>
      </c>
      <c r="BR240">
        <v>566</v>
      </c>
      <c r="BS240">
        <v>388.6</v>
      </c>
      <c r="BT240">
        <v>4079</v>
      </c>
      <c r="BU240">
        <v>4185</v>
      </c>
      <c r="BV240">
        <v>19.43</v>
      </c>
      <c r="BW240">
        <v>8.4499999999999993</v>
      </c>
      <c r="BX240">
        <v>2.1</v>
      </c>
      <c r="BY240">
        <v>43.9</v>
      </c>
      <c r="BZ240">
        <v>46.4</v>
      </c>
      <c r="CA240">
        <v>1.1000000000000001</v>
      </c>
      <c r="CB240">
        <v>1.74</v>
      </c>
      <c r="CC240">
        <v>33.299999999999997</v>
      </c>
      <c r="CD240">
        <v>1.63</v>
      </c>
      <c r="CE240">
        <v>0.98</v>
      </c>
      <c r="CF240">
        <v>421</v>
      </c>
      <c r="CG240">
        <v>104.2</v>
      </c>
      <c r="CH240">
        <v>694</v>
      </c>
      <c r="CI240">
        <v>9.9700000000000006</v>
      </c>
      <c r="CJ240">
        <v>2.2000000000000002</v>
      </c>
      <c r="CK240" s="26"/>
      <c r="CL240" s="42" t="str">
        <f t="shared" si="42"/>
        <v>1</v>
      </c>
      <c r="CM240">
        <v>0</v>
      </c>
      <c r="CN240" s="4" t="e">
        <v>#DIV/0!</v>
      </c>
      <c r="CO240" s="26"/>
      <c r="CP240" s="42" t="str">
        <f t="shared" si="43"/>
        <v>1</v>
      </c>
      <c r="CQ240" s="4">
        <v>0</v>
      </c>
      <c r="CR240" s="4">
        <v>0</v>
      </c>
      <c r="CS240" s="43" t="str">
        <f t="shared" si="44"/>
        <v>1</v>
      </c>
      <c r="CT240" s="4">
        <f t="shared" si="45"/>
        <v>0</v>
      </c>
      <c r="CU240" s="4" t="e">
        <f t="shared" si="46"/>
        <v>#DIV/0!</v>
      </c>
    </row>
    <row r="241" spans="1:100" x14ac:dyDescent="0.3">
      <c r="A241" s="16" t="s">
        <v>452</v>
      </c>
      <c r="B241" s="17">
        <v>0</v>
      </c>
      <c r="C241">
        <v>33</v>
      </c>
      <c r="D241">
        <v>1</v>
      </c>
      <c r="E241">
        <v>3</v>
      </c>
      <c r="F241">
        <v>2</v>
      </c>
      <c r="G241">
        <v>0</v>
      </c>
      <c r="H241">
        <v>2</v>
      </c>
      <c r="I241">
        <v>1</v>
      </c>
      <c r="J241" s="4">
        <v>62.5</v>
      </c>
      <c r="K241" s="4">
        <f>L241/100</f>
        <v>1.8019999999999998</v>
      </c>
      <c r="L241">
        <v>180.2</v>
      </c>
      <c r="M241" s="4">
        <f t="shared" si="48"/>
        <v>9.0625</v>
      </c>
      <c r="N241" s="4">
        <v>50.6</v>
      </c>
      <c r="O241">
        <v>14.5</v>
      </c>
      <c r="P241" s="40">
        <v>0</v>
      </c>
      <c r="Q241">
        <v>77.3</v>
      </c>
      <c r="R241" s="37">
        <v>0</v>
      </c>
      <c r="S241">
        <v>92</v>
      </c>
      <c r="T241" s="5">
        <f t="shared" si="47"/>
        <v>0.8402173913043478</v>
      </c>
      <c r="U241" s="37">
        <v>0</v>
      </c>
      <c r="V241" s="4">
        <f t="shared" si="39"/>
        <v>19.24732785497924</v>
      </c>
      <c r="W241" s="39">
        <v>0</v>
      </c>
      <c r="X241">
        <v>4</v>
      </c>
      <c r="Y241" s="40">
        <v>0</v>
      </c>
      <c r="AA241" s="23"/>
      <c r="AB241" s="84"/>
      <c r="AC241" s="5">
        <v>4.3</v>
      </c>
      <c r="AD241" s="37">
        <v>0</v>
      </c>
      <c r="AE241">
        <v>10.97</v>
      </c>
      <c r="AF241" s="5">
        <v>5</v>
      </c>
      <c r="AG241" s="37">
        <v>1</v>
      </c>
      <c r="AH241" s="5">
        <v>0.79</v>
      </c>
      <c r="AI241" s="37">
        <v>0</v>
      </c>
      <c r="AJ241" s="5">
        <v>3.34</v>
      </c>
      <c r="AK241" s="37">
        <v>0</v>
      </c>
      <c r="AL241" s="5">
        <v>1.3</v>
      </c>
      <c r="AM241" s="37">
        <v>0</v>
      </c>
      <c r="AN241" s="4">
        <f t="shared" si="41"/>
        <v>3.8461538461538458</v>
      </c>
      <c r="AO241" s="37">
        <v>0</v>
      </c>
      <c r="AP241">
        <v>126</v>
      </c>
      <c r="AQ241" s="38">
        <v>0</v>
      </c>
      <c r="AR241">
        <v>69</v>
      </c>
      <c r="AS241" s="37">
        <v>0</v>
      </c>
      <c r="AT241">
        <v>83</v>
      </c>
      <c r="AU241">
        <v>57</v>
      </c>
      <c r="AV241">
        <v>5.7</v>
      </c>
      <c r="AW241" s="37">
        <v>1</v>
      </c>
      <c r="AX241">
        <v>1978</v>
      </c>
      <c r="AY241">
        <v>66.400000000000006</v>
      </c>
      <c r="AZ241">
        <v>42.8</v>
      </c>
      <c r="BA241">
        <v>353.1</v>
      </c>
      <c r="BB241">
        <v>8.5</v>
      </c>
      <c r="BC241">
        <v>297.10000000000002</v>
      </c>
      <c r="BD241">
        <v>36.4</v>
      </c>
      <c r="BE241">
        <v>15.8</v>
      </c>
      <c r="BF241">
        <v>93</v>
      </c>
      <c r="BG241">
        <v>19.5</v>
      </c>
      <c r="BH241">
        <v>13.4</v>
      </c>
      <c r="BI241">
        <v>66.900000000000006</v>
      </c>
      <c r="BJ241">
        <v>11.7</v>
      </c>
      <c r="BK241">
        <v>3</v>
      </c>
      <c r="BL241">
        <v>25.8</v>
      </c>
      <c r="BM241">
        <v>4.8</v>
      </c>
      <c r="BN241">
        <v>2.4</v>
      </c>
      <c r="BO241">
        <v>2.19</v>
      </c>
      <c r="BP241">
        <v>0.13</v>
      </c>
      <c r="BQ241">
        <v>0.19</v>
      </c>
      <c r="BR241">
        <v>682</v>
      </c>
      <c r="BS241">
        <v>198.2</v>
      </c>
      <c r="BT241">
        <v>3067</v>
      </c>
      <c r="BU241">
        <v>2023</v>
      </c>
      <c r="BV241">
        <v>9.64</v>
      </c>
      <c r="BW241">
        <v>7.62</v>
      </c>
      <c r="BX241">
        <v>1.25</v>
      </c>
      <c r="BY241">
        <v>58.7</v>
      </c>
      <c r="BZ241">
        <v>95.2</v>
      </c>
      <c r="CA241">
        <v>0.64</v>
      </c>
      <c r="CB241">
        <v>0.98</v>
      </c>
      <c r="CC241">
        <v>21.9</v>
      </c>
      <c r="CD241">
        <v>1.03</v>
      </c>
      <c r="CE241">
        <v>0.53</v>
      </c>
      <c r="CF241">
        <v>170.8</v>
      </c>
      <c r="CG241">
        <v>31.4</v>
      </c>
      <c r="CH241">
        <v>512</v>
      </c>
      <c r="CI241">
        <v>0.48</v>
      </c>
      <c r="CJ241">
        <v>1.1000000000000001</v>
      </c>
      <c r="CK241">
        <v>0</v>
      </c>
      <c r="CL241" s="42" t="str">
        <f t="shared" si="42"/>
        <v>1</v>
      </c>
      <c r="CM241">
        <v>0</v>
      </c>
      <c r="CN241" s="4">
        <v>0</v>
      </c>
      <c r="CO241">
        <v>4</v>
      </c>
      <c r="CP241" s="42" t="str">
        <f t="shared" si="43"/>
        <v>2</v>
      </c>
      <c r="CQ241" s="4">
        <v>176</v>
      </c>
      <c r="CR241" s="4">
        <v>0.93086419753086425</v>
      </c>
      <c r="CS241" s="43" t="str">
        <f t="shared" si="44"/>
        <v>2</v>
      </c>
      <c r="CT241" s="4">
        <f t="shared" si="45"/>
        <v>176</v>
      </c>
      <c r="CU241" s="4">
        <f t="shared" si="46"/>
        <v>0.93086419753086425</v>
      </c>
      <c r="CV241" s="4">
        <v>1</v>
      </c>
    </row>
    <row r="242" spans="1:100" x14ac:dyDescent="0.3">
      <c r="A242" s="16" t="s">
        <v>451</v>
      </c>
      <c r="B242" s="17">
        <v>0</v>
      </c>
      <c r="C242">
        <v>58</v>
      </c>
      <c r="D242">
        <v>2</v>
      </c>
      <c r="E242">
        <v>1</v>
      </c>
      <c r="F242">
        <v>2</v>
      </c>
      <c r="G242">
        <v>0</v>
      </c>
      <c r="H242">
        <v>1</v>
      </c>
      <c r="I242">
        <v>1</v>
      </c>
      <c r="J242" s="4">
        <v>61.3</v>
      </c>
      <c r="K242" s="4">
        <f>L242/100</f>
        <v>1.538</v>
      </c>
      <c r="L242">
        <v>153.80000000000001</v>
      </c>
      <c r="M242" s="4">
        <f t="shared" si="48"/>
        <v>16.796199999999999</v>
      </c>
      <c r="N242" s="4">
        <v>42.3</v>
      </c>
      <c r="O242">
        <v>27.4</v>
      </c>
      <c r="P242" s="40">
        <v>1</v>
      </c>
      <c r="Q242">
        <v>92.2</v>
      </c>
      <c r="R242" s="37">
        <v>1</v>
      </c>
      <c r="S242">
        <v>94.8</v>
      </c>
      <c r="T242" s="5">
        <f t="shared" si="47"/>
        <v>0.97257383966244737</v>
      </c>
      <c r="U242" s="37">
        <v>1</v>
      </c>
      <c r="V242" s="4">
        <f t="shared" si="39"/>
        <v>25.914796545595667</v>
      </c>
      <c r="W242" s="39">
        <v>1</v>
      </c>
      <c r="X242">
        <v>15</v>
      </c>
      <c r="Y242" s="37">
        <v>1</v>
      </c>
      <c r="AA242" s="23"/>
      <c r="AB242" s="84"/>
      <c r="AC242" s="5">
        <v>4.74</v>
      </c>
      <c r="AD242" s="37">
        <v>0</v>
      </c>
      <c r="AE242">
        <v>106.71</v>
      </c>
      <c r="AF242" s="5">
        <v>5.19</v>
      </c>
      <c r="AG242" s="37">
        <v>1</v>
      </c>
      <c r="AH242" s="5">
        <v>0.88</v>
      </c>
      <c r="AI242" s="37">
        <v>0</v>
      </c>
      <c r="AJ242" s="5">
        <v>3.42</v>
      </c>
      <c r="AK242" s="37">
        <v>1</v>
      </c>
      <c r="AL242" s="5">
        <v>1.36</v>
      </c>
      <c r="AM242" s="37">
        <v>0</v>
      </c>
      <c r="AN242" s="4">
        <f t="shared" si="41"/>
        <v>3.8161764705882355</v>
      </c>
      <c r="AO242" s="37">
        <v>0</v>
      </c>
      <c r="AP242">
        <v>109</v>
      </c>
      <c r="AQ242" s="38">
        <v>0</v>
      </c>
      <c r="AR242">
        <v>74</v>
      </c>
      <c r="AS242" s="37">
        <v>0</v>
      </c>
      <c r="AT242">
        <v>60</v>
      </c>
      <c r="AU242">
        <v>35</v>
      </c>
      <c r="AV242">
        <v>7.6</v>
      </c>
      <c r="AW242" s="37">
        <v>1</v>
      </c>
      <c r="AX242">
        <v>1726</v>
      </c>
      <c r="AY242">
        <v>39.9</v>
      </c>
      <c r="AZ242">
        <v>43</v>
      </c>
      <c r="BA242">
        <v>313.60000000000002</v>
      </c>
      <c r="BB242">
        <v>8.9</v>
      </c>
      <c r="BC242">
        <v>282.39999999999998</v>
      </c>
      <c r="BD242">
        <v>20.8</v>
      </c>
      <c r="BE242">
        <v>12.7</v>
      </c>
      <c r="BF242">
        <v>10.1</v>
      </c>
      <c r="BG242">
        <v>22.4</v>
      </c>
      <c r="BH242">
        <v>9.1999999999999993</v>
      </c>
      <c r="BI242">
        <v>68.099999999999994</v>
      </c>
      <c r="BJ242">
        <v>17.399999999999999</v>
      </c>
      <c r="BK242">
        <v>2.8</v>
      </c>
      <c r="BL242">
        <v>33.4</v>
      </c>
      <c r="BM242">
        <v>3.3</v>
      </c>
      <c r="BN242">
        <v>2</v>
      </c>
      <c r="BO242">
        <v>1.66</v>
      </c>
      <c r="BP242">
        <v>0.18</v>
      </c>
      <c r="BQ242">
        <v>0.05</v>
      </c>
      <c r="BR242">
        <v>335</v>
      </c>
      <c r="BS242">
        <v>147</v>
      </c>
      <c r="BT242">
        <v>4621</v>
      </c>
      <c r="BU242">
        <v>1426</v>
      </c>
      <c r="BV242">
        <v>8.67</v>
      </c>
      <c r="BW242">
        <v>6.14</v>
      </c>
      <c r="BX242">
        <v>1.26</v>
      </c>
      <c r="BY242">
        <v>53.4</v>
      </c>
      <c r="BZ242">
        <v>63.2</v>
      </c>
      <c r="CA242">
        <v>0.39</v>
      </c>
      <c r="CB242">
        <v>0.32</v>
      </c>
      <c r="CC242">
        <v>12.2</v>
      </c>
      <c r="CD242">
        <v>0.69</v>
      </c>
      <c r="CE242">
        <v>1.03</v>
      </c>
      <c r="CF242">
        <v>129.19999999999999</v>
      </c>
      <c r="CG242">
        <v>17.100000000000001</v>
      </c>
      <c r="CH242">
        <v>115</v>
      </c>
      <c r="CI242">
        <v>1.04</v>
      </c>
      <c r="CJ242">
        <v>1</v>
      </c>
      <c r="CK242">
        <v>0</v>
      </c>
      <c r="CL242" s="42" t="str">
        <f t="shared" si="42"/>
        <v>1</v>
      </c>
      <c r="CM242">
        <v>0</v>
      </c>
      <c r="CN242" s="4">
        <v>0</v>
      </c>
      <c r="CO242">
        <v>2</v>
      </c>
      <c r="CP242" s="42" t="str">
        <f t="shared" si="43"/>
        <v>1</v>
      </c>
      <c r="CQ242" s="4">
        <v>106</v>
      </c>
      <c r="CR242" s="4">
        <v>0.88888888888888884</v>
      </c>
      <c r="CS242" s="43" t="str">
        <f t="shared" si="44"/>
        <v>1</v>
      </c>
      <c r="CT242" s="4">
        <f t="shared" si="45"/>
        <v>106</v>
      </c>
      <c r="CU242" s="4">
        <f t="shared" si="46"/>
        <v>0.88888888888888884</v>
      </c>
      <c r="CV242" s="4">
        <v>1</v>
      </c>
    </row>
    <row r="243" spans="1:100" x14ac:dyDescent="0.3">
      <c r="A243" s="16" t="s">
        <v>450</v>
      </c>
      <c r="B243" s="17">
        <v>0</v>
      </c>
      <c r="C243">
        <v>59</v>
      </c>
      <c r="D243">
        <v>2</v>
      </c>
      <c r="E243">
        <v>2</v>
      </c>
      <c r="F243">
        <v>1</v>
      </c>
      <c r="G243">
        <v>2</v>
      </c>
      <c r="H243">
        <v>1</v>
      </c>
      <c r="I243">
        <v>1</v>
      </c>
      <c r="J243" s="4">
        <v>66.5</v>
      </c>
      <c r="K243" s="4">
        <v>1.61</v>
      </c>
      <c r="L243">
        <v>160</v>
      </c>
      <c r="M243" s="4">
        <f t="shared" si="48"/>
        <v>17.755499999999998</v>
      </c>
      <c r="N243" s="4">
        <v>46.4</v>
      </c>
      <c r="O243">
        <v>26.7</v>
      </c>
      <c r="P243" s="40">
        <v>1</v>
      </c>
      <c r="Q243">
        <v>89.6</v>
      </c>
      <c r="R243" s="37">
        <v>1</v>
      </c>
      <c r="S243">
        <v>97.8</v>
      </c>
      <c r="T243" s="5">
        <f t="shared" si="47"/>
        <v>0.91615541922290389</v>
      </c>
      <c r="U243" s="37">
        <v>1</v>
      </c>
      <c r="V243" s="4">
        <f t="shared" si="39"/>
        <v>25.654874426140964</v>
      </c>
      <c r="W243" s="39">
        <v>1</v>
      </c>
      <c r="X243">
        <v>15</v>
      </c>
      <c r="Y243" s="37">
        <v>1</v>
      </c>
      <c r="AA243" s="23"/>
      <c r="AB243" s="84"/>
      <c r="AC243" s="5">
        <v>4.9800000000000004</v>
      </c>
      <c r="AD243" s="37">
        <v>0</v>
      </c>
      <c r="AE243">
        <v>19.600000000000001</v>
      </c>
      <c r="AF243" s="5">
        <v>4.95</v>
      </c>
      <c r="AG243" s="37">
        <v>1</v>
      </c>
      <c r="AH243" s="5">
        <v>1.34</v>
      </c>
      <c r="AI243" s="37">
        <v>0</v>
      </c>
      <c r="AJ243" s="5">
        <v>3.06</v>
      </c>
      <c r="AK243" s="37">
        <v>0</v>
      </c>
      <c r="AL243" s="5">
        <v>1.29</v>
      </c>
      <c r="AM243" s="37">
        <v>0</v>
      </c>
      <c r="AN243" s="4">
        <f t="shared" si="41"/>
        <v>3.8372093023255816</v>
      </c>
      <c r="AO243" s="37">
        <v>0</v>
      </c>
      <c r="AP243">
        <v>132</v>
      </c>
      <c r="AQ243" s="37">
        <v>1</v>
      </c>
      <c r="AR243">
        <v>81</v>
      </c>
      <c r="AS243" s="37">
        <v>0</v>
      </c>
      <c r="AT243">
        <v>63</v>
      </c>
      <c r="AU243">
        <v>51</v>
      </c>
      <c r="AV243">
        <v>8.6999999999999993</v>
      </c>
      <c r="AW243" s="37">
        <v>1</v>
      </c>
      <c r="AX243">
        <v>1547</v>
      </c>
      <c r="AY243">
        <v>47.7</v>
      </c>
      <c r="AZ243">
        <v>42</v>
      </c>
      <c r="BA243">
        <v>260.39999999999998</v>
      </c>
      <c r="BB243">
        <v>8.6</v>
      </c>
      <c r="BC243">
        <v>205.1</v>
      </c>
      <c r="BD243">
        <v>6.7</v>
      </c>
      <c r="BE243">
        <v>0.1</v>
      </c>
      <c r="BF243">
        <v>34.6</v>
      </c>
      <c r="BG243">
        <v>24.4</v>
      </c>
      <c r="BH243">
        <v>12.3</v>
      </c>
      <c r="BI243">
        <v>63.1</v>
      </c>
      <c r="BJ243">
        <v>14.5</v>
      </c>
      <c r="BK243">
        <v>0</v>
      </c>
      <c r="BL243">
        <v>24.9</v>
      </c>
      <c r="BM243">
        <v>4.5</v>
      </c>
      <c r="BN243">
        <v>1.3</v>
      </c>
      <c r="BO243">
        <v>0.85</v>
      </c>
      <c r="BP243">
        <v>0.22</v>
      </c>
      <c r="BQ243">
        <v>0</v>
      </c>
      <c r="BR243">
        <v>630</v>
      </c>
      <c r="BS243">
        <v>205.5</v>
      </c>
      <c r="BT243">
        <v>4262</v>
      </c>
      <c r="BU243">
        <v>1647</v>
      </c>
      <c r="BV243">
        <v>11.69</v>
      </c>
      <c r="BW243">
        <v>5.92</v>
      </c>
      <c r="BX243">
        <v>1.5</v>
      </c>
      <c r="BY243">
        <v>20.8</v>
      </c>
      <c r="BZ243">
        <v>13.7</v>
      </c>
      <c r="CA243">
        <v>0.45</v>
      </c>
      <c r="CB243">
        <v>0.37</v>
      </c>
      <c r="CC243">
        <v>15.4</v>
      </c>
      <c r="CD243">
        <v>0.7</v>
      </c>
      <c r="CE243">
        <v>2.86</v>
      </c>
      <c r="CF243">
        <v>164.7</v>
      </c>
      <c r="CG243">
        <v>12</v>
      </c>
      <c r="CH243">
        <v>142</v>
      </c>
      <c r="CI243">
        <v>4.84</v>
      </c>
      <c r="CJ243">
        <v>1.9</v>
      </c>
      <c r="CK243">
        <v>1</v>
      </c>
      <c r="CL243" s="42" t="str">
        <f t="shared" si="42"/>
        <v>1</v>
      </c>
      <c r="CM243" s="4">
        <v>60.333333333333336</v>
      </c>
      <c r="CN243" s="4">
        <v>1.2066666666666668</v>
      </c>
      <c r="CO243">
        <v>6</v>
      </c>
      <c r="CP243" s="42" t="str">
        <f t="shared" si="43"/>
        <v>1</v>
      </c>
      <c r="CQ243" s="4">
        <v>102.66666666666667</v>
      </c>
      <c r="CR243" s="4">
        <v>2.0197530864197533</v>
      </c>
      <c r="CS243" s="43" t="str">
        <f t="shared" si="44"/>
        <v>2</v>
      </c>
      <c r="CT243" s="4">
        <f t="shared" si="45"/>
        <v>163</v>
      </c>
      <c r="CU243" s="4">
        <f t="shared" si="46"/>
        <v>3.2264197530864198</v>
      </c>
      <c r="CV243" s="4">
        <v>3</v>
      </c>
    </row>
    <row r="244" spans="1:100" x14ac:dyDescent="0.3">
      <c r="A244" s="16" t="s">
        <v>449</v>
      </c>
      <c r="B244" s="17">
        <v>0</v>
      </c>
      <c r="C244">
        <v>53</v>
      </c>
      <c r="D244">
        <v>1</v>
      </c>
      <c r="E244">
        <v>3</v>
      </c>
      <c r="F244">
        <v>2</v>
      </c>
      <c r="G244">
        <v>0</v>
      </c>
      <c r="H244">
        <v>1</v>
      </c>
      <c r="I244">
        <v>0</v>
      </c>
      <c r="J244" s="4">
        <v>61.9</v>
      </c>
      <c r="K244" s="4">
        <f>L244/100</f>
        <v>1.595</v>
      </c>
      <c r="L244">
        <v>159.5</v>
      </c>
      <c r="M244" s="4">
        <f t="shared" si="48"/>
        <v>18.198599999999999</v>
      </c>
      <c r="N244" s="4">
        <v>41.6</v>
      </c>
      <c r="O244">
        <v>29.4</v>
      </c>
      <c r="P244" s="40">
        <v>1</v>
      </c>
      <c r="Q244">
        <v>90.2</v>
      </c>
      <c r="R244" s="37">
        <v>1</v>
      </c>
      <c r="S244">
        <v>85.8</v>
      </c>
      <c r="T244" s="5">
        <f t="shared" si="47"/>
        <v>1.0512820512820513</v>
      </c>
      <c r="U244" s="37">
        <v>1</v>
      </c>
      <c r="V244" s="4">
        <f t="shared" si="39"/>
        <v>24.331521899352403</v>
      </c>
      <c r="W244" s="39">
        <v>1</v>
      </c>
      <c r="X244">
        <v>13</v>
      </c>
      <c r="Y244" s="37">
        <v>1</v>
      </c>
      <c r="AA244" s="23"/>
      <c r="AB244" s="84"/>
      <c r="AC244" s="5">
        <v>4.29</v>
      </c>
      <c r="AD244" s="37">
        <v>0</v>
      </c>
      <c r="AE244">
        <v>3</v>
      </c>
      <c r="AF244" s="5">
        <v>5.79</v>
      </c>
      <c r="AG244" s="37">
        <v>1</v>
      </c>
      <c r="AH244" s="5">
        <v>1.3</v>
      </c>
      <c r="AI244" s="37">
        <v>0</v>
      </c>
      <c r="AJ244" s="5">
        <v>4</v>
      </c>
      <c r="AK244" s="37">
        <v>1</v>
      </c>
      <c r="AL244" s="5">
        <v>1.2</v>
      </c>
      <c r="AM244" s="37">
        <v>0</v>
      </c>
      <c r="AN244" s="4">
        <f t="shared" si="41"/>
        <v>4.8250000000000002</v>
      </c>
      <c r="AO244" s="37">
        <v>1</v>
      </c>
      <c r="AP244">
        <v>119</v>
      </c>
      <c r="AQ244" s="38">
        <v>0</v>
      </c>
      <c r="AR244">
        <v>77</v>
      </c>
      <c r="AS244" s="37">
        <v>0</v>
      </c>
      <c r="AT244">
        <v>87</v>
      </c>
      <c r="AU244">
        <v>43</v>
      </c>
      <c r="AV244">
        <v>7.4</v>
      </c>
      <c r="AW244" s="37">
        <v>1</v>
      </c>
      <c r="AX244">
        <v>1840</v>
      </c>
      <c r="AY244">
        <v>53.2</v>
      </c>
      <c r="AZ244">
        <v>61.7</v>
      </c>
      <c r="BA244">
        <v>285.5</v>
      </c>
      <c r="BB244">
        <v>10.6</v>
      </c>
      <c r="BC244">
        <v>227.1</v>
      </c>
      <c r="BD244">
        <v>51.1</v>
      </c>
      <c r="BE244">
        <v>33.700000000000003</v>
      </c>
      <c r="BF244">
        <v>265.60000000000002</v>
      </c>
      <c r="BG244">
        <v>30.2</v>
      </c>
      <c r="BH244">
        <v>11.6</v>
      </c>
      <c r="BI244">
        <v>58.2</v>
      </c>
      <c r="BJ244">
        <v>17.5</v>
      </c>
      <c r="BK244">
        <v>6.9</v>
      </c>
      <c r="BL244">
        <v>35.700000000000003</v>
      </c>
      <c r="BM244">
        <v>7.3</v>
      </c>
      <c r="BN244">
        <v>1.5</v>
      </c>
      <c r="BO244">
        <v>1.25</v>
      </c>
      <c r="BP244">
        <v>0.18</v>
      </c>
      <c r="BQ244">
        <v>0.46</v>
      </c>
      <c r="BR244">
        <v>502</v>
      </c>
      <c r="BS244">
        <v>118.1</v>
      </c>
      <c r="BT244">
        <v>1702</v>
      </c>
      <c r="BU244">
        <v>1304</v>
      </c>
      <c r="BV244">
        <v>6.63</v>
      </c>
      <c r="BW244">
        <v>3.87</v>
      </c>
      <c r="BX244">
        <v>0.6</v>
      </c>
      <c r="BY244">
        <v>18.7</v>
      </c>
      <c r="BZ244">
        <v>85.8</v>
      </c>
      <c r="CA244">
        <v>20.45</v>
      </c>
      <c r="CB244">
        <v>20.39</v>
      </c>
      <c r="CC244">
        <v>9.6999999999999993</v>
      </c>
      <c r="CD244">
        <v>0.56000000000000005</v>
      </c>
      <c r="CE244">
        <v>3.87</v>
      </c>
      <c r="CF244">
        <v>115</v>
      </c>
      <c r="CG244">
        <v>27.9</v>
      </c>
      <c r="CH244">
        <v>503</v>
      </c>
      <c r="CI244">
        <v>12.23</v>
      </c>
      <c r="CJ244">
        <v>84</v>
      </c>
      <c r="CK244">
        <v>1</v>
      </c>
      <c r="CL244" s="42" t="str">
        <f t="shared" si="42"/>
        <v>1</v>
      </c>
      <c r="CM244">
        <v>40</v>
      </c>
      <c r="CN244" s="4">
        <v>0.8</v>
      </c>
      <c r="CO244">
        <v>4</v>
      </c>
      <c r="CP244" s="42" t="str">
        <f t="shared" si="43"/>
        <v>1</v>
      </c>
      <c r="CQ244" s="4">
        <v>73</v>
      </c>
      <c r="CR244" s="4">
        <v>1.3135802469135802</v>
      </c>
      <c r="CS244" s="43" t="str">
        <f t="shared" si="44"/>
        <v>1</v>
      </c>
      <c r="CT244" s="4">
        <f t="shared" si="45"/>
        <v>113</v>
      </c>
      <c r="CU244" s="4">
        <f t="shared" si="46"/>
        <v>2.11358024691358</v>
      </c>
      <c r="CV244" s="4">
        <v>2</v>
      </c>
    </row>
    <row r="245" spans="1:100" x14ac:dyDescent="0.3">
      <c r="A245" s="16" t="s">
        <v>448</v>
      </c>
      <c r="B245" s="17">
        <v>0</v>
      </c>
      <c r="C245">
        <v>41</v>
      </c>
      <c r="D245">
        <v>1</v>
      </c>
      <c r="E245">
        <v>3</v>
      </c>
      <c r="F245">
        <v>2</v>
      </c>
      <c r="G245">
        <v>2</v>
      </c>
      <c r="H245">
        <v>1</v>
      </c>
      <c r="I245">
        <v>1</v>
      </c>
      <c r="J245" s="4">
        <v>68.099999999999994</v>
      </c>
      <c r="K245" s="4">
        <f>L245/100</f>
        <v>1.6769999999999998</v>
      </c>
      <c r="L245">
        <v>167.7</v>
      </c>
      <c r="M245" s="4">
        <f t="shared" si="48"/>
        <v>17.229299999999999</v>
      </c>
      <c r="N245" s="4">
        <v>48.3</v>
      </c>
      <c r="O245">
        <v>25.3</v>
      </c>
      <c r="P245" s="40">
        <v>1</v>
      </c>
      <c r="Q245">
        <v>91.7</v>
      </c>
      <c r="R245" s="37">
        <v>1</v>
      </c>
      <c r="S245">
        <v>95.8</v>
      </c>
      <c r="T245" s="5">
        <f t="shared" si="47"/>
        <v>0.95720250521920669</v>
      </c>
      <c r="U245" s="37">
        <v>1</v>
      </c>
      <c r="V245" s="4">
        <f t="shared" si="39"/>
        <v>24.214805593513425</v>
      </c>
      <c r="W245" s="39">
        <v>1</v>
      </c>
      <c r="X245">
        <v>11</v>
      </c>
      <c r="Y245" s="37">
        <v>1</v>
      </c>
      <c r="AA245" s="23"/>
      <c r="AB245" s="84"/>
      <c r="AC245" s="5">
        <v>4.5599999999999996</v>
      </c>
      <c r="AD245" s="37">
        <v>0</v>
      </c>
      <c r="AE245">
        <v>20.82</v>
      </c>
      <c r="AF245" s="5">
        <v>5.18</v>
      </c>
      <c r="AG245" s="37">
        <v>1</v>
      </c>
      <c r="AH245" s="5">
        <v>1.3</v>
      </c>
      <c r="AI245" s="37">
        <v>0</v>
      </c>
      <c r="AJ245" s="5">
        <v>3.37</v>
      </c>
      <c r="AK245" s="37">
        <v>0</v>
      </c>
      <c r="AL245" s="5">
        <v>1.0900000000000001</v>
      </c>
      <c r="AM245" s="37">
        <v>0</v>
      </c>
      <c r="AN245" s="4">
        <f t="shared" si="41"/>
        <v>4.7522935779816509</v>
      </c>
      <c r="AO245" s="37">
        <v>1</v>
      </c>
      <c r="AP245">
        <v>118</v>
      </c>
      <c r="AQ245" s="38">
        <v>0</v>
      </c>
      <c r="AR245">
        <v>76</v>
      </c>
      <c r="AS245" s="37">
        <v>0</v>
      </c>
      <c r="AT245">
        <v>87</v>
      </c>
      <c r="AU245">
        <v>42</v>
      </c>
      <c r="AV245">
        <v>6</v>
      </c>
      <c r="AW245" s="37">
        <v>1</v>
      </c>
      <c r="AX245">
        <v>1498</v>
      </c>
      <c r="AY245">
        <v>51.8</v>
      </c>
      <c r="AZ245">
        <v>47.4</v>
      </c>
      <c r="BA245">
        <v>229.4</v>
      </c>
      <c r="BB245">
        <v>8.5</v>
      </c>
      <c r="BC245">
        <v>178.6</v>
      </c>
      <c r="BD245">
        <v>30.9</v>
      </c>
      <c r="BE245">
        <v>18</v>
      </c>
      <c r="BF245">
        <v>182.1</v>
      </c>
      <c r="BG245">
        <v>28.5</v>
      </c>
      <c r="BH245">
        <v>13.8</v>
      </c>
      <c r="BI245">
        <v>57.4</v>
      </c>
      <c r="BJ245">
        <v>17.100000000000001</v>
      </c>
      <c r="BK245">
        <v>4.5</v>
      </c>
      <c r="BL245">
        <v>28.4</v>
      </c>
      <c r="BM245">
        <v>5.9</v>
      </c>
      <c r="BN245">
        <v>3</v>
      </c>
      <c r="BO245">
        <v>2.64</v>
      </c>
      <c r="BP245">
        <v>0.22</v>
      </c>
      <c r="BQ245">
        <v>0.23</v>
      </c>
      <c r="BR245">
        <v>429</v>
      </c>
      <c r="BS245">
        <v>237.4</v>
      </c>
      <c r="BT245">
        <v>13001</v>
      </c>
      <c r="BU245">
        <v>1893</v>
      </c>
      <c r="BV245">
        <v>10.51</v>
      </c>
      <c r="BW245">
        <v>6.78</v>
      </c>
      <c r="BX245">
        <v>1.34</v>
      </c>
      <c r="BY245">
        <v>27.3</v>
      </c>
      <c r="BZ245">
        <v>76.7</v>
      </c>
      <c r="CA245">
        <v>6.83</v>
      </c>
      <c r="CB245">
        <v>7.61</v>
      </c>
      <c r="CC245">
        <v>17.3</v>
      </c>
      <c r="CD245">
        <v>1.02</v>
      </c>
      <c r="CE245">
        <v>1.22</v>
      </c>
      <c r="CF245">
        <v>365.2</v>
      </c>
      <c r="CG245">
        <v>20.399999999999999</v>
      </c>
      <c r="CH245">
        <v>617</v>
      </c>
      <c r="CI245">
        <v>2.36</v>
      </c>
      <c r="CJ245">
        <v>44.9</v>
      </c>
      <c r="CK245">
        <v>0</v>
      </c>
      <c r="CL245" s="42" t="str">
        <f t="shared" si="42"/>
        <v>1</v>
      </c>
      <c r="CM245">
        <v>0</v>
      </c>
      <c r="CN245" s="4">
        <v>0</v>
      </c>
      <c r="CO245">
        <v>7</v>
      </c>
      <c r="CP245" s="42" t="str">
        <f t="shared" si="43"/>
        <v>1</v>
      </c>
      <c r="CQ245" s="4">
        <v>126.66666666666667</v>
      </c>
      <c r="CR245" s="4">
        <v>1.7901234567901236</v>
      </c>
      <c r="CS245" s="43" t="str">
        <f t="shared" si="44"/>
        <v>1</v>
      </c>
      <c r="CT245" s="4">
        <f t="shared" si="45"/>
        <v>126.66666666666667</v>
      </c>
      <c r="CU245" s="4">
        <f t="shared" si="46"/>
        <v>1.7901234567901236</v>
      </c>
      <c r="CV245" s="4">
        <v>1</v>
      </c>
    </row>
    <row r="246" spans="1:100" x14ac:dyDescent="0.3">
      <c r="A246" s="16" t="s">
        <v>447</v>
      </c>
      <c r="B246" s="17">
        <v>0</v>
      </c>
      <c r="C246">
        <v>35</v>
      </c>
      <c r="D246">
        <v>1</v>
      </c>
      <c r="E246">
        <v>3</v>
      </c>
      <c r="F246">
        <v>2</v>
      </c>
      <c r="G246">
        <v>0</v>
      </c>
      <c r="H246">
        <v>0</v>
      </c>
      <c r="I246">
        <v>0</v>
      </c>
      <c r="J246" s="4">
        <v>78</v>
      </c>
      <c r="K246" s="4">
        <v>1.8</v>
      </c>
      <c r="L246">
        <v>180</v>
      </c>
      <c r="M246" s="4">
        <f t="shared" si="48"/>
        <v>17.081999999999997</v>
      </c>
      <c r="N246" s="4">
        <v>57.8</v>
      </c>
      <c r="O246">
        <v>21.9</v>
      </c>
      <c r="P246" s="40">
        <v>0</v>
      </c>
      <c r="Q246">
        <v>94.5</v>
      </c>
      <c r="R246" s="37">
        <v>1</v>
      </c>
      <c r="S246">
        <v>100</v>
      </c>
      <c r="T246" s="5">
        <f t="shared" si="47"/>
        <v>0.94499999999999995</v>
      </c>
      <c r="U246" s="37">
        <v>1</v>
      </c>
      <c r="V246" s="4">
        <f t="shared" si="39"/>
        <v>24.074074074074073</v>
      </c>
      <c r="W246" s="39">
        <v>1</v>
      </c>
      <c r="X246">
        <v>10</v>
      </c>
      <c r="Y246" s="37">
        <v>1</v>
      </c>
      <c r="AA246" s="23"/>
      <c r="AB246" s="84"/>
      <c r="AC246" s="5">
        <v>3.97</v>
      </c>
      <c r="AD246" s="37">
        <v>0</v>
      </c>
      <c r="AE246">
        <v>17.3</v>
      </c>
      <c r="AF246" s="5">
        <v>5.4</v>
      </c>
      <c r="AG246" s="37">
        <v>1</v>
      </c>
      <c r="AH246" s="5">
        <v>0.91</v>
      </c>
      <c r="AI246" s="37">
        <v>0</v>
      </c>
      <c r="AJ246" s="5">
        <v>3.95</v>
      </c>
      <c r="AK246" s="37">
        <v>1</v>
      </c>
      <c r="AL246" s="5">
        <v>1.04</v>
      </c>
      <c r="AM246" s="37">
        <v>0</v>
      </c>
      <c r="AN246" s="4">
        <f t="shared" si="41"/>
        <v>5.1923076923076925</v>
      </c>
      <c r="AO246" s="37">
        <v>1</v>
      </c>
      <c r="AP246">
        <v>121</v>
      </c>
      <c r="AQ246" s="38">
        <v>0</v>
      </c>
      <c r="AR246">
        <v>82</v>
      </c>
      <c r="AS246" s="37">
        <v>0</v>
      </c>
      <c r="AT246">
        <v>86</v>
      </c>
      <c r="AU246">
        <v>39</v>
      </c>
      <c r="AV246">
        <v>5.7</v>
      </c>
      <c r="AW246" s="37">
        <v>1</v>
      </c>
      <c r="AX246">
        <v>2962</v>
      </c>
      <c r="AY246">
        <v>77.7</v>
      </c>
      <c r="AZ246">
        <v>107.6</v>
      </c>
      <c r="BA246">
        <v>448.2</v>
      </c>
      <c r="BB246">
        <v>15.1</v>
      </c>
      <c r="BC246">
        <v>333.5</v>
      </c>
      <c r="BD246">
        <v>87.8</v>
      </c>
      <c r="BE246">
        <v>57.5</v>
      </c>
      <c r="BF246">
        <v>332.1</v>
      </c>
      <c r="BG246">
        <v>32.700000000000003</v>
      </c>
      <c r="BH246">
        <v>10.5</v>
      </c>
      <c r="BI246">
        <v>56.7</v>
      </c>
      <c r="BJ246">
        <v>18.8</v>
      </c>
      <c r="BK246">
        <v>7.3</v>
      </c>
      <c r="BL246">
        <v>61.9</v>
      </c>
      <c r="BM246">
        <v>16.8</v>
      </c>
      <c r="BN246">
        <v>7.5</v>
      </c>
      <c r="BO246">
        <v>6.95</v>
      </c>
      <c r="BP246">
        <v>0.5</v>
      </c>
      <c r="BQ246">
        <v>0.65</v>
      </c>
      <c r="BR246">
        <v>995</v>
      </c>
      <c r="BS246">
        <v>307.5</v>
      </c>
      <c r="BT246">
        <v>5107</v>
      </c>
      <c r="BU246">
        <v>2682</v>
      </c>
      <c r="BV246">
        <v>17</v>
      </c>
      <c r="BW246">
        <v>9.32</v>
      </c>
      <c r="BX246">
        <v>1.61</v>
      </c>
      <c r="BY246">
        <v>75.2</v>
      </c>
      <c r="BZ246">
        <v>110.6</v>
      </c>
      <c r="CA246">
        <v>1.06</v>
      </c>
      <c r="CB246">
        <v>1.45</v>
      </c>
      <c r="CC246">
        <v>27.8</v>
      </c>
      <c r="CD246">
        <v>1.34</v>
      </c>
      <c r="CE246">
        <v>2.87</v>
      </c>
      <c r="CF246">
        <v>249.3</v>
      </c>
      <c r="CG246">
        <v>31.6</v>
      </c>
      <c r="CH246">
        <v>952</v>
      </c>
      <c r="CI246">
        <v>4.05</v>
      </c>
      <c r="CJ246">
        <v>4.7</v>
      </c>
      <c r="CK246">
        <v>1</v>
      </c>
      <c r="CL246" s="42" t="str">
        <f t="shared" si="42"/>
        <v>1</v>
      </c>
      <c r="CM246">
        <v>59</v>
      </c>
      <c r="CN246" s="4">
        <v>1.18</v>
      </c>
      <c r="CO246">
        <v>6</v>
      </c>
      <c r="CP246" s="42" t="str">
        <f t="shared" si="43"/>
        <v>1</v>
      </c>
      <c r="CQ246" s="4">
        <v>82</v>
      </c>
      <c r="CR246" s="4">
        <v>1.0493827160493827</v>
      </c>
      <c r="CS246" s="43" t="str">
        <f t="shared" si="44"/>
        <v>1</v>
      </c>
      <c r="CT246" s="4">
        <f t="shared" si="45"/>
        <v>141</v>
      </c>
      <c r="CU246" s="4">
        <f t="shared" si="46"/>
        <v>2.2293827160493827</v>
      </c>
      <c r="CV246" s="4">
        <v>2</v>
      </c>
    </row>
    <row r="247" spans="1:100" x14ac:dyDescent="0.3">
      <c r="A247" s="8" t="s">
        <v>446</v>
      </c>
      <c r="B247" s="18">
        <v>1</v>
      </c>
      <c r="C247">
        <v>52</v>
      </c>
      <c r="D247">
        <v>2</v>
      </c>
      <c r="E247">
        <v>2</v>
      </c>
      <c r="F247">
        <v>1</v>
      </c>
      <c r="G247">
        <v>0</v>
      </c>
      <c r="H247">
        <v>0</v>
      </c>
      <c r="I247">
        <v>1</v>
      </c>
      <c r="J247">
        <v>65.7</v>
      </c>
      <c r="K247">
        <v>1.6739999999999999</v>
      </c>
      <c r="L247">
        <f>K247*100</f>
        <v>167.4</v>
      </c>
      <c r="M247" s="82">
        <v>21.812400000000004</v>
      </c>
      <c r="N247">
        <v>41.2</v>
      </c>
      <c r="O247" s="4">
        <v>33.200000000000003</v>
      </c>
      <c r="P247" s="39">
        <v>1</v>
      </c>
      <c r="Q247">
        <v>80.5</v>
      </c>
      <c r="R247" s="40">
        <v>0</v>
      </c>
      <c r="S247">
        <v>96.5</v>
      </c>
      <c r="T247" s="5">
        <v>0.83419689119170981</v>
      </c>
      <c r="U247" s="39">
        <v>0</v>
      </c>
      <c r="V247" s="4">
        <v>23.445228093164271</v>
      </c>
      <c r="W247" s="37">
        <v>1</v>
      </c>
      <c r="X247">
        <v>7</v>
      </c>
      <c r="Y247" s="40">
        <v>0</v>
      </c>
      <c r="Z247" s="5">
        <v>7.5309999999999997</v>
      </c>
      <c r="AA247" s="5">
        <v>1.5932248888888887</v>
      </c>
      <c r="AB247" s="85">
        <v>0</v>
      </c>
      <c r="AC247" s="5">
        <v>4.76</v>
      </c>
      <c r="AD247" s="37">
        <v>0</v>
      </c>
      <c r="AE247">
        <v>26.12</v>
      </c>
      <c r="AF247" s="5">
        <v>5.27</v>
      </c>
      <c r="AG247" s="37">
        <v>1</v>
      </c>
      <c r="AH247" s="5">
        <v>0.79</v>
      </c>
      <c r="AI247" s="1">
        <v>1</v>
      </c>
      <c r="AJ247" s="13">
        <v>3.92</v>
      </c>
      <c r="AK247" s="1">
        <v>1</v>
      </c>
      <c r="AL247" s="13">
        <v>0.99</v>
      </c>
      <c r="AM247" s="1">
        <v>1</v>
      </c>
      <c r="AN247" s="82">
        <f>AF247/AL247</f>
        <v>5.3232323232323226</v>
      </c>
      <c r="AO247" s="1">
        <v>1</v>
      </c>
      <c r="AP247">
        <v>126</v>
      </c>
      <c r="AQ247" s="37">
        <v>0</v>
      </c>
      <c r="AR247">
        <v>88</v>
      </c>
      <c r="AS247" s="37">
        <v>1</v>
      </c>
      <c r="AT247">
        <v>84</v>
      </c>
      <c r="AU247">
        <v>38</v>
      </c>
      <c r="AV247">
        <v>7.6</v>
      </c>
      <c r="AW247">
        <v>1</v>
      </c>
      <c r="AX247">
        <v>1728</v>
      </c>
      <c r="AY247">
        <v>48.2</v>
      </c>
      <c r="AZ247">
        <v>58.4</v>
      </c>
      <c r="BA247">
        <v>268.2</v>
      </c>
      <c r="BB247">
        <v>7.4</v>
      </c>
      <c r="BC247">
        <v>223.7</v>
      </c>
      <c r="BD247">
        <v>30.5</v>
      </c>
      <c r="BE247">
        <v>9.3000000000000007</v>
      </c>
      <c r="BF247">
        <v>55.8</v>
      </c>
      <c r="BG247">
        <v>30.4</v>
      </c>
      <c r="BH247">
        <v>11.2</v>
      </c>
      <c r="BI247">
        <v>58.2</v>
      </c>
      <c r="BJ247">
        <v>21</v>
      </c>
      <c r="BK247">
        <v>2</v>
      </c>
      <c r="BL247">
        <v>40.299999999999997</v>
      </c>
      <c r="BM247">
        <v>7</v>
      </c>
      <c r="BN247">
        <v>2</v>
      </c>
      <c r="BO247">
        <v>1.72</v>
      </c>
      <c r="BP247">
        <v>0.17</v>
      </c>
      <c r="BQ247">
        <v>0.46</v>
      </c>
      <c r="BR247">
        <v>614</v>
      </c>
      <c r="BS247">
        <v>192.2</v>
      </c>
      <c r="BT247">
        <v>3776</v>
      </c>
      <c r="BU247">
        <v>1899</v>
      </c>
      <c r="BV247">
        <v>11.37</v>
      </c>
      <c r="BW247">
        <v>7.25</v>
      </c>
      <c r="BX247">
        <v>1.61</v>
      </c>
      <c r="BY247">
        <v>39.299999999999997</v>
      </c>
      <c r="BZ247">
        <v>71.5</v>
      </c>
      <c r="CA247">
        <v>19.87</v>
      </c>
      <c r="CB247">
        <v>18.190000000000001</v>
      </c>
      <c r="CC247">
        <v>15.1</v>
      </c>
      <c r="CD247">
        <v>0.93</v>
      </c>
      <c r="CE247">
        <v>1.56</v>
      </c>
      <c r="CF247">
        <v>184</v>
      </c>
      <c r="CG247">
        <v>21.5</v>
      </c>
      <c r="CH247">
        <v>457</v>
      </c>
      <c r="CI247">
        <v>4.63</v>
      </c>
      <c r="CJ247">
        <v>87.9</v>
      </c>
      <c r="CK247">
        <v>1</v>
      </c>
      <c r="CL247" s="42" t="str">
        <f t="shared" si="42"/>
        <v>1</v>
      </c>
      <c r="CM247" s="4">
        <v>13.333333333333334</v>
      </c>
      <c r="CN247" s="4">
        <f>CQ247/50</f>
        <v>2.1733333333333333</v>
      </c>
      <c r="CO247">
        <v>4</v>
      </c>
      <c r="CP247" s="42" t="str">
        <f t="shared" si="43"/>
        <v>1</v>
      </c>
      <c r="CQ247" s="4">
        <v>108.66666666666667</v>
      </c>
      <c r="CR247" s="4">
        <v>5.5432098765432096</v>
      </c>
      <c r="CS247" s="43" t="str">
        <f t="shared" si="44"/>
        <v>1</v>
      </c>
      <c r="CT247" s="4">
        <f t="shared" si="45"/>
        <v>122</v>
      </c>
      <c r="CU247" s="4">
        <f t="shared" si="46"/>
        <v>7.7165432098765425</v>
      </c>
      <c r="CV247" s="4">
        <v>4</v>
      </c>
    </row>
    <row r="248" spans="1:100" x14ac:dyDescent="0.3">
      <c r="A248" s="8" t="s">
        <v>445</v>
      </c>
      <c r="B248" s="18">
        <v>1</v>
      </c>
      <c r="C248">
        <v>56</v>
      </c>
      <c r="D248">
        <v>3</v>
      </c>
      <c r="E248">
        <v>1</v>
      </c>
      <c r="F248">
        <v>0</v>
      </c>
      <c r="G248">
        <v>0</v>
      </c>
      <c r="H248">
        <v>0</v>
      </c>
      <c r="I248">
        <v>1</v>
      </c>
      <c r="J248">
        <v>46.2</v>
      </c>
      <c r="K248">
        <v>1.52</v>
      </c>
      <c r="L248">
        <f t="shared" ref="L248:L311" si="50">K248*100</f>
        <v>152</v>
      </c>
      <c r="M248" s="82">
        <v>13.675200000000002</v>
      </c>
      <c r="N248">
        <v>30.8</v>
      </c>
      <c r="O248" s="4">
        <v>29.6</v>
      </c>
      <c r="P248" s="39">
        <v>0</v>
      </c>
      <c r="Q248">
        <v>78.5</v>
      </c>
      <c r="R248" s="40">
        <v>0</v>
      </c>
      <c r="S248">
        <v>86</v>
      </c>
      <c r="T248" s="5">
        <v>0.91279069767441856</v>
      </c>
      <c r="U248" s="39">
        <v>1</v>
      </c>
      <c r="V248" s="4">
        <v>19.996537396121884</v>
      </c>
      <c r="W248" s="37">
        <v>0</v>
      </c>
      <c r="X248">
        <v>4</v>
      </c>
      <c r="Y248" s="40">
        <v>0</v>
      </c>
      <c r="Z248" s="5">
        <v>6.3849999999999998</v>
      </c>
      <c r="AA248" s="5">
        <v>1.2997022222222221</v>
      </c>
      <c r="AB248" s="85">
        <v>0</v>
      </c>
      <c r="AC248" s="5">
        <v>4.58</v>
      </c>
      <c r="AD248" s="37">
        <v>0</v>
      </c>
      <c r="AE248">
        <v>3</v>
      </c>
      <c r="AF248" s="5">
        <v>7.09</v>
      </c>
      <c r="AG248" s="37">
        <v>1</v>
      </c>
      <c r="AH248" s="5">
        <v>0.84</v>
      </c>
      <c r="AI248" s="1">
        <v>1</v>
      </c>
      <c r="AJ248" s="13">
        <v>5.38</v>
      </c>
      <c r="AK248" s="1">
        <v>0</v>
      </c>
      <c r="AL248" s="13">
        <v>1.32</v>
      </c>
      <c r="AM248" s="1">
        <v>0</v>
      </c>
      <c r="AN248" s="82">
        <f t="shared" ref="AN248:AN311" si="51">AF248/AL248</f>
        <v>5.3712121212121211</v>
      </c>
      <c r="AO248" s="1">
        <v>1</v>
      </c>
      <c r="AP248">
        <v>120</v>
      </c>
      <c r="AQ248" s="37">
        <v>0</v>
      </c>
      <c r="AR248">
        <v>64</v>
      </c>
      <c r="AS248" s="37">
        <v>0</v>
      </c>
      <c r="AT248">
        <v>70</v>
      </c>
      <c r="AU248">
        <v>55</v>
      </c>
      <c r="AV248">
        <v>7.7</v>
      </c>
      <c r="AW248">
        <v>1</v>
      </c>
      <c r="AX248">
        <v>1630</v>
      </c>
      <c r="AY248">
        <v>61.1</v>
      </c>
      <c r="AZ248">
        <v>54.5</v>
      </c>
      <c r="BA248">
        <v>237.5</v>
      </c>
      <c r="BB248">
        <v>7.4</v>
      </c>
      <c r="BC248">
        <v>187.9</v>
      </c>
      <c r="BD248">
        <v>40.4</v>
      </c>
      <c r="BE248">
        <v>22.5</v>
      </c>
      <c r="BF248">
        <v>148.5</v>
      </c>
      <c r="BG248">
        <v>30.1</v>
      </c>
      <c r="BH248">
        <v>15</v>
      </c>
      <c r="BI248">
        <v>54.6</v>
      </c>
      <c r="BJ248">
        <v>20.5</v>
      </c>
      <c r="BK248">
        <v>5.2</v>
      </c>
      <c r="BL248">
        <v>37.200000000000003</v>
      </c>
      <c r="BM248">
        <v>7.2</v>
      </c>
      <c r="BN248">
        <v>2</v>
      </c>
      <c r="BO248">
        <v>1.56</v>
      </c>
      <c r="BP248">
        <v>0.11</v>
      </c>
      <c r="BQ248">
        <v>0.46</v>
      </c>
      <c r="BR248">
        <v>581</v>
      </c>
      <c r="BS248">
        <v>208.4</v>
      </c>
      <c r="BT248">
        <v>4388</v>
      </c>
      <c r="BU248">
        <v>2073</v>
      </c>
      <c r="BV248">
        <v>9.06</v>
      </c>
      <c r="BW248">
        <v>6.09</v>
      </c>
      <c r="BX248">
        <v>1.1000000000000001</v>
      </c>
      <c r="BY248">
        <v>62.1</v>
      </c>
      <c r="BZ248">
        <v>76.2</v>
      </c>
      <c r="CA248">
        <v>0.56000000000000005</v>
      </c>
      <c r="CB248">
        <v>0.84</v>
      </c>
      <c r="CC248">
        <v>18.100000000000001</v>
      </c>
      <c r="CD248">
        <v>1.1599999999999999</v>
      </c>
      <c r="CE248">
        <v>4.1399999999999997</v>
      </c>
      <c r="CF248">
        <v>145.30000000000001</v>
      </c>
      <c r="CG248">
        <v>19.2</v>
      </c>
      <c r="CH248">
        <v>320</v>
      </c>
      <c r="CI248">
        <v>2.71</v>
      </c>
      <c r="CJ248">
        <v>2.4</v>
      </c>
      <c r="CK248">
        <v>0</v>
      </c>
      <c r="CL248" s="42" t="str">
        <f t="shared" si="42"/>
        <v>1</v>
      </c>
      <c r="CM248" s="4">
        <v>0</v>
      </c>
      <c r="CN248" s="4">
        <f t="shared" ref="CN248:CN311" si="52">CQ248/50</f>
        <v>1.34</v>
      </c>
      <c r="CO248">
        <v>3</v>
      </c>
      <c r="CP248" s="42" t="str">
        <f t="shared" si="43"/>
        <v>1</v>
      </c>
      <c r="CQ248" s="4">
        <v>67</v>
      </c>
      <c r="CR248" s="4">
        <v>1.5481481481481481</v>
      </c>
      <c r="CS248" s="43" t="str">
        <f t="shared" si="44"/>
        <v>1</v>
      </c>
      <c r="CT248" s="4">
        <f t="shared" si="45"/>
        <v>67</v>
      </c>
      <c r="CU248" s="4">
        <f t="shared" si="46"/>
        <v>2.8881481481481481</v>
      </c>
      <c r="CV248" s="4">
        <v>2</v>
      </c>
    </row>
    <row r="249" spans="1:100" x14ac:dyDescent="0.3">
      <c r="A249" s="8" t="s">
        <v>444</v>
      </c>
      <c r="B249" s="18">
        <v>1</v>
      </c>
      <c r="C249">
        <v>42</v>
      </c>
      <c r="D249">
        <v>3</v>
      </c>
      <c r="E249">
        <v>1</v>
      </c>
      <c r="F249">
        <v>1</v>
      </c>
      <c r="G249">
        <v>0</v>
      </c>
      <c r="H249">
        <v>0</v>
      </c>
      <c r="I249">
        <v>1</v>
      </c>
      <c r="J249">
        <v>46.6</v>
      </c>
      <c r="K249">
        <v>1.6</v>
      </c>
      <c r="L249">
        <f t="shared" si="50"/>
        <v>160</v>
      </c>
      <c r="M249" s="82">
        <v>13.6538</v>
      </c>
      <c r="N249">
        <v>31</v>
      </c>
      <c r="O249">
        <v>29.3</v>
      </c>
      <c r="P249" s="39">
        <v>0</v>
      </c>
      <c r="Q249">
        <v>71</v>
      </c>
      <c r="R249" s="40">
        <v>0</v>
      </c>
      <c r="S249">
        <v>88</v>
      </c>
      <c r="T249" s="5">
        <v>0.80681818181818177</v>
      </c>
      <c r="U249" s="39">
        <v>0</v>
      </c>
      <c r="V249" s="4">
        <v>18.203124999999996</v>
      </c>
      <c r="W249" s="37">
        <v>0</v>
      </c>
      <c r="X249">
        <v>4</v>
      </c>
      <c r="Y249" s="40">
        <v>0</v>
      </c>
      <c r="Z249" s="5">
        <v>7.1669999999999998</v>
      </c>
      <c r="AA249" s="5">
        <v>1.4302146666666669</v>
      </c>
      <c r="AB249" s="85">
        <v>0</v>
      </c>
      <c r="AC249" s="5">
        <v>4.49</v>
      </c>
      <c r="AD249" s="37">
        <v>0</v>
      </c>
      <c r="AE249">
        <v>14.22</v>
      </c>
      <c r="AF249" s="5">
        <v>6.76</v>
      </c>
      <c r="AG249" s="37">
        <v>1</v>
      </c>
      <c r="AH249" s="5">
        <v>0.92</v>
      </c>
      <c r="AI249" s="1">
        <v>1</v>
      </c>
      <c r="AJ249" s="13">
        <v>4.42</v>
      </c>
      <c r="AK249" s="1">
        <v>0</v>
      </c>
      <c r="AL249" s="13">
        <v>1.36</v>
      </c>
      <c r="AM249" s="1">
        <v>0</v>
      </c>
      <c r="AN249" s="82">
        <f t="shared" si="51"/>
        <v>4.9705882352941169</v>
      </c>
      <c r="AO249" s="1">
        <v>1</v>
      </c>
      <c r="AP249">
        <v>122</v>
      </c>
      <c r="AQ249" s="37">
        <v>0</v>
      </c>
      <c r="AR249">
        <v>82</v>
      </c>
      <c r="AS249" s="37">
        <v>0</v>
      </c>
      <c r="AT249">
        <v>93</v>
      </c>
      <c r="AU249">
        <v>40</v>
      </c>
      <c r="AV249">
        <v>6.4</v>
      </c>
      <c r="AW249">
        <v>1</v>
      </c>
      <c r="AX249">
        <v>1376</v>
      </c>
      <c r="AY249">
        <v>43.6</v>
      </c>
      <c r="AZ249">
        <v>36.4</v>
      </c>
      <c r="BA249">
        <v>230.4</v>
      </c>
      <c r="BB249">
        <v>4.4000000000000004</v>
      </c>
      <c r="BC249">
        <v>149.80000000000001</v>
      </c>
      <c r="BD249">
        <v>66.7</v>
      </c>
      <c r="BE249">
        <v>49.7</v>
      </c>
      <c r="BF249">
        <v>45.4</v>
      </c>
      <c r="BG249">
        <v>23.8</v>
      </c>
      <c r="BH249">
        <v>12.7</v>
      </c>
      <c r="BI249">
        <v>62.8</v>
      </c>
      <c r="BJ249">
        <v>17.8</v>
      </c>
      <c r="BK249">
        <v>13.6</v>
      </c>
      <c r="BL249">
        <v>27.2</v>
      </c>
      <c r="BM249">
        <v>4</v>
      </c>
      <c r="BN249">
        <v>1.8</v>
      </c>
      <c r="BO249">
        <v>1.01</v>
      </c>
      <c r="BP249">
        <v>0.28000000000000003</v>
      </c>
      <c r="BQ249">
        <v>0.05</v>
      </c>
      <c r="BR249">
        <v>347</v>
      </c>
      <c r="BS249">
        <v>191.2</v>
      </c>
      <c r="BT249">
        <v>2849</v>
      </c>
      <c r="BU249">
        <v>1604</v>
      </c>
      <c r="BV249">
        <v>7.58</v>
      </c>
      <c r="BW249">
        <v>5.03</v>
      </c>
      <c r="BX249">
        <v>1.1399999999999999</v>
      </c>
      <c r="BY249">
        <v>39.200000000000003</v>
      </c>
      <c r="BZ249">
        <v>43.8</v>
      </c>
      <c r="CA249">
        <v>0.49</v>
      </c>
      <c r="CB249">
        <v>0.63</v>
      </c>
      <c r="CC249">
        <v>13.4</v>
      </c>
      <c r="CD249">
        <v>0.79</v>
      </c>
      <c r="CE249">
        <v>3.27</v>
      </c>
      <c r="CF249">
        <v>153.30000000000001</v>
      </c>
      <c r="CG249">
        <v>8.1</v>
      </c>
      <c r="CH249">
        <v>214</v>
      </c>
      <c r="CI249">
        <v>2.46</v>
      </c>
      <c r="CJ249">
        <v>1.2</v>
      </c>
      <c r="CK249">
        <v>0</v>
      </c>
      <c r="CL249" s="42" t="str">
        <f t="shared" si="42"/>
        <v>1</v>
      </c>
      <c r="CM249" s="4">
        <v>0</v>
      </c>
      <c r="CN249" s="4">
        <f t="shared" si="52"/>
        <v>1.4266666666666665</v>
      </c>
      <c r="CO249">
        <v>5</v>
      </c>
      <c r="CP249" s="42" t="str">
        <f t="shared" si="43"/>
        <v>1</v>
      </c>
      <c r="CQ249" s="4">
        <v>71.333333333333329</v>
      </c>
      <c r="CR249" s="4">
        <v>2.7592592592592595</v>
      </c>
      <c r="CS249" s="43" t="str">
        <f t="shared" si="44"/>
        <v>1</v>
      </c>
      <c r="CT249" s="4">
        <f t="shared" si="45"/>
        <v>71.333333333333329</v>
      </c>
      <c r="CU249" s="4">
        <f t="shared" si="46"/>
        <v>4.1859259259259263</v>
      </c>
      <c r="CV249" s="4">
        <v>4</v>
      </c>
    </row>
    <row r="250" spans="1:100" x14ac:dyDescent="0.3">
      <c r="A250" s="8" t="s">
        <v>388</v>
      </c>
      <c r="B250" s="18">
        <v>1</v>
      </c>
      <c r="C250">
        <v>60</v>
      </c>
      <c r="D250">
        <v>3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46.5</v>
      </c>
      <c r="K250">
        <v>1.37</v>
      </c>
      <c r="L250">
        <f t="shared" si="50"/>
        <v>137</v>
      </c>
      <c r="M250" s="82">
        <v>12.0435</v>
      </c>
      <c r="N250">
        <v>32.6</v>
      </c>
      <c r="O250" s="4">
        <v>25.9</v>
      </c>
      <c r="P250" s="39">
        <v>0</v>
      </c>
      <c r="Q250">
        <v>81</v>
      </c>
      <c r="R250" s="40">
        <v>0</v>
      </c>
      <c r="S250">
        <v>89</v>
      </c>
      <c r="T250" s="5">
        <v>0.9101123595505618</v>
      </c>
      <c r="U250" s="39">
        <v>1</v>
      </c>
      <c r="V250" s="4">
        <v>24.774894773296388</v>
      </c>
      <c r="W250" s="37">
        <v>1</v>
      </c>
      <c r="X250">
        <v>2</v>
      </c>
      <c r="Y250" s="40">
        <v>0</v>
      </c>
      <c r="AA250" s="5"/>
      <c r="AB250" s="85">
        <v>0</v>
      </c>
      <c r="AC250" s="5">
        <v>5.74</v>
      </c>
      <c r="AD250" s="37">
        <v>1</v>
      </c>
      <c r="AE250">
        <v>18.54</v>
      </c>
      <c r="AF250" s="5">
        <v>6.22</v>
      </c>
      <c r="AG250" s="37">
        <v>1</v>
      </c>
      <c r="AH250" s="5">
        <v>1.08</v>
      </c>
      <c r="AI250" s="1">
        <v>1</v>
      </c>
      <c r="AJ250" s="13">
        <v>5.52</v>
      </c>
      <c r="AK250" s="1">
        <v>0</v>
      </c>
      <c r="AL250" s="13">
        <v>1.31</v>
      </c>
      <c r="AM250" s="1">
        <v>0</v>
      </c>
      <c r="AN250" s="82">
        <f t="shared" si="51"/>
        <v>4.7480916030534344</v>
      </c>
      <c r="AO250" s="1">
        <v>1</v>
      </c>
      <c r="AP250">
        <v>133</v>
      </c>
      <c r="AQ250" s="37">
        <v>1</v>
      </c>
      <c r="AR250">
        <v>94</v>
      </c>
      <c r="AS250" s="37">
        <v>1</v>
      </c>
      <c r="AT250">
        <v>69</v>
      </c>
      <c r="AU250">
        <v>39</v>
      </c>
      <c r="AV250">
        <v>8.6</v>
      </c>
      <c r="AW250">
        <v>1</v>
      </c>
      <c r="AX250">
        <v>1376</v>
      </c>
      <c r="AY250">
        <v>40.299999999999997</v>
      </c>
      <c r="AZ250">
        <v>30.8</v>
      </c>
      <c r="BA250">
        <v>250</v>
      </c>
      <c r="BB250">
        <v>10.4</v>
      </c>
      <c r="BC250">
        <v>205.4</v>
      </c>
      <c r="BD250">
        <v>31.5</v>
      </c>
      <c r="BE250">
        <v>13.8</v>
      </c>
      <c r="BF250">
        <v>6.7</v>
      </c>
      <c r="BG250">
        <v>20.2</v>
      </c>
      <c r="BH250">
        <v>11.7</v>
      </c>
      <c r="BI250">
        <v>68.099999999999994</v>
      </c>
      <c r="BJ250">
        <v>12.9</v>
      </c>
      <c r="BK250">
        <v>3.8</v>
      </c>
      <c r="BL250">
        <v>19.7</v>
      </c>
      <c r="BM250">
        <v>2.5</v>
      </c>
      <c r="BN250">
        <v>0.5</v>
      </c>
      <c r="BO250">
        <v>0.25</v>
      </c>
      <c r="BP250">
        <v>7.0000000000000007E-2</v>
      </c>
      <c r="BQ250">
        <v>0.01</v>
      </c>
      <c r="BR250">
        <v>461</v>
      </c>
      <c r="BS250">
        <v>112</v>
      </c>
      <c r="BT250">
        <v>1584</v>
      </c>
      <c r="BU250">
        <v>1150</v>
      </c>
      <c r="BV250">
        <v>4.95</v>
      </c>
      <c r="BW250">
        <v>3.14</v>
      </c>
      <c r="BX250">
        <v>0.72</v>
      </c>
      <c r="BY250">
        <v>4.5999999999999996</v>
      </c>
      <c r="BZ250">
        <v>42.1</v>
      </c>
      <c r="CA250">
        <v>1.06</v>
      </c>
      <c r="CB250">
        <v>2.17</v>
      </c>
      <c r="CC250">
        <v>4.9000000000000004</v>
      </c>
      <c r="CD250">
        <v>0.35</v>
      </c>
      <c r="CE250">
        <v>0.93</v>
      </c>
      <c r="CF250">
        <v>115</v>
      </c>
      <c r="CG250">
        <v>20.399999999999999</v>
      </c>
      <c r="CH250">
        <v>159</v>
      </c>
      <c r="CI250">
        <v>1.07</v>
      </c>
      <c r="CJ250">
        <v>0.6</v>
      </c>
      <c r="CK250">
        <v>2</v>
      </c>
      <c r="CL250" s="42" t="str">
        <f t="shared" si="42"/>
        <v>1</v>
      </c>
      <c r="CM250" s="4">
        <v>66.666666666666671</v>
      </c>
      <c r="CN250" s="4">
        <f t="shared" si="52"/>
        <v>2.3199999999999998</v>
      </c>
      <c r="CO250">
        <v>7</v>
      </c>
      <c r="CP250" s="42" t="str">
        <f t="shared" si="43"/>
        <v>1</v>
      </c>
      <c r="CQ250" s="4">
        <v>116</v>
      </c>
      <c r="CR250" s="4">
        <v>3.9382716049382713</v>
      </c>
      <c r="CS250" s="43" t="str">
        <f t="shared" si="44"/>
        <v>2</v>
      </c>
      <c r="CT250" s="4">
        <f t="shared" si="45"/>
        <v>182.66666666666669</v>
      </c>
      <c r="CU250" s="4">
        <f t="shared" si="46"/>
        <v>6.2582716049382707</v>
      </c>
      <c r="CV250" s="4">
        <v>4</v>
      </c>
    </row>
    <row r="251" spans="1:100" x14ac:dyDescent="0.3">
      <c r="A251" s="8" t="s">
        <v>387</v>
      </c>
      <c r="B251" s="18">
        <v>1</v>
      </c>
      <c r="C251">
        <v>50</v>
      </c>
      <c r="D251">
        <v>3</v>
      </c>
      <c r="E251">
        <v>0</v>
      </c>
      <c r="F251">
        <v>1</v>
      </c>
      <c r="G251">
        <v>0</v>
      </c>
      <c r="H251">
        <v>0</v>
      </c>
      <c r="I251">
        <v>1</v>
      </c>
      <c r="J251">
        <v>33.299999999999997</v>
      </c>
      <c r="K251">
        <v>1.45</v>
      </c>
      <c r="L251">
        <f t="shared" si="50"/>
        <v>145</v>
      </c>
      <c r="M251" s="82">
        <v>13.386600000000001</v>
      </c>
      <c r="N251">
        <v>30.7</v>
      </c>
      <c r="O251" s="4">
        <v>40.200000000000003</v>
      </c>
      <c r="P251" s="39">
        <v>1</v>
      </c>
      <c r="Q251">
        <v>83.5</v>
      </c>
      <c r="R251" s="40">
        <v>1</v>
      </c>
      <c r="S251">
        <v>89</v>
      </c>
      <c r="T251" s="5">
        <v>0.9382022471910112</v>
      </c>
      <c r="U251" s="39">
        <v>1</v>
      </c>
      <c r="V251" s="4">
        <v>15.838287752675384</v>
      </c>
      <c r="W251" s="37">
        <v>0</v>
      </c>
      <c r="X251">
        <v>8</v>
      </c>
      <c r="Y251" s="40">
        <v>0</v>
      </c>
      <c r="Z251" s="5">
        <v>7.55</v>
      </c>
      <c r="AA251" s="5">
        <v>1.5167111111111109</v>
      </c>
      <c r="AB251" s="85">
        <v>0</v>
      </c>
      <c r="AC251" s="5">
        <v>4.5199999999999996</v>
      </c>
      <c r="AD251" s="37">
        <v>0</v>
      </c>
      <c r="AE251">
        <v>16.28</v>
      </c>
      <c r="AF251" s="5">
        <v>5.64</v>
      </c>
      <c r="AG251" s="37">
        <v>1</v>
      </c>
      <c r="AH251" s="5">
        <v>0.64</v>
      </c>
      <c r="AI251" s="1">
        <v>1</v>
      </c>
      <c r="AJ251" s="13">
        <v>4.21</v>
      </c>
      <c r="AK251" s="1">
        <v>1</v>
      </c>
      <c r="AL251" s="13">
        <v>1.1399999999999999</v>
      </c>
      <c r="AM251" s="1">
        <v>1</v>
      </c>
      <c r="AN251" s="82">
        <f t="shared" si="51"/>
        <v>4.9473684210526319</v>
      </c>
      <c r="AO251" s="1">
        <v>1</v>
      </c>
      <c r="AP251">
        <v>137</v>
      </c>
      <c r="AQ251" s="37">
        <v>1</v>
      </c>
      <c r="AR251">
        <v>80</v>
      </c>
      <c r="AS251" s="37">
        <v>0</v>
      </c>
      <c r="AT251">
        <v>81</v>
      </c>
      <c r="AU251">
        <v>57</v>
      </c>
      <c r="AV251">
        <v>7.7</v>
      </c>
      <c r="AW251">
        <v>0</v>
      </c>
      <c r="AX251">
        <v>1098</v>
      </c>
      <c r="AY251">
        <v>29.7</v>
      </c>
      <c r="AZ251">
        <v>34.5</v>
      </c>
      <c r="BA251">
        <v>178</v>
      </c>
      <c r="BB251">
        <v>1.9</v>
      </c>
      <c r="BC251">
        <v>136.80000000000001</v>
      </c>
      <c r="BD251">
        <v>11.5</v>
      </c>
      <c r="BE251">
        <v>9.5</v>
      </c>
      <c r="BF251">
        <v>8.3000000000000007</v>
      </c>
      <c r="BG251">
        <v>28.3</v>
      </c>
      <c r="BH251">
        <v>10.8</v>
      </c>
      <c r="BI251">
        <v>60.8</v>
      </c>
      <c r="BJ251">
        <v>11.5</v>
      </c>
      <c r="BK251">
        <v>3.2</v>
      </c>
      <c r="BL251">
        <v>14.1</v>
      </c>
      <c r="BM251">
        <v>2.9</v>
      </c>
      <c r="BN251">
        <v>0.6</v>
      </c>
      <c r="BO251">
        <v>0.31</v>
      </c>
      <c r="BP251">
        <v>0.14000000000000001</v>
      </c>
      <c r="BQ251">
        <v>0</v>
      </c>
      <c r="BR251">
        <v>471</v>
      </c>
      <c r="BS251">
        <v>100.7</v>
      </c>
      <c r="BT251">
        <v>1630</v>
      </c>
      <c r="BU251">
        <v>803</v>
      </c>
      <c r="BV251">
        <v>4.9000000000000004</v>
      </c>
      <c r="BW251">
        <v>3.08</v>
      </c>
      <c r="BX251">
        <v>1.03</v>
      </c>
      <c r="BY251">
        <v>2.2000000000000002</v>
      </c>
      <c r="BZ251">
        <v>5.7</v>
      </c>
      <c r="CA251">
        <v>0.33</v>
      </c>
      <c r="CB251">
        <v>0.68</v>
      </c>
      <c r="CC251">
        <v>6</v>
      </c>
      <c r="CD251">
        <v>0.19</v>
      </c>
      <c r="CE251">
        <v>0.62</v>
      </c>
      <c r="CF251">
        <v>116.6</v>
      </c>
      <c r="CG251">
        <v>14.7</v>
      </c>
      <c r="CH251">
        <v>200</v>
      </c>
      <c r="CI251">
        <v>1.64</v>
      </c>
      <c r="CJ251">
        <v>0.6</v>
      </c>
      <c r="CK251">
        <v>1</v>
      </c>
      <c r="CL251" s="42" t="str">
        <f t="shared" si="42"/>
        <v>1</v>
      </c>
      <c r="CM251" s="4">
        <v>24</v>
      </c>
      <c r="CN251" s="4">
        <f t="shared" si="52"/>
        <v>1.65</v>
      </c>
      <c r="CO251">
        <v>3</v>
      </c>
      <c r="CP251" s="42" t="str">
        <f t="shared" si="43"/>
        <v>1</v>
      </c>
      <c r="CQ251" s="4">
        <v>82.5</v>
      </c>
      <c r="CR251" s="4">
        <v>1.2839506172839505</v>
      </c>
      <c r="CS251" s="43" t="str">
        <f t="shared" si="44"/>
        <v>1</v>
      </c>
      <c r="CT251" s="4">
        <f t="shared" si="45"/>
        <v>106.5</v>
      </c>
      <c r="CU251" s="4">
        <f t="shared" si="46"/>
        <v>2.9339506172839505</v>
      </c>
      <c r="CV251" s="4">
        <v>2</v>
      </c>
    </row>
    <row r="252" spans="1:100" x14ac:dyDescent="0.3">
      <c r="A252" s="8" t="s">
        <v>386</v>
      </c>
      <c r="B252" s="18">
        <v>1</v>
      </c>
      <c r="C252">
        <v>51</v>
      </c>
      <c r="D252">
        <v>3</v>
      </c>
      <c r="E252">
        <v>0</v>
      </c>
      <c r="F252">
        <v>1</v>
      </c>
      <c r="G252">
        <v>0</v>
      </c>
      <c r="H252">
        <v>0</v>
      </c>
      <c r="I252">
        <v>1</v>
      </c>
      <c r="J252">
        <v>33.799999999999997</v>
      </c>
      <c r="K252">
        <v>1.5</v>
      </c>
      <c r="L252">
        <f t="shared" si="50"/>
        <v>150</v>
      </c>
      <c r="M252" s="82">
        <v>6.4219999999999997</v>
      </c>
      <c r="N252">
        <v>26.1</v>
      </c>
      <c r="O252" s="4">
        <v>19</v>
      </c>
      <c r="P252" s="39">
        <v>0</v>
      </c>
      <c r="Q252">
        <v>74.5</v>
      </c>
      <c r="R252" s="40">
        <v>0</v>
      </c>
      <c r="S252">
        <v>70.5</v>
      </c>
      <c r="T252" s="5">
        <v>1.0567375886524824</v>
      </c>
      <c r="U252" s="39">
        <v>1</v>
      </c>
      <c r="V252" s="4">
        <v>15.02222222222222</v>
      </c>
      <c r="W252" s="37">
        <v>0</v>
      </c>
      <c r="X252">
        <v>1</v>
      </c>
      <c r="Y252" s="40">
        <v>0</v>
      </c>
      <c r="Z252" s="5">
        <v>4.96</v>
      </c>
      <c r="AA252" s="5">
        <v>0.96995555555555568</v>
      </c>
      <c r="AB252" s="85">
        <v>0</v>
      </c>
      <c r="AC252" s="5">
        <v>4.4000000000000004</v>
      </c>
      <c r="AD252" s="37">
        <v>0</v>
      </c>
      <c r="AE252">
        <v>7.69</v>
      </c>
      <c r="AF252" s="5">
        <v>6.83</v>
      </c>
      <c r="AG252" s="37">
        <v>1</v>
      </c>
      <c r="AH252" s="5">
        <v>0.65</v>
      </c>
      <c r="AI252" s="1">
        <v>1</v>
      </c>
      <c r="AJ252" s="13">
        <v>4.33</v>
      </c>
      <c r="AK252" s="1">
        <v>0</v>
      </c>
      <c r="AL252" s="13">
        <v>2.21</v>
      </c>
      <c r="AM252" s="1">
        <v>0</v>
      </c>
      <c r="AN252" s="82">
        <f t="shared" si="51"/>
        <v>3.0904977375565612</v>
      </c>
      <c r="AO252" s="1">
        <v>0</v>
      </c>
      <c r="AP252">
        <v>98</v>
      </c>
      <c r="AQ252" s="37">
        <v>0</v>
      </c>
      <c r="AR252">
        <v>65</v>
      </c>
      <c r="AS252" s="37">
        <v>0</v>
      </c>
      <c r="AT252">
        <v>86</v>
      </c>
      <c r="AU252">
        <v>33</v>
      </c>
      <c r="AV252">
        <v>6.5</v>
      </c>
      <c r="AW252">
        <v>1</v>
      </c>
      <c r="AX252">
        <v>1153</v>
      </c>
      <c r="AY252">
        <v>58.4</v>
      </c>
      <c r="AZ252">
        <v>36.9</v>
      </c>
      <c r="BA252">
        <v>156.30000000000001</v>
      </c>
      <c r="BB252">
        <v>7</v>
      </c>
      <c r="BC252">
        <v>134.80000000000001</v>
      </c>
      <c r="BD252">
        <v>7.3</v>
      </c>
      <c r="BE252">
        <v>6.3</v>
      </c>
      <c r="BF252">
        <v>86.7</v>
      </c>
      <c r="BG252">
        <v>28.8</v>
      </c>
      <c r="BH252">
        <v>20.2</v>
      </c>
      <c r="BI252">
        <v>50.8</v>
      </c>
      <c r="BJ252">
        <v>21.7</v>
      </c>
      <c r="BK252">
        <v>2.1</v>
      </c>
      <c r="BL252">
        <v>27.9</v>
      </c>
      <c r="BM252">
        <v>1.7</v>
      </c>
      <c r="BN252">
        <v>0.9</v>
      </c>
      <c r="BO252">
        <v>0.16</v>
      </c>
      <c r="BP252">
        <v>0.01</v>
      </c>
      <c r="BQ252">
        <v>0</v>
      </c>
      <c r="BR252">
        <v>158</v>
      </c>
      <c r="BS252">
        <v>161.19999999999999</v>
      </c>
      <c r="BT252">
        <v>5019</v>
      </c>
      <c r="BU252">
        <v>1581</v>
      </c>
      <c r="BV252">
        <v>5.73</v>
      </c>
      <c r="BW252">
        <v>2.95</v>
      </c>
      <c r="BX252">
        <v>0.67</v>
      </c>
      <c r="BY252">
        <v>84.8</v>
      </c>
      <c r="BZ252">
        <v>1.7</v>
      </c>
      <c r="CA252">
        <v>0.65</v>
      </c>
      <c r="CB252">
        <v>1.1599999999999999</v>
      </c>
      <c r="CC252">
        <v>5.6</v>
      </c>
      <c r="CD252">
        <v>0.65</v>
      </c>
      <c r="CE252">
        <v>5.88</v>
      </c>
      <c r="CF252">
        <v>67.599999999999994</v>
      </c>
      <c r="CG252">
        <v>8.8000000000000007</v>
      </c>
      <c r="CH252">
        <v>88</v>
      </c>
      <c r="CI252">
        <v>2.2799999999999998</v>
      </c>
      <c r="CJ252">
        <v>1.9</v>
      </c>
      <c r="CK252">
        <v>0</v>
      </c>
      <c r="CL252" s="42" t="str">
        <f t="shared" si="42"/>
        <v>1</v>
      </c>
      <c r="CM252" s="4">
        <v>0</v>
      </c>
      <c r="CN252" s="4">
        <f t="shared" si="52"/>
        <v>1.61</v>
      </c>
      <c r="CO252">
        <v>2</v>
      </c>
      <c r="CP252" s="42" t="str">
        <f t="shared" si="43"/>
        <v>1</v>
      </c>
      <c r="CQ252" s="4">
        <v>80.5</v>
      </c>
      <c r="CR252" s="4">
        <v>0.46913580246913578</v>
      </c>
      <c r="CS252" s="43" t="str">
        <f t="shared" si="44"/>
        <v>1</v>
      </c>
      <c r="CT252" s="4">
        <f t="shared" si="45"/>
        <v>80.5</v>
      </c>
      <c r="CU252" s="4">
        <f t="shared" si="46"/>
        <v>2.079135802469136</v>
      </c>
      <c r="CV252" s="4">
        <v>2</v>
      </c>
    </row>
    <row r="253" spans="1:100" x14ac:dyDescent="0.3">
      <c r="A253" s="8" t="s">
        <v>385</v>
      </c>
      <c r="B253" s="18">
        <v>1</v>
      </c>
      <c r="C253">
        <v>30</v>
      </c>
      <c r="D253">
        <v>1</v>
      </c>
      <c r="E253">
        <v>2</v>
      </c>
      <c r="F253">
        <v>1</v>
      </c>
      <c r="G253">
        <v>0</v>
      </c>
      <c r="H253">
        <v>0</v>
      </c>
      <c r="I253">
        <v>1</v>
      </c>
      <c r="J253">
        <v>79.099999999999994</v>
      </c>
      <c r="K253">
        <v>1.645</v>
      </c>
      <c r="L253">
        <f t="shared" si="50"/>
        <v>164.5</v>
      </c>
      <c r="M253" s="82">
        <v>34.962199999999996</v>
      </c>
      <c r="N253">
        <v>41.4</v>
      </c>
      <c r="O253" s="4">
        <v>44.2</v>
      </c>
      <c r="P253" s="39">
        <v>1</v>
      </c>
      <c r="Q253">
        <v>99.4</v>
      </c>
      <c r="R253" s="40">
        <v>1</v>
      </c>
      <c r="S253">
        <v>106.5</v>
      </c>
      <c r="T253" s="5">
        <v>0.93333333333333335</v>
      </c>
      <c r="U253" s="39">
        <v>1</v>
      </c>
      <c r="V253" s="4">
        <v>29.231067710017459</v>
      </c>
      <c r="W253" s="37">
        <v>1</v>
      </c>
      <c r="X253">
        <v>11</v>
      </c>
      <c r="Y253" s="40">
        <v>1</v>
      </c>
      <c r="AA253" s="5"/>
      <c r="AB253" s="85">
        <v>0</v>
      </c>
      <c r="AC253" s="5">
        <v>4.3499999999999996</v>
      </c>
      <c r="AD253" s="37">
        <v>0</v>
      </c>
      <c r="AE253">
        <v>26.18</v>
      </c>
      <c r="AF253" s="5">
        <v>5.21</v>
      </c>
      <c r="AG253" s="37">
        <v>1</v>
      </c>
      <c r="AH253" s="5">
        <v>2.44</v>
      </c>
      <c r="AI253" s="1">
        <v>0</v>
      </c>
      <c r="AJ253" s="13">
        <v>3.29</v>
      </c>
      <c r="AK253" s="1">
        <v>1</v>
      </c>
      <c r="AL253" s="13">
        <v>0.81</v>
      </c>
      <c r="AM253" s="1">
        <v>1</v>
      </c>
      <c r="AN253" s="82">
        <f t="shared" si="51"/>
        <v>6.432098765432098</v>
      </c>
      <c r="AO253" s="1">
        <v>1</v>
      </c>
      <c r="AP253" s="12">
        <v>117</v>
      </c>
      <c r="AQ253" s="37">
        <v>0</v>
      </c>
      <c r="AR253" s="12">
        <v>76</v>
      </c>
      <c r="AS253" s="37">
        <v>0</v>
      </c>
      <c r="AT253" s="12">
        <v>65</v>
      </c>
      <c r="AU253" s="12">
        <v>41</v>
      </c>
      <c r="AV253" s="12">
        <v>5.3</v>
      </c>
      <c r="AW253">
        <v>1</v>
      </c>
      <c r="AX253">
        <v>1827</v>
      </c>
      <c r="AY253">
        <v>52.7</v>
      </c>
      <c r="AZ253">
        <v>65.099999999999994</v>
      </c>
      <c r="BA253">
        <v>273.89999999999998</v>
      </c>
      <c r="BB253">
        <v>11.3</v>
      </c>
      <c r="BC253">
        <v>207.1</v>
      </c>
      <c r="BD253">
        <v>56.5</v>
      </c>
      <c r="BE253">
        <v>34.9</v>
      </c>
      <c r="BF253">
        <v>131.19999999999999</v>
      </c>
      <c r="BG253">
        <v>32.1</v>
      </c>
      <c r="BH253">
        <v>11.5</v>
      </c>
      <c r="BI253">
        <v>56.2</v>
      </c>
      <c r="BJ253">
        <v>24</v>
      </c>
      <c r="BK253">
        <v>7.2</v>
      </c>
      <c r="BL253">
        <v>48.7</v>
      </c>
      <c r="BM253">
        <v>7.6</v>
      </c>
      <c r="BN253">
        <v>2.7</v>
      </c>
      <c r="BO253">
        <v>2.4500000000000002</v>
      </c>
      <c r="BP253">
        <v>0.15</v>
      </c>
      <c r="BQ253">
        <v>0.49</v>
      </c>
      <c r="BR253">
        <v>560</v>
      </c>
      <c r="BS253">
        <v>218.9</v>
      </c>
      <c r="BT253">
        <v>4674</v>
      </c>
      <c r="BU253">
        <v>2149</v>
      </c>
      <c r="BV253">
        <v>10.02</v>
      </c>
      <c r="BW253">
        <v>7.57</v>
      </c>
      <c r="BX253">
        <v>1.57</v>
      </c>
      <c r="BY253">
        <v>42.6</v>
      </c>
      <c r="BZ253">
        <v>85.2</v>
      </c>
      <c r="CA253">
        <v>0.63</v>
      </c>
      <c r="CB253">
        <v>0.8</v>
      </c>
      <c r="CC253">
        <v>14.1</v>
      </c>
      <c r="CD253">
        <v>1.04</v>
      </c>
      <c r="CE253">
        <v>1.5</v>
      </c>
      <c r="CF253">
        <v>263.5</v>
      </c>
      <c r="CG253">
        <v>18.7</v>
      </c>
      <c r="CH253">
        <v>477</v>
      </c>
      <c r="CI253">
        <v>1.44</v>
      </c>
      <c r="CJ253">
        <v>2.9</v>
      </c>
      <c r="CK253">
        <v>0</v>
      </c>
      <c r="CL253" s="42" t="str">
        <f t="shared" si="42"/>
        <v>1</v>
      </c>
      <c r="CM253" s="4">
        <v>0</v>
      </c>
      <c r="CN253" s="4">
        <f t="shared" si="52"/>
        <v>1.0066666666666668</v>
      </c>
      <c r="CO253">
        <v>3</v>
      </c>
      <c r="CP253" s="42" t="str">
        <f t="shared" si="43"/>
        <v>1</v>
      </c>
      <c r="CQ253" s="4">
        <v>50.333333333333336</v>
      </c>
      <c r="CR253" s="4">
        <v>0.48765432098765432</v>
      </c>
      <c r="CS253" s="43" t="str">
        <f t="shared" si="44"/>
        <v>1</v>
      </c>
      <c r="CT253" s="4">
        <f t="shared" si="45"/>
        <v>50.333333333333336</v>
      </c>
      <c r="CU253" s="4">
        <f t="shared" si="46"/>
        <v>1.4943209876543211</v>
      </c>
      <c r="CV253" s="4">
        <v>1</v>
      </c>
    </row>
    <row r="254" spans="1:100" x14ac:dyDescent="0.3">
      <c r="A254" s="8" t="s">
        <v>384</v>
      </c>
      <c r="B254" s="18">
        <v>1</v>
      </c>
      <c r="C254">
        <v>34</v>
      </c>
      <c r="D254">
        <v>1</v>
      </c>
      <c r="E254">
        <v>3</v>
      </c>
      <c r="F254">
        <v>1</v>
      </c>
      <c r="G254">
        <v>0</v>
      </c>
      <c r="H254">
        <v>0</v>
      </c>
      <c r="I254">
        <v>1</v>
      </c>
      <c r="J254">
        <v>64.3</v>
      </c>
      <c r="K254">
        <v>1.6160000000000001</v>
      </c>
      <c r="L254">
        <f t="shared" si="50"/>
        <v>161.60000000000002</v>
      </c>
      <c r="M254" s="82">
        <v>19.482900000000001</v>
      </c>
      <c r="N254">
        <v>42</v>
      </c>
      <c r="O254" s="4">
        <v>30.3</v>
      </c>
      <c r="P254" s="39">
        <v>0</v>
      </c>
      <c r="Q254">
        <v>86.2</v>
      </c>
      <c r="R254" s="40">
        <v>1</v>
      </c>
      <c r="S254">
        <v>96.8</v>
      </c>
      <c r="T254" s="5">
        <v>0.89049586776859513</v>
      </c>
      <c r="U254" s="39">
        <v>1</v>
      </c>
      <c r="V254" s="4">
        <v>24.622279678462892</v>
      </c>
      <c r="W254" s="37">
        <v>1</v>
      </c>
      <c r="X254">
        <v>3</v>
      </c>
      <c r="Y254" s="40">
        <v>0</v>
      </c>
      <c r="Z254" s="5">
        <v>6.5</v>
      </c>
      <c r="AA254" s="5">
        <v>1.3808888888888888</v>
      </c>
      <c r="AB254" s="85">
        <v>0</v>
      </c>
      <c r="AC254" s="5">
        <v>4.78</v>
      </c>
      <c r="AD254" s="37">
        <v>0</v>
      </c>
      <c r="AE254">
        <v>17.36</v>
      </c>
      <c r="AF254" s="5">
        <v>5.27</v>
      </c>
      <c r="AG254" s="37">
        <v>1</v>
      </c>
      <c r="AH254" s="5">
        <v>0.67</v>
      </c>
      <c r="AI254" s="1">
        <v>1</v>
      </c>
      <c r="AJ254" s="13">
        <v>3.77</v>
      </c>
      <c r="AK254" s="1">
        <v>1</v>
      </c>
      <c r="AL254" s="13">
        <v>1.2</v>
      </c>
      <c r="AM254" s="1">
        <v>1</v>
      </c>
      <c r="AN254" s="82">
        <f t="shared" si="51"/>
        <v>4.3916666666666666</v>
      </c>
      <c r="AO254" s="1">
        <v>1</v>
      </c>
      <c r="AP254" s="12">
        <v>118</v>
      </c>
      <c r="AQ254" s="37">
        <v>0</v>
      </c>
      <c r="AR254" s="12">
        <v>85</v>
      </c>
      <c r="AS254" s="37">
        <v>1</v>
      </c>
      <c r="AT254" s="12">
        <v>86</v>
      </c>
      <c r="AU254" s="12">
        <v>34</v>
      </c>
      <c r="AV254" s="12">
        <v>5.3</v>
      </c>
      <c r="AW254">
        <v>1</v>
      </c>
      <c r="AX254">
        <v>2085</v>
      </c>
      <c r="AY254">
        <v>50.7</v>
      </c>
      <c r="AZ254">
        <v>59.7</v>
      </c>
      <c r="BA254">
        <v>358.3</v>
      </c>
      <c r="BB254">
        <v>12.8</v>
      </c>
      <c r="BC254">
        <v>266.3</v>
      </c>
      <c r="BD254">
        <v>79.900000000000006</v>
      </c>
      <c r="BE254">
        <v>67.2</v>
      </c>
      <c r="BF254">
        <v>112.7</v>
      </c>
      <c r="BG254">
        <v>25.8</v>
      </c>
      <c r="BH254">
        <v>9.6999999999999993</v>
      </c>
      <c r="BI254">
        <v>64.400000000000006</v>
      </c>
      <c r="BJ254">
        <v>18.3</v>
      </c>
      <c r="BK254">
        <v>12.1</v>
      </c>
      <c r="BL254">
        <v>42.5</v>
      </c>
      <c r="BM254">
        <v>5.6</v>
      </c>
      <c r="BN254">
        <v>2.1</v>
      </c>
      <c r="BO254">
        <v>1.64</v>
      </c>
      <c r="BP254">
        <v>0.31</v>
      </c>
      <c r="BQ254">
        <v>0.15</v>
      </c>
      <c r="BR254">
        <v>332</v>
      </c>
      <c r="BS254">
        <v>159.19999999999999</v>
      </c>
      <c r="BT254">
        <v>2844</v>
      </c>
      <c r="BU254">
        <v>1631</v>
      </c>
      <c r="BV254">
        <v>7.98</v>
      </c>
      <c r="BW254">
        <v>5.05</v>
      </c>
      <c r="BX254">
        <v>1.1100000000000001</v>
      </c>
      <c r="BY254">
        <v>55.6</v>
      </c>
      <c r="BZ254">
        <v>45.9</v>
      </c>
      <c r="CA254">
        <v>1.39</v>
      </c>
      <c r="CB254">
        <v>2.17</v>
      </c>
      <c r="CC254">
        <v>8.9</v>
      </c>
      <c r="CD254">
        <v>53.08</v>
      </c>
      <c r="CE254">
        <v>1.93</v>
      </c>
      <c r="CF254">
        <v>1344.6</v>
      </c>
      <c r="CG254">
        <v>19.100000000000001</v>
      </c>
      <c r="CH254">
        <v>444</v>
      </c>
      <c r="CI254">
        <v>1.2</v>
      </c>
      <c r="CJ254">
        <v>3.1</v>
      </c>
      <c r="CK254">
        <v>1</v>
      </c>
      <c r="CL254" s="42" t="str">
        <f t="shared" si="42"/>
        <v>1</v>
      </c>
      <c r="CM254" s="4">
        <v>12</v>
      </c>
      <c r="CN254" s="4">
        <f t="shared" si="52"/>
        <v>1.86</v>
      </c>
      <c r="CO254">
        <v>3</v>
      </c>
      <c r="CP254" s="42" t="str">
        <f t="shared" si="43"/>
        <v>1</v>
      </c>
      <c r="CQ254" s="4">
        <v>93</v>
      </c>
      <c r="CR254" s="4">
        <v>0.77160493827160492</v>
      </c>
      <c r="CS254" s="43" t="str">
        <f t="shared" si="44"/>
        <v>1</v>
      </c>
      <c r="CT254" s="4">
        <f t="shared" si="45"/>
        <v>105</v>
      </c>
      <c r="CU254" s="4">
        <f t="shared" si="46"/>
        <v>2.6316049382716051</v>
      </c>
      <c r="CV254" s="4">
        <v>2</v>
      </c>
    </row>
    <row r="255" spans="1:100" x14ac:dyDescent="0.3">
      <c r="A255" s="8" t="s">
        <v>383</v>
      </c>
      <c r="B255" s="18">
        <v>1</v>
      </c>
      <c r="C255">
        <v>49</v>
      </c>
      <c r="D255">
        <v>3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65.900000000000006</v>
      </c>
      <c r="K255">
        <v>1.5720000000000001</v>
      </c>
      <c r="L255">
        <f t="shared" si="50"/>
        <v>157.20000000000002</v>
      </c>
      <c r="M255" s="82">
        <v>24.712499999999999</v>
      </c>
      <c r="N255" s="20">
        <v>38.799999999999997</v>
      </c>
      <c r="O255" s="4">
        <v>37.5</v>
      </c>
      <c r="P255" s="39">
        <v>1</v>
      </c>
      <c r="Q255">
        <v>92</v>
      </c>
      <c r="R255" s="40">
        <v>1</v>
      </c>
      <c r="S255">
        <v>97</v>
      </c>
      <c r="T255" s="5">
        <v>0.94845360824742264</v>
      </c>
      <c r="U255" s="39">
        <v>1</v>
      </c>
      <c r="V255" s="4">
        <v>26.667378875874885</v>
      </c>
      <c r="W255" s="37">
        <v>1</v>
      </c>
      <c r="X255">
        <v>8</v>
      </c>
      <c r="Y255" s="40">
        <v>0</v>
      </c>
      <c r="Z255" s="5">
        <v>23.73</v>
      </c>
      <c r="AA255" s="5">
        <v>4.3135866666666667</v>
      </c>
      <c r="AB255" s="85">
        <v>1</v>
      </c>
      <c r="AC255" s="5">
        <v>4.09</v>
      </c>
      <c r="AD255" s="37">
        <v>0</v>
      </c>
      <c r="AE255">
        <v>7.23</v>
      </c>
      <c r="AF255" s="5">
        <v>4.82</v>
      </c>
      <c r="AG255" s="37">
        <v>0</v>
      </c>
      <c r="AH255" s="5">
        <v>1.2</v>
      </c>
      <c r="AI255" s="1">
        <v>0</v>
      </c>
      <c r="AJ255" s="13">
        <v>3.25</v>
      </c>
      <c r="AK255" s="1">
        <v>1</v>
      </c>
      <c r="AL255" s="13">
        <v>1.02</v>
      </c>
      <c r="AM255" s="1">
        <v>1</v>
      </c>
      <c r="AN255" s="82">
        <f t="shared" si="51"/>
        <v>4.7254901960784315</v>
      </c>
      <c r="AO255" s="1">
        <v>1</v>
      </c>
      <c r="AP255">
        <v>158</v>
      </c>
      <c r="AQ255" s="37">
        <v>1</v>
      </c>
      <c r="AR255">
        <v>72</v>
      </c>
      <c r="AS255" s="37">
        <v>0</v>
      </c>
      <c r="AT255">
        <v>81</v>
      </c>
      <c r="AU255">
        <v>86</v>
      </c>
      <c r="AV255">
        <v>8.3000000000000007</v>
      </c>
      <c r="AW255">
        <v>0</v>
      </c>
      <c r="AX255">
        <v>1494</v>
      </c>
      <c r="AY255">
        <v>38</v>
      </c>
      <c r="AZ255">
        <v>46.2</v>
      </c>
      <c r="BA255">
        <v>246.5</v>
      </c>
      <c r="BB255">
        <v>5.7</v>
      </c>
      <c r="BC255">
        <v>171.8</v>
      </c>
      <c r="BD255">
        <v>65.8</v>
      </c>
      <c r="BE255">
        <v>55.2</v>
      </c>
      <c r="BF255">
        <v>272.60000000000002</v>
      </c>
      <c r="BG255">
        <v>27.8</v>
      </c>
      <c r="BH255">
        <v>10.199999999999999</v>
      </c>
      <c r="BI255">
        <v>61.8</v>
      </c>
      <c r="BJ255">
        <v>18.600000000000001</v>
      </c>
      <c r="BK255">
        <v>13.8</v>
      </c>
      <c r="BL255">
        <v>30.9</v>
      </c>
      <c r="BM255">
        <v>8.5</v>
      </c>
      <c r="BN255">
        <v>2.2999999999999998</v>
      </c>
      <c r="BO255">
        <v>1.96</v>
      </c>
      <c r="BP255">
        <v>0.18</v>
      </c>
      <c r="BQ255">
        <v>0.23</v>
      </c>
      <c r="BR255">
        <v>373</v>
      </c>
      <c r="BS255">
        <v>131.1</v>
      </c>
      <c r="BT255">
        <v>2060</v>
      </c>
      <c r="BU255">
        <v>1259</v>
      </c>
      <c r="BV255">
        <v>8.44</v>
      </c>
      <c r="BW255">
        <v>5.77</v>
      </c>
      <c r="BX255">
        <v>1.1399999999999999</v>
      </c>
      <c r="BY255">
        <v>27.2</v>
      </c>
      <c r="BZ255">
        <v>79.7</v>
      </c>
      <c r="CA255">
        <v>10.73</v>
      </c>
      <c r="CB255">
        <v>9.9499999999999993</v>
      </c>
      <c r="CC255">
        <v>11</v>
      </c>
      <c r="CD255">
        <v>0.59</v>
      </c>
      <c r="CE255">
        <v>1.24</v>
      </c>
      <c r="CF255">
        <v>148</v>
      </c>
      <c r="CG255">
        <v>8.3000000000000007</v>
      </c>
      <c r="CH255">
        <v>338</v>
      </c>
      <c r="CI255">
        <v>2.38</v>
      </c>
      <c r="CJ255">
        <v>47.9</v>
      </c>
      <c r="CK255">
        <v>0</v>
      </c>
      <c r="CL255" s="42" t="str">
        <f t="shared" si="42"/>
        <v>1</v>
      </c>
      <c r="CM255" s="4">
        <v>0</v>
      </c>
      <c r="CN255" s="4">
        <f t="shared" si="52"/>
        <v>0.84</v>
      </c>
      <c r="CO255">
        <v>2</v>
      </c>
      <c r="CP255" s="42" t="str">
        <f t="shared" si="43"/>
        <v>1</v>
      </c>
      <c r="CQ255" s="4">
        <v>42</v>
      </c>
      <c r="CR255" s="4">
        <v>2.2666666666666666</v>
      </c>
      <c r="CS255" s="43" t="str">
        <f t="shared" si="44"/>
        <v>1</v>
      </c>
      <c r="CT255" s="4">
        <f t="shared" si="45"/>
        <v>42</v>
      </c>
      <c r="CU255" s="4">
        <f t="shared" si="46"/>
        <v>3.1066666666666665</v>
      </c>
      <c r="CV255" s="4">
        <v>3</v>
      </c>
    </row>
    <row r="256" spans="1:100" x14ac:dyDescent="0.3">
      <c r="A256" s="8" t="s">
        <v>382</v>
      </c>
      <c r="B256" s="18">
        <v>1</v>
      </c>
      <c r="C256">
        <v>43</v>
      </c>
      <c r="D256">
        <v>1</v>
      </c>
      <c r="E256">
        <v>3</v>
      </c>
      <c r="F256">
        <v>1</v>
      </c>
      <c r="G256">
        <v>0</v>
      </c>
      <c r="H256">
        <v>0</v>
      </c>
      <c r="I256">
        <v>0</v>
      </c>
      <c r="J256">
        <v>47.5</v>
      </c>
      <c r="K256">
        <v>1.4390000000000001</v>
      </c>
      <c r="L256">
        <f t="shared" si="50"/>
        <v>143.9</v>
      </c>
      <c r="M256" s="82">
        <v>16.91</v>
      </c>
      <c r="N256" s="20">
        <v>29.1</v>
      </c>
      <c r="O256" s="4">
        <v>35.6</v>
      </c>
      <c r="P256" s="39">
        <v>1</v>
      </c>
      <c r="Q256">
        <v>80</v>
      </c>
      <c r="R256" s="40">
        <v>0</v>
      </c>
      <c r="S256">
        <v>89</v>
      </c>
      <c r="T256" s="5">
        <v>0.898876404494382</v>
      </c>
      <c r="U256" s="39">
        <v>1</v>
      </c>
      <c r="V256" s="4">
        <v>22.938870084381236</v>
      </c>
      <c r="W256" s="37">
        <v>0</v>
      </c>
      <c r="X256">
        <v>5</v>
      </c>
      <c r="Y256" s="40">
        <v>0</v>
      </c>
      <c r="AA256" s="5"/>
      <c r="AB256" s="85">
        <v>0</v>
      </c>
      <c r="AC256" s="5">
        <v>5.32</v>
      </c>
      <c r="AD256" s="37">
        <v>0</v>
      </c>
      <c r="AE256">
        <v>3</v>
      </c>
      <c r="AF256" s="5">
        <v>6.72</v>
      </c>
      <c r="AG256" s="37">
        <v>1</v>
      </c>
      <c r="AH256" s="5">
        <v>2.48</v>
      </c>
      <c r="AI256" s="1">
        <v>1</v>
      </c>
      <c r="AJ256" s="13">
        <v>4.5</v>
      </c>
      <c r="AK256" s="1">
        <v>1</v>
      </c>
      <c r="AL256" s="13">
        <v>1.0900000000000001</v>
      </c>
      <c r="AM256" s="1">
        <v>1</v>
      </c>
      <c r="AN256" s="82">
        <f t="shared" si="51"/>
        <v>6.1651376146788985</v>
      </c>
      <c r="AO256" s="1">
        <v>1</v>
      </c>
      <c r="AP256">
        <v>121</v>
      </c>
      <c r="AQ256" s="37">
        <v>0</v>
      </c>
      <c r="AR256">
        <v>76</v>
      </c>
      <c r="AS256" s="37">
        <v>0</v>
      </c>
      <c r="AT256">
        <v>83</v>
      </c>
      <c r="AU256">
        <v>45</v>
      </c>
      <c r="AV256">
        <v>6.4</v>
      </c>
      <c r="AW256">
        <v>1</v>
      </c>
      <c r="AX256">
        <v>2220</v>
      </c>
      <c r="AY256">
        <v>56.6</v>
      </c>
      <c r="AZ256">
        <v>50.6</v>
      </c>
      <c r="BA256">
        <v>409.9</v>
      </c>
      <c r="BB256">
        <v>19.2</v>
      </c>
      <c r="BC256">
        <v>327.5</v>
      </c>
      <c r="BD256">
        <v>59.5</v>
      </c>
      <c r="BE256">
        <v>46.1</v>
      </c>
      <c r="BF256">
        <v>61.4</v>
      </c>
      <c r="BG256">
        <v>20.5</v>
      </c>
      <c r="BH256">
        <v>10.199999999999999</v>
      </c>
      <c r="BI256">
        <v>69.2</v>
      </c>
      <c r="BJ256">
        <v>11.1</v>
      </c>
      <c r="BK256">
        <v>7.8</v>
      </c>
      <c r="BL256">
        <v>27.4</v>
      </c>
      <c r="BM256">
        <v>6</v>
      </c>
      <c r="BN256">
        <v>2.4</v>
      </c>
      <c r="BO256">
        <v>2.08</v>
      </c>
      <c r="BP256">
        <v>0.2</v>
      </c>
      <c r="BQ256">
        <v>0.11</v>
      </c>
      <c r="BR256">
        <v>559</v>
      </c>
      <c r="BS256">
        <v>462.2</v>
      </c>
      <c r="BT256">
        <v>2561</v>
      </c>
      <c r="BU256">
        <v>2006</v>
      </c>
      <c r="BV256">
        <v>10.18</v>
      </c>
      <c r="BW256">
        <v>8.2899999999999991</v>
      </c>
      <c r="BX256">
        <v>2.82</v>
      </c>
      <c r="BY256">
        <v>27.1</v>
      </c>
      <c r="BZ256">
        <v>15.1</v>
      </c>
      <c r="CA256">
        <v>1.53</v>
      </c>
      <c r="CB256">
        <v>0.66</v>
      </c>
      <c r="CC256">
        <v>27.9</v>
      </c>
      <c r="CD256">
        <v>0.73</v>
      </c>
      <c r="CE256">
        <v>1.89</v>
      </c>
      <c r="CF256">
        <v>171.6</v>
      </c>
      <c r="CG256">
        <v>15.1</v>
      </c>
      <c r="CH256">
        <v>216</v>
      </c>
      <c r="CI256">
        <v>1.35</v>
      </c>
      <c r="CJ256">
        <v>2.7</v>
      </c>
      <c r="CK256">
        <v>2</v>
      </c>
      <c r="CL256" s="42" t="str">
        <f t="shared" si="42"/>
        <v>1</v>
      </c>
      <c r="CM256" s="4">
        <v>60.666666666666664</v>
      </c>
      <c r="CN256" s="4">
        <f t="shared" si="52"/>
        <v>1.92</v>
      </c>
      <c r="CO256">
        <v>6</v>
      </c>
      <c r="CP256" s="42" t="str">
        <f t="shared" si="43"/>
        <v>1</v>
      </c>
      <c r="CQ256" s="4">
        <v>96</v>
      </c>
      <c r="CR256" s="4">
        <v>1.8888888888888888</v>
      </c>
      <c r="CS256" s="43" t="str">
        <f t="shared" si="44"/>
        <v>2</v>
      </c>
      <c r="CT256" s="4">
        <f t="shared" si="45"/>
        <v>156.66666666666666</v>
      </c>
      <c r="CU256" s="4">
        <f t="shared" si="46"/>
        <v>3.8088888888888888</v>
      </c>
      <c r="CV256" s="4">
        <v>3</v>
      </c>
    </row>
    <row r="257" spans="1:100" x14ac:dyDescent="0.3">
      <c r="A257" s="8" t="s">
        <v>381</v>
      </c>
      <c r="B257" s="18">
        <v>1</v>
      </c>
      <c r="C257">
        <v>44</v>
      </c>
      <c r="D257">
        <v>1</v>
      </c>
      <c r="E257">
        <v>3</v>
      </c>
      <c r="F257">
        <v>0</v>
      </c>
      <c r="G257">
        <v>0</v>
      </c>
      <c r="H257">
        <v>0</v>
      </c>
      <c r="I257">
        <v>1</v>
      </c>
      <c r="J257">
        <v>44.3</v>
      </c>
      <c r="K257">
        <v>1.5509999999999999</v>
      </c>
      <c r="L257">
        <f t="shared" si="50"/>
        <v>155.1</v>
      </c>
      <c r="M257" s="82">
        <v>13.157099999999998</v>
      </c>
      <c r="N257" s="20">
        <v>29.6</v>
      </c>
      <c r="O257" s="4">
        <v>29.7</v>
      </c>
      <c r="P257" s="39">
        <v>0</v>
      </c>
      <c r="Q257">
        <v>76.5</v>
      </c>
      <c r="R257" s="40">
        <v>0</v>
      </c>
      <c r="S257">
        <v>83</v>
      </c>
      <c r="T257" s="5">
        <v>0.92168674698795183</v>
      </c>
      <c r="U257" s="39">
        <v>1</v>
      </c>
      <c r="V257" s="4">
        <v>18.415356495112864</v>
      </c>
      <c r="W257" s="37">
        <v>0</v>
      </c>
      <c r="X257">
        <v>4</v>
      </c>
      <c r="Y257" s="40">
        <v>0</v>
      </c>
      <c r="Z257" s="5">
        <v>7.7</v>
      </c>
      <c r="AA257" s="5">
        <v>1.5673777777777778</v>
      </c>
      <c r="AB257" s="85">
        <v>0</v>
      </c>
      <c r="AC257" s="5">
        <v>4.58</v>
      </c>
      <c r="AD257" s="37">
        <v>0</v>
      </c>
      <c r="AE257">
        <v>19.88</v>
      </c>
      <c r="AF257" s="5">
        <v>5.98</v>
      </c>
      <c r="AG257" s="37">
        <v>1</v>
      </c>
      <c r="AH257" s="5">
        <v>0.94</v>
      </c>
      <c r="AI257" s="1">
        <v>1</v>
      </c>
      <c r="AJ257" s="13">
        <v>4.5599999999999996</v>
      </c>
      <c r="AK257" s="1">
        <v>1</v>
      </c>
      <c r="AL257" s="13">
        <v>0.99</v>
      </c>
      <c r="AM257" s="1">
        <v>1</v>
      </c>
      <c r="AN257" s="82">
        <f t="shared" si="51"/>
        <v>6.0404040404040407</v>
      </c>
      <c r="AO257" s="1">
        <v>1</v>
      </c>
      <c r="AP257">
        <v>105</v>
      </c>
      <c r="AQ257" s="37">
        <v>0</v>
      </c>
      <c r="AR257">
        <v>76</v>
      </c>
      <c r="AS257" s="37">
        <v>0</v>
      </c>
      <c r="AT257">
        <v>74</v>
      </c>
      <c r="AU257">
        <v>29</v>
      </c>
      <c r="AV257">
        <v>5.9</v>
      </c>
      <c r="AW257">
        <v>1</v>
      </c>
      <c r="AX257">
        <v>1020</v>
      </c>
      <c r="AY257">
        <v>38.1</v>
      </c>
      <c r="AZ257">
        <v>32.1</v>
      </c>
      <c r="BA257">
        <v>154</v>
      </c>
      <c r="BB257">
        <v>5.8</v>
      </c>
      <c r="BC257">
        <v>129.4</v>
      </c>
      <c r="BD257">
        <v>12.5</v>
      </c>
      <c r="BE257">
        <v>6.9</v>
      </c>
      <c r="BF257">
        <v>98</v>
      </c>
      <c r="BG257">
        <v>28.3</v>
      </c>
      <c r="BH257">
        <v>14.9</v>
      </c>
      <c r="BI257">
        <v>56.6</v>
      </c>
      <c r="BJ257">
        <v>17.899999999999999</v>
      </c>
      <c r="BK257">
        <v>2.5</v>
      </c>
      <c r="BL257">
        <v>20.2</v>
      </c>
      <c r="BM257">
        <v>3.4</v>
      </c>
      <c r="BN257">
        <v>1.4</v>
      </c>
      <c r="BO257">
        <v>1.0900000000000001</v>
      </c>
      <c r="BP257">
        <v>0.06</v>
      </c>
      <c r="BQ257">
        <v>0</v>
      </c>
      <c r="BR257">
        <v>203</v>
      </c>
      <c r="BS257">
        <v>124.6</v>
      </c>
      <c r="BT257">
        <v>1989</v>
      </c>
      <c r="BU257">
        <v>1254</v>
      </c>
      <c r="BV257">
        <v>6.68</v>
      </c>
      <c r="BW257">
        <v>3.88</v>
      </c>
      <c r="BX257">
        <v>0.72</v>
      </c>
      <c r="BY257">
        <v>19.600000000000001</v>
      </c>
      <c r="BZ257">
        <v>24.2</v>
      </c>
      <c r="CA257">
        <v>0.49</v>
      </c>
      <c r="CB257">
        <v>0.68</v>
      </c>
      <c r="CC257">
        <v>13.4</v>
      </c>
      <c r="CD257">
        <v>0.88</v>
      </c>
      <c r="CE257">
        <v>1.7</v>
      </c>
      <c r="CF257">
        <v>84.6</v>
      </c>
      <c r="CG257">
        <v>18.399999999999999</v>
      </c>
      <c r="CH257">
        <v>255</v>
      </c>
      <c r="CI257">
        <v>2.13</v>
      </c>
      <c r="CJ257">
        <v>0.9</v>
      </c>
      <c r="CK257">
        <v>3</v>
      </c>
      <c r="CL257" s="42" t="str">
        <f t="shared" si="42"/>
        <v>1</v>
      </c>
      <c r="CM257" s="4">
        <v>67.333333333333329</v>
      </c>
      <c r="CN257" s="4">
        <f t="shared" si="52"/>
        <v>1.48</v>
      </c>
      <c r="CO257">
        <v>5</v>
      </c>
      <c r="CP257" s="42" t="str">
        <f t="shared" si="43"/>
        <v>1</v>
      </c>
      <c r="CQ257" s="4">
        <v>74</v>
      </c>
      <c r="CR257" s="4">
        <v>1.2111111111111112</v>
      </c>
      <c r="CS257" s="43" t="str">
        <f t="shared" si="44"/>
        <v>1</v>
      </c>
      <c r="CT257" s="4">
        <f t="shared" si="45"/>
        <v>141.33333333333331</v>
      </c>
      <c r="CU257" s="4">
        <f t="shared" si="46"/>
        <v>2.6911111111111112</v>
      </c>
      <c r="CV257" s="4">
        <v>2</v>
      </c>
    </row>
    <row r="258" spans="1:100" x14ac:dyDescent="0.3">
      <c r="A258" s="8" t="s">
        <v>380</v>
      </c>
      <c r="B258" s="18">
        <v>1</v>
      </c>
      <c r="C258">
        <v>42</v>
      </c>
      <c r="D258">
        <v>1</v>
      </c>
      <c r="E258">
        <v>3</v>
      </c>
      <c r="F258">
        <v>0</v>
      </c>
      <c r="G258">
        <v>0</v>
      </c>
      <c r="H258">
        <v>0</v>
      </c>
      <c r="I258">
        <v>0</v>
      </c>
      <c r="J258">
        <v>82.5</v>
      </c>
      <c r="K258">
        <v>1.6180000000000001</v>
      </c>
      <c r="L258">
        <f t="shared" si="50"/>
        <v>161.80000000000001</v>
      </c>
      <c r="M258" s="82">
        <v>36.795000000000002</v>
      </c>
      <c r="N258" s="20">
        <v>43</v>
      </c>
      <c r="O258" s="4">
        <v>44.6</v>
      </c>
      <c r="P258" s="39">
        <v>1</v>
      </c>
      <c r="Q258">
        <v>96</v>
      </c>
      <c r="R258" s="40">
        <v>1</v>
      </c>
      <c r="S258">
        <v>108.9</v>
      </c>
      <c r="T258" s="5">
        <v>0.88154269972451782</v>
      </c>
      <c r="U258" s="39">
        <v>1</v>
      </c>
      <c r="V258" s="4">
        <v>31.5135198729986</v>
      </c>
      <c r="W258" s="37">
        <v>1</v>
      </c>
      <c r="X258">
        <v>13</v>
      </c>
      <c r="Y258" s="40">
        <v>1</v>
      </c>
      <c r="Z258" s="5">
        <v>18.14</v>
      </c>
      <c r="AA258" s="5">
        <v>3.9021155555555556</v>
      </c>
      <c r="AB258" s="85">
        <v>1</v>
      </c>
      <c r="AC258" s="5">
        <v>4.84</v>
      </c>
      <c r="AD258" s="37">
        <v>0</v>
      </c>
      <c r="AE258">
        <v>21.66</v>
      </c>
      <c r="AF258" s="5">
        <v>5.0199999999999996</v>
      </c>
      <c r="AG258" s="37">
        <v>1</v>
      </c>
      <c r="AH258" s="5">
        <v>0.81</v>
      </c>
      <c r="AI258" s="1">
        <v>0</v>
      </c>
      <c r="AJ258" s="13">
        <v>3.31</v>
      </c>
      <c r="AK258" s="1">
        <v>0</v>
      </c>
      <c r="AL258" s="13">
        <v>1.34</v>
      </c>
      <c r="AM258" s="1">
        <v>0</v>
      </c>
      <c r="AN258" s="82">
        <f t="shared" si="51"/>
        <v>3.7462686567164174</v>
      </c>
      <c r="AO258" s="1">
        <v>0</v>
      </c>
      <c r="AP258">
        <v>112</v>
      </c>
      <c r="AQ258" s="37">
        <v>0</v>
      </c>
      <c r="AR258">
        <v>76</v>
      </c>
      <c r="AS258" s="37">
        <v>0</v>
      </c>
      <c r="AT258">
        <v>60</v>
      </c>
      <c r="AU258">
        <v>36</v>
      </c>
      <c r="AV258">
        <v>5.8</v>
      </c>
      <c r="AW258">
        <v>1</v>
      </c>
      <c r="AX258">
        <v>1405</v>
      </c>
      <c r="AY258">
        <v>32.9</v>
      </c>
      <c r="AZ258">
        <v>38.200000000000003</v>
      </c>
      <c r="BA258">
        <v>247</v>
      </c>
      <c r="BB258">
        <v>4.9000000000000004</v>
      </c>
      <c r="BC258">
        <v>163.9</v>
      </c>
      <c r="BD258">
        <v>68.8</v>
      </c>
      <c r="BE258">
        <v>59.2</v>
      </c>
      <c r="BF258">
        <v>119.8</v>
      </c>
      <c r="BG258">
        <v>24.5</v>
      </c>
      <c r="BH258">
        <v>9.4</v>
      </c>
      <c r="BI258">
        <v>65.900000000000006</v>
      </c>
      <c r="BJ258">
        <v>15.3</v>
      </c>
      <c r="BK258">
        <v>15.8</v>
      </c>
      <c r="BL258">
        <v>23.9</v>
      </c>
      <c r="BM258">
        <v>7.2</v>
      </c>
      <c r="BN258">
        <v>3.6</v>
      </c>
      <c r="BO258">
        <v>3.24</v>
      </c>
      <c r="BP258">
        <v>0.24</v>
      </c>
      <c r="BQ258">
        <v>0.19</v>
      </c>
      <c r="BR258">
        <v>355</v>
      </c>
      <c r="BS258">
        <v>138.30000000000001</v>
      </c>
      <c r="BT258">
        <v>2314</v>
      </c>
      <c r="BU258">
        <v>1169</v>
      </c>
      <c r="BV258">
        <v>7.5</v>
      </c>
      <c r="BW258">
        <v>4.84</v>
      </c>
      <c r="BX258">
        <v>1.08</v>
      </c>
      <c r="BY258">
        <v>29.2</v>
      </c>
      <c r="BZ258">
        <v>49.1</v>
      </c>
      <c r="CA258">
        <v>3.36</v>
      </c>
      <c r="CB258">
        <v>3.13</v>
      </c>
      <c r="CC258">
        <v>10.4</v>
      </c>
      <c r="CD258">
        <v>0.64</v>
      </c>
      <c r="CE258">
        <v>0.89</v>
      </c>
      <c r="CF258">
        <v>150.30000000000001</v>
      </c>
      <c r="CG258">
        <v>11.2</v>
      </c>
      <c r="CH258">
        <v>320</v>
      </c>
      <c r="CI258">
        <v>1.97</v>
      </c>
      <c r="CJ258">
        <v>15.6</v>
      </c>
      <c r="CK258">
        <v>3</v>
      </c>
      <c r="CL258" s="42" t="str">
        <f t="shared" si="42"/>
        <v>1</v>
      </c>
      <c r="CM258" s="4">
        <v>30</v>
      </c>
      <c r="CN258" s="4">
        <f t="shared" si="52"/>
        <v>2.4066666666666667</v>
      </c>
      <c r="CO258">
        <v>7</v>
      </c>
      <c r="CP258" s="42" t="str">
        <f t="shared" si="43"/>
        <v>1</v>
      </c>
      <c r="CQ258" s="4">
        <v>120.33333333333333</v>
      </c>
      <c r="CR258" s="4">
        <v>5.7592592592592586</v>
      </c>
      <c r="CS258" s="43" t="str">
        <f t="shared" si="44"/>
        <v>2</v>
      </c>
      <c r="CT258" s="4">
        <f t="shared" si="45"/>
        <v>150.33333333333331</v>
      </c>
      <c r="CU258" s="4">
        <f t="shared" si="46"/>
        <v>8.1659259259259258</v>
      </c>
      <c r="CV258" s="4">
        <v>4</v>
      </c>
    </row>
    <row r="259" spans="1:100" x14ac:dyDescent="0.3">
      <c r="A259" s="8" t="s">
        <v>379</v>
      </c>
      <c r="B259" s="18">
        <v>1</v>
      </c>
      <c r="C259">
        <v>33</v>
      </c>
      <c r="D259">
        <v>1</v>
      </c>
      <c r="E259">
        <v>3</v>
      </c>
      <c r="F259">
        <v>0</v>
      </c>
      <c r="G259">
        <v>0</v>
      </c>
      <c r="H259">
        <v>0</v>
      </c>
      <c r="I259">
        <v>1</v>
      </c>
      <c r="J259">
        <v>61.7</v>
      </c>
      <c r="K259">
        <v>1.59</v>
      </c>
      <c r="L259">
        <f t="shared" si="50"/>
        <v>159</v>
      </c>
      <c r="M259" s="82">
        <v>24.001300000000001</v>
      </c>
      <c r="N259" s="20">
        <v>35.700000000000003</v>
      </c>
      <c r="O259" s="4">
        <v>38.9</v>
      </c>
      <c r="P259" s="39">
        <v>1</v>
      </c>
      <c r="Q259">
        <v>85</v>
      </c>
      <c r="R259" s="40">
        <v>1</v>
      </c>
      <c r="S259">
        <v>99.6</v>
      </c>
      <c r="T259" s="5">
        <v>0.85341365461847396</v>
      </c>
      <c r="U259" s="39">
        <v>0</v>
      </c>
      <c r="V259" s="4">
        <v>24.405680155057155</v>
      </c>
      <c r="W259" s="37">
        <v>1</v>
      </c>
      <c r="X259">
        <v>7</v>
      </c>
      <c r="Y259" s="40">
        <v>0</v>
      </c>
      <c r="Z259" s="5">
        <v>9.91</v>
      </c>
      <c r="AA259" s="5">
        <v>1.8278444444444448</v>
      </c>
      <c r="AB259" s="85">
        <v>0</v>
      </c>
      <c r="AC259" s="5">
        <v>4.1500000000000004</v>
      </c>
      <c r="AD259" s="37">
        <v>0</v>
      </c>
      <c r="AE259">
        <v>3</v>
      </c>
      <c r="AF259" s="5">
        <v>4.32</v>
      </c>
      <c r="AG259" s="37">
        <v>0</v>
      </c>
      <c r="AH259" s="5">
        <v>0.6</v>
      </c>
      <c r="AI259" s="1">
        <v>0</v>
      </c>
      <c r="AJ259" s="13">
        <v>2.85</v>
      </c>
      <c r="AK259" s="1">
        <v>1</v>
      </c>
      <c r="AL259" s="13">
        <v>1.2</v>
      </c>
      <c r="AM259" s="1">
        <v>1</v>
      </c>
      <c r="AN259" s="82">
        <f t="shared" si="51"/>
        <v>3.6000000000000005</v>
      </c>
      <c r="AO259" s="1">
        <v>0</v>
      </c>
      <c r="AP259">
        <v>121</v>
      </c>
      <c r="AQ259" s="37">
        <v>0</v>
      </c>
      <c r="AR259">
        <v>74</v>
      </c>
      <c r="AS259" s="37">
        <v>0</v>
      </c>
      <c r="AT259">
        <v>75</v>
      </c>
      <c r="AU259">
        <v>48</v>
      </c>
      <c r="AV259">
        <v>5.6</v>
      </c>
      <c r="AW259">
        <v>1</v>
      </c>
      <c r="AX259">
        <v>1244</v>
      </c>
      <c r="AY259">
        <v>35.1</v>
      </c>
      <c r="AZ259">
        <v>41.1</v>
      </c>
      <c r="BA259">
        <v>194.8</v>
      </c>
      <c r="BB259">
        <v>5.4</v>
      </c>
      <c r="BC259">
        <v>137.9</v>
      </c>
      <c r="BD259">
        <v>45.7</v>
      </c>
      <c r="BE259">
        <v>33.200000000000003</v>
      </c>
      <c r="BF259">
        <v>109.5</v>
      </c>
      <c r="BG259">
        <v>29.7</v>
      </c>
      <c r="BH259">
        <v>11.3</v>
      </c>
      <c r="BI259">
        <v>58.7</v>
      </c>
      <c r="BJ259">
        <v>20.8</v>
      </c>
      <c r="BK259">
        <v>10</v>
      </c>
      <c r="BL259">
        <v>28.8</v>
      </c>
      <c r="BM259">
        <v>6</v>
      </c>
      <c r="BN259">
        <v>2.5</v>
      </c>
      <c r="BO259">
        <v>2.13</v>
      </c>
      <c r="BP259">
        <v>0.21</v>
      </c>
      <c r="BQ259">
        <v>0.3</v>
      </c>
      <c r="BR259">
        <v>386</v>
      </c>
      <c r="BS259">
        <v>143.30000000000001</v>
      </c>
      <c r="BT259">
        <v>4039</v>
      </c>
      <c r="BU259">
        <v>1419</v>
      </c>
      <c r="BV259">
        <v>7.65</v>
      </c>
      <c r="BW259">
        <v>5.43</v>
      </c>
      <c r="BX259">
        <v>1.21</v>
      </c>
      <c r="BY259">
        <v>20.8</v>
      </c>
      <c r="BZ259">
        <v>54.2</v>
      </c>
      <c r="CA259">
        <v>8.5399999999999991</v>
      </c>
      <c r="CB259">
        <v>7.87</v>
      </c>
      <c r="CC259">
        <v>11.5</v>
      </c>
      <c r="CD259">
        <v>0.68</v>
      </c>
      <c r="CE259">
        <v>1.19</v>
      </c>
      <c r="CF259">
        <v>141.30000000000001</v>
      </c>
      <c r="CG259">
        <v>50.3</v>
      </c>
      <c r="CH259">
        <v>401</v>
      </c>
      <c r="CI259">
        <v>2.17</v>
      </c>
      <c r="CJ259">
        <v>38.5</v>
      </c>
      <c r="CK259">
        <v>2</v>
      </c>
      <c r="CL259" s="42" t="str">
        <f t="shared" si="42"/>
        <v>1</v>
      </c>
      <c r="CM259" s="4">
        <v>79</v>
      </c>
      <c r="CN259" s="4">
        <f t="shared" si="52"/>
        <v>3.46</v>
      </c>
      <c r="CO259">
        <v>6</v>
      </c>
      <c r="CP259" s="42" t="str">
        <f t="shared" si="43"/>
        <v>2</v>
      </c>
      <c r="CQ259" s="4">
        <v>173</v>
      </c>
      <c r="CR259" s="4">
        <v>1.8530864197530863</v>
      </c>
      <c r="CS259" s="43" t="str">
        <f t="shared" si="44"/>
        <v>2</v>
      </c>
      <c r="CT259" s="4">
        <f t="shared" si="45"/>
        <v>252</v>
      </c>
      <c r="CU259" s="4">
        <f t="shared" si="46"/>
        <v>5.3130864197530858</v>
      </c>
      <c r="CV259" s="4">
        <v>4</v>
      </c>
    </row>
    <row r="260" spans="1:100" x14ac:dyDescent="0.3">
      <c r="A260" s="8" t="s">
        <v>378</v>
      </c>
      <c r="B260" s="18">
        <v>1</v>
      </c>
      <c r="C260">
        <v>30</v>
      </c>
      <c r="D260">
        <v>1</v>
      </c>
      <c r="E260">
        <v>3</v>
      </c>
      <c r="F260">
        <v>0</v>
      </c>
      <c r="G260">
        <v>0</v>
      </c>
      <c r="H260">
        <v>0</v>
      </c>
      <c r="I260">
        <v>1</v>
      </c>
      <c r="J260">
        <v>59.2</v>
      </c>
      <c r="K260">
        <v>1.58</v>
      </c>
      <c r="L260">
        <f t="shared" si="50"/>
        <v>158</v>
      </c>
      <c r="M260" s="82">
        <v>24.212800000000001</v>
      </c>
      <c r="N260" s="20">
        <v>33.1</v>
      </c>
      <c r="O260" s="4">
        <v>40.9</v>
      </c>
      <c r="P260" s="39">
        <v>1</v>
      </c>
      <c r="Q260">
        <v>70.5</v>
      </c>
      <c r="R260" s="40">
        <v>0</v>
      </c>
      <c r="S260">
        <v>95.7</v>
      </c>
      <c r="T260" s="5">
        <v>0.73667711598746077</v>
      </c>
      <c r="U260" s="39">
        <v>0</v>
      </c>
      <c r="V260" s="4">
        <v>23.714148373658066</v>
      </c>
      <c r="W260" s="37">
        <v>1</v>
      </c>
      <c r="X260">
        <v>7</v>
      </c>
      <c r="Y260" s="40">
        <v>0</v>
      </c>
      <c r="Z260" s="5">
        <v>9.51</v>
      </c>
      <c r="AA260" s="5">
        <v>1.8893199999999999</v>
      </c>
      <c r="AB260" s="85">
        <v>0</v>
      </c>
      <c r="AC260" s="5">
        <v>4.47</v>
      </c>
      <c r="AD260" s="37">
        <v>0</v>
      </c>
      <c r="AE260">
        <v>15.92</v>
      </c>
      <c r="AF260" s="5">
        <v>5.18</v>
      </c>
      <c r="AG260" s="37">
        <v>1</v>
      </c>
      <c r="AH260" s="5">
        <v>0.87</v>
      </c>
      <c r="AI260" s="1">
        <v>1</v>
      </c>
      <c r="AJ260" s="13">
        <v>3.42</v>
      </c>
      <c r="AK260" s="1">
        <v>0</v>
      </c>
      <c r="AL260" s="13">
        <v>1.36</v>
      </c>
      <c r="AM260" s="1">
        <v>0</v>
      </c>
      <c r="AN260" s="82">
        <f t="shared" si="51"/>
        <v>3.8088235294117641</v>
      </c>
      <c r="AO260" s="1">
        <v>0</v>
      </c>
      <c r="AP260">
        <v>112</v>
      </c>
      <c r="AQ260" s="37">
        <v>0</v>
      </c>
      <c r="AR260">
        <v>70</v>
      </c>
      <c r="AS260" s="37">
        <v>0</v>
      </c>
      <c r="AT260">
        <v>81</v>
      </c>
      <c r="AU260">
        <v>42</v>
      </c>
      <c r="AV260">
        <v>4.9000000000000004</v>
      </c>
      <c r="AW260">
        <v>1</v>
      </c>
      <c r="AX260">
        <v>880</v>
      </c>
      <c r="AY260">
        <v>33.1</v>
      </c>
      <c r="AZ260">
        <v>31.3</v>
      </c>
      <c r="BA260">
        <v>123.9</v>
      </c>
      <c r="BB260">
        <v>8.9</v>
      </c>
      <c r="BC260">
        <v>94.7</v>
      </c>
      <c r="BD260">
        <v>20.5</v>
      </c>
      <c r="BE260">
        <v>12.9</v>
      </c>
      <c r="BF260">
        <v>35.799999999999997</v>
      </c>
      <c r="BG260">
        <v>32.1</v>
      </c>
      <c r="BH260">
        <v>15.1</v>
      </c>
      <c r="BI260">
        <v>52.8</v>
      </c>
      <c r="BJ260">
        <v>21.6</v>
      </c>
      <c r="BK260">
        <v>5.5</v>
      </c>
      <c r="BL260">
        <v>21.1</v>
      </c>
      <c r="BM260">
        <v>3.7</v>
      </c>
      <c r="BN260">
        <v>2.1</v>
      </c>
      <c r="BO260">
        <v>1.85</v>
      </c>
      <c r="BP260">
        <v>0.13</v>
      </c>
      <c r="BQ260">
        <v>0.04</v>
      </c>
      <c r="BR260">
        <v>218</v>
      </c>
      <c r="BS260">
        <v>149.4</v>
      </c>
      <c r="BT260">
        <v>3037</v>
      </c>
      <c r="BU260">
        <v>1249</v>
      </c>
      <c r="BV260">
        <v>7.27</v>
      </c>
      <c r="BW260">
        <v>3.39</v>
      </c>
      <c r="BX260">
        <v>0.88</v>
      </c>
      <c r="BY260">
        <v>12.6</v>
      </c>
      <c r="BZ260">
        <v>10.6</v>
      </c>
      <c r="CA260">
        <v>5.76</v>
      </c>
      <c r="CB260">
        <v>5.26</v>
      </c>
      <c r="CC260">
        <v>11.6</v>
      </c>
      <c r="CD260">
        <v>0.6</v>
      </c>
      <c r="CE260">
        <v>0.56000000000000005</v>
      </c>
      <c r="CF260">
        <v>147.30000000000001</v>
      </c>
      <c r="CG260">
        <v>15.3</v>
      </c>
      <c r="CH260">
        <v>411</v>
      </c>
      <c r="CI260">
        <v>1.36</v>
      </c>
      <c r="CJ260">
        <v>25</v>
      </c>
      <c r="CK260">
        <v>1</v>
      </c>
      <c r="CL260" s="42" t="str">
        <f t="shared" si="42"/>
        <v>1</v>
      </c>
      <c r="CM260" s="4">
        <v>8.3333333333333339</v>
      </c>
      <c r="CN260" s="4">
        <f t="shared" si="52"/>
        <v>1.3666666666666665</v>
      </c>
      <c r="CO260">
        <v>8</v>
      </c>
      <c r="CP260" s="42" t="str">
        <f t="shared" si="43"/>
        <v>1</v>
      </c>
      <c r="CQ260" s="4">
        <v>68.333333333333329</v>
      </c>
      <c r="CR260" s="4">
        <v>2.3617283950617285</v>
      </c>
      <c r="CS260" s="43" t="str">
        <f t="shared" si="44"/>
        <v>1</v>
      </c>
      <c r="CT260" s="4">
        <f t="shared" si="45"/>
        <v>76.666666666666657</v>
      </c>
      <c r="CU260" s="4">
        <f t="shared" si="46"/>
        <v>3.7283950617283947</v>
      </c>
      <c r="CV260" s="4">
        <v>3</v>
      </c>
    </row>
    <row r="261" spans="1:100" x14ac:dyDescent="0.3">
      <c r="A261" s="8" t="s">
        <v>377</v>
      </c>
      <c r="B261" s="18">
        <v>1</v>
      </c>
      <c r="C261">
        <v>43</v>
      </c>
      <c r="D261">
        <v>1</v>
      </c>
      <c r="E261">
        <v>3</v>
      </c>
      <c r="F261">
        <v>0</v>
      </c>
      <c r="G261">
        <v>0</v>
      </c>
      <c r="H261">
        <v>0</v>
      </c>
      <c r="I261">
        <v>1</v>
      </c>
      <c r="J261">
        <v>59</v>
      </c>
      <c r="K261">
        <v>1.6</v>
      </c>
      <c r="L261">
        <f t="shared" si="50"/>
        <v>160</v>
      </c>
      <c r="M261" s="82">
        <v>20.119</v>
      </c>
      <c r="N261" s="20">
        <v>36.700000000000003</v>
      </c>
      <c r="O261" s="4">
        <v>34.1</v>
      </c>
      <c r="P261" s="39">
        <v>1</v>
      </c>
      <c r="Q261">
        <v>88</v>
      </c>
      <c r="R261" s="40">
        <v>1</v>
      </c>
      <c r="S261">
        <v>95</v>
      </c>
      <c r="T261" s="5">
        <v>0.9263157894736842</v>
      </c>
      <c r="U261" s="39">
        <v>1</v>
      </c>
      <c r="V261" s="4">
        <v>23.046874999999996</v>
      </c>
      <c r="W261" s="37">
        <v>1</v>
      </c>
      <c r="X261">
        <v>5</v>
      </c>
      <c r="Y261" s="40">
        <v>0</v>
      </c>
      <c r="Z261" s="5">
        <v>12.27</v>
      </c>
      <c r="AA261" s="5">
        <v>2.6830399999999996</v>
      </c>
      <c r="AB261" s="85">
        <v>0</v>
      </c>
      <c r="AC261" s="5">
        <v>4.92</v>
      </c>
      <c r="AD261" s="37">
        <v>0</v>
      </c>
      <c r="AE261">
        <v>23.71</v>
      </c>
      <c r="AF261" s="5">
        <v>6.15</v>
      </c>
      <c r="AG261" s="37">
        <v>1</v>
      </c>
      <c r="AH261" s="5">
        <v>1.28</v>
      </c>
      <c r="AI261" s="1">
        <v>1</v>
      </c>
      <c r="AJ261" s="13">
        <v>4.74</v>
      </c>
      <c r="AK261" s="1">
        <v>1</v>
      </c>
      <c r="AL261" s="13">
        <v>0.83</v>
      </c>
      <c r="AM261" s="1">
        <v>1</v>
      </c>
      <c r="AN261" s="82">
        <f t="shared" si="51"/>
        <v>7.4096385542168681</v>
      </c>
      <c r="AO261" s="1">
        <v>1</v>
      </c>
      <c r="AP261">
        <v>127</v>
      </c>
      <c r="AQ261" s="37">
        <v>0</v>
      </c>
      <c r="AR261">
        <v>79</v>
      </c>
      <c r="AS261" s="37">
        <v>0</v>
      </c>
      <c r="AT261">
        <v>84</v>
      </c>
      <c r="AU261">
        <v>48</v>
      </c>
      <c r="AV261">
        <v>6.6</v>
      </c>
      <c r="AW261">
        <v>1</v>
      </c>
      <c r="AX261">
        <v>980</v>
      </c>
      <c r="AY261">
        <v>23.9</v>
      </c>
      <c r="AZ261">
        <v>25.2</v>
      </c>
      <c r="BA261">
        <v>175.1</v>
      </c>
      <c r="BB261">
        <v>8.6</v>
      </c>
      <c r="BC261">
        <v>138.1</v>
      </c>
      <c r="BD261">
        <v>28.7</v>
      </c>
      <c r="BE261">
        <v>24.5</v>
      </c>
      <c r="BF261">
        <v>18.899999999999999</v>
      </c>
      <c r="BG261">
        <v>23.1</v>
      </c>
      <c r="BH261">
        <v>9.8000000000000007</v>
      </c>
      <c r="BI261">
        <v>67</v>
      </c>
      <c r="BJ261">
        <v>14.9</v>
      </c>
      <c r="BK261">
        <v>9.4</v>
      </c>
      <c r="BL261">
        <v>16.2</v>
      </c>
      <c r="BM261">
        <v>1.7</v>
      </c>
      <c r="BN261">
        <v>0.6</v>
      </c>
      <c r="BO261">
        <v>0.5</v>
      </c>
      <c r="BP261">
        <v>0.05</v>
      </c>
      <c r="BQ261">
        <v>0</v>
      </c>
      <c r="BR261">
        <v>121</v>
      </c>
      <c r="BS261">
        <v>84.1</v>
      </c>
      <c r="BT261">
        <v>1310</v>
      </c>
      <c r="BU261">
        <v>779</v>
      </c>
      <c r="BV261">
        <v>4.96</v>
      </c>
      <c r="BW261">
        <v>2.33</v>
      </c>
      <c r="BX261">
        <v>0.64</v>
      </c>
      <c r="BY261">
        <v>2.9</v>
      </c>
      <c r="BZ261">
        <v>6.3</v>
      </c>
      <c r="CA261">
        <v>0.54</v>
      </c>
      <c r="CB261">
        <v>0.79</v>
      </c>
      <c r="CC261">
        <v>4.5999999999999996</v>
      </c>
      <c r="CD261">
        <v>0.21</v>
      </c>
      <c r="CE261">
        <v>0.1</v>
      </c>
      <c r="CF261">
        <v>80.400000000000006</v>
      </c>
      <c r="CG261">
        <v>8.3000000000000007</v>
      </c>
      <c r="CH261">
        <v>55</v>
      </c>
      <c r="CI261">
        <v>0.97</v>
      </c>
      <c r="CJ261">
        <v>0.4</v>
      </c>
      <c r="CK261">
        <v>1</v>
      </c>
      <c r="CL261" s="42" t="str">
        <f t="shared" ref="CL261:CL324" si="53">IF(CM261&lt;=99,"1",IF(CM261&lt;=199,"2",IF(CM261&lt;=299,"3","4")))</f>
        <v>1</v>
      </c>
      <c r="CM261" s="4">
        <v>19.5</v>
      </c>
      <c r="CN261" s="4">
        <f t="shared" si="52"/>
        <v>1.61</v>
      </c>
      <c r="CO261">
        <v>6</v>
      </c>
      <c r="CP261" s="42" t="str">
        <f t="shared" ref="CP261:CP324" si="54">IF(CQ261&lt;=149,"1",IF(CQ261&lt;=299,"2",IF(CQ261&lt;=399,"3","4")))</f>
        <v>1</v>
      </c>
      <c r="CQ261" s="4">
        <v>80.5</v>
      </c>
      <c r="CR261" s="4">
        <v>0.90123456790123457</v>
      </c>
      <c r="CS261" s="43" t="str">
        <f t="shared" ref="CS261:CS324" si="55">IF(CT261&lt;=149,"1",IF(CT261&lt;=299,"2",IF(CT261&lt;=399,"3","4")))</f>
        <v>1</v>
      </c>
      <c r="CT261" s="4">
        <f t="shared" ref="CT261:CT324" si="56">(CM261+CQ261)</f>
        <v>100</v>
      </c>
      <c r="CU261" s="4">
        <f t="shared" ref="CU261:CU324" si="57">(CN261+CR261)</f>
        <v>2.5112345679012344</v>
      </c>
      <c r="CV261" s="4">
        <v>2</v>
      </c>
    </row>
    <row r="262" spans="1:100" x14ac:dyDescent="0.3">
      <c r="A262" s="8" t="s">
        <v>376</v>
      </c>
      <c r="B262" s="18">
        <v>1</v>
      </c>
      <c r="C262">
        <v>52</v>
      </c>
      <c r="D262">
        <v>1</v>
      </c>
      <c r="E262">
        <v>3</v>
      </c>
      <c r="F262">
        <v>1</v>
      </c>
      <c r="G262">
        <v>0</v>
      </c>
      <c r="H262">
        <v>0</v>
      </c>
      <c r="I262">
        <v>0</v>
      </c>
      <c r="J262">
        <v>49.1</v>
      </c>
      <c r="K262">
        <v>1.579</v>
      </c>
      <c r="L262">
        <f t="shared" si="50"/>
        <v>157.9</v>
      </c>
      <c r="M262" s="82">
        <v>15.613800000000001</v>
      </c>
      <c r="N262" s="20">
        <v>31.7</v>
      </c>
      <c r="O262" s="4">
        <v>31.8</v>
      </c>
      <c r="P262" s="39">
        <v>0</v>
      </c>
      <c r="Q262">
        <v>77</v>
      </c>
      <c r="R262" s="40">
        <v>0</v>
      </c>
      <c r="S262">
        <v>88.5</v>
      </c>
      <c r="T262" s="5">
        <v>0.87005649717514122</v>
      </c>
      <c r="U262" s="39">
        <v>0</v>
      </c>
      <c r="V262" s="4">
        <v>19.69324265083079</v>
      </c>
      <c r="W262" s="37">
        <v>0</v>
      </c>
      <c r="X262">
        <v>5</v>
      </c>
      <c r="Y262" s="40">
        <v>0</v>
      </c>
      <c r="Z262" s="5">
        <v>13.74</v>
      </c>
      <c r="AA262" s="5">
        <v>2.7296800000000001</v>
      </c>
      <c r="AB262" s="85">
        <v>0</v>
      </c>
      <c r="AC262" s="5">
        <v>4.47</v>
      </c>
      <c r="AD262" s="37">
        <v>0</v>
      </c>
      <c r="AE262">
        <v>22.31</v>
      </c>
      <c r="AF262" s="5">
        <v>5.93</v>
      </c>
      <c r="AG262" s="37">
        <v>1</v>
      </c>
      <c r="AH262" s="5">
        <v>1.37</v>
      </c>
      <c r="AI262" s="1">
        <v>1</v>
      </c>
      <c r="AJ262" s="13">
        <v>4.03</v>
      </c>
      <c r="AK262" s="1">
        <v>1</v>
      </c>
      <c r="AL262" s="13">
        <v>1.28</v>
      </c>
      <c r="AM262" s="1">
        <v>1</v>
      </c>
      <c r="AN262" s="82">
        <f t="shared" si="51"/>
        <v>4.6328125</v>
      </c>
      <c r="AO262" s="1">
        <v>1</v>
      </c>
      <c r="AP262">
        <v>101</v>
      </c>
      <c r="AQ262" s="37">
        <v>0</v>
      </c>
      <c r="AR262">
        <v>65</v>
      </c>
      <c r="AS262" s="37">
        <v>0</v>
      </c>
      <c r="AT262">
        <v>67</v>
      </c>
      <c r="AU262">
        <v>36</v>
      </c>
      <c r="AV262">
        <v>6.6</v>
      </c>
      <c r="AW262">
        <v>1</v>
      </c>
      <c r="AX262">
        <v>1922</v>
      </c>
      <c r="AY262">
        <v>60.2</v>
      </c>
      <c r="AZ262">
        <v>60.2</v>
      </c>
      <c r="BA262">
        <v>302.2</v>
      </c>
      <c r="BB262">
        <v>10.9</v>
      </c>
      <c r="BC262">
        <v>202.1</v>
      </c>
      <c r="BD262">
        <v>75.599999999999994</v>
      </c>
      <c r="BE262">
        <v>46.5</v>
      </c>
      <c r="BF262">
        <v>180</v>
      </c>
      <c r="BG262">
        <v>28.2</v>
      </c>
      <c r="BH262">
        <v>12.5</v>
      </c>
      <c r="BI262">
        <v>59</v>
      </c>
      <c r="BJ262">
        <v>15.4</v>
      </c>
      <c r="BK262">
        <v>9.1</v>
      </c>
      <c r="BL262">
        <v>32.799999999999997</v>
      </c>
      <c r="BM262">
        <v>7.9</v>
      </c>
      <c r="BN262">
        <v>3.3</v>
      </c>
      <c r="BO262">
        <v>2.62</v>
      </c>
      <c r="BP262">
        <v>0.49</v>
      </c>
      <c r="BQ262">
        <v>0.26</v>
      </c>
      <c r="BR262">
        <v>624</v>
      </c>
      <c r="BS262">
        <v>362</v>
      </c>
      <c r="BT262">
        <v>3764</v>
      </c>
      <c r="BU262">
        <v>2735</v>
      </c>
      <c r="BV262">
        <v>14.72</v>
      </c>
      <c r="BW262">
        <v>7.65</v>
      </c>
      <c r="BX262">
        <v>1.65</v>
      </c>
      <c r="BY262">
        <v>25</v>
      </c>
      <c r="BZ262">
        <v>50.4</v>
      </c>
      <c r="CA262">
        <v>1.6</v>
      </c>
      <c r="CB262">
        <v>2.36</v>
      </c>
      <c r="CC262">
        <v>12.2</v>
      </c>
      <c r="CD262">
        <v>1.2</v>
      </c>
      <c r="CE262">
        <v>1.79</v>
      </c>
      <c r="CF262">
        <v>548.4</v>
      </c>
      <c r="CG262">
        <v>65.3</v>
      </c>
      <c r="CH262">
        <v>754</v>
      </c>
      <c r="CI262">
        <v>4.62</v>
      </c>
      <c r="CJ262">
        <v>4.5999999999999996</v>
      </c>
      <c r="CK262">
        <v>2</v>
      </c>
      <c r="CL262" s="42" t="str">
        <f t="shared" si="53"/>
        <v>3</v>
      </c>
      <c r="CM262" s="4">
        <v>204</v>
      </c>
      <c r="CN262" s="4">
        <f t="shared" si="52"/>
        <v>2.686666666666667</v>
      </c>
      <c r="CO262">
        <v>7</v>
      </c>
      <c r="CP262" s="42" t="str">
        <f t="shared" si="54"/>
        <v>1</v>
      </c>
      <c r="CQ262" s="4">
        <v>134.33333333333334</v>
      </c>
      <c r="CR262" s="4">
        <v>3.3395061728395063</v>
      </c>
      <c r="CS262" s="43" t="str">
        <f t="shared" si="55"/>
        <v>3</v>
      </c>
      <c r="CT262" s="4">
        <f t="shared" si="56"/>
        <v>338.33333333333337</v>
      </c>
      <c r="CU262" s="4">
        <f t="shared" si="57"/>
        <v>6.0261728395061738</v>
      </c>
      <c r="CV262" s="4">
        <v>4</v>
      </c>
    </row>
    <row r="263" spans="1:100" x14ac:dyDescent="0.3">
      <c r="A263" s="8" t="s">
        <v>375</v>
      </c>
      <c r="B263" s="18">
        <v>1</v>
      </c>
      <c r="C263">
        <v>40</v>
      </c>
      <c r="D263">
        <v>1</v>
      </c>
      <c r="E263">
        <v>3</v>
      </c>
      <c r="F263">
        <v>1</v>
      </c>
      <c r="G263">
        <v>0</v>
      </c>
      <c r="H263">
        <v>0</v>
      </c>
      <c r="I263">
        <v>1</v>
      </c>
      <c r="J263">
        <v>44</v>
      </c>
      <c r="K263">
        <v>1.4</v>
      </c>
      <c r="L263">
        <f t="shared" si="50"/>
        <v>140</v>
      </c>
      <c r="M263" s="82">
        <v>12.847999999999999</v>
      </c>
      <c r="N263" s="20">
        <v>30.3</v>
      </c>
      <c r="O263" s="4">
        <v>29.2</v>
      </c>
      <c r="P263" s="39">
        <v>0</v>
      </c>
      <c r="Q263">
        <v>88</v>
      </c>
      <c r="R263" s="40">
        <v>1</v>
      </c>
      <c r="S263">
        <v>92</v>
      </c>
      <c r="T263" s="5">
        <v>0.95652173913043481</v>
      </c>
      <c r="U263" s="39">
        <v>1</v>
      </c>
      <c r="V263" s="4">
        <v>22.448979591836739</v>
      </c>
      <c r="W263" s="37">
        <v>0</v>
      </c>
      <c r="X263">
        <v>3</v>
      </c>
      <c r="Y263" s="40">
        <v>0</v>
      </c>
      <c r="Z263" s="5">
        <v>4.41</v>
      </c>
      <c r="AA263" s="5">
        <v>0.7977200000000001</v>
      </c>
      <c r="AB263" s="85">
        <v>0</v>
      </c>
      <c r="AC263" s="5">
        <v>4.07</v>
      </c>
      <c r="AD263" s="37">
        <v>0</v>
      </c>
      <c r="AE263">
        <v>7.99</v>
      </c>
      <c r="AF263" s="5">
        <v>5.82</v>
      </c>
      <c r="AG263" s="37">
        <v>1</v>
      </c>
      <c r="AH263" s="5">
        <v>0.64</v>
      </c>
      <c r="AI263" s="1">
        <v>1</v>
      </c>
      <c r="AJ263" s="13">
        <v>3.95</v>
      </c>
      <c r="AK263" s="1">
        <v>0</v>
      </c>
      <c r="AL263" s="13">
        <v>1.57</v>
      </c>
      <c r="AM263" s="1">
        <v>0</v>
      </c>
      <c r="AN263" s="82">
        <f t="shared" si="51"/>
        <v>3.7070063694267517</v>
      </c>
      <c r="AO263" s="1">
        <v>0</v>
      </c>
      <c r="AP263">
        <v>107</v>
      </c>
      <c r="AQ263" s="37">
        <v>0</v>
      </c>
      <c r="AR263">
        <v>69</v>
      </c>
      <c r="AS263" s="37">
        <v>0</v>
      </c>
      <c r="AT263">
        <v>84</v>
      </c>
      <c r="AU263">
        <v>38</v>
      </c>
      <c r="AV263">
        <v>5.6</v>
      </c>
      <c r="AW263">
        <v>1</v>
      </c>
      <c r="AX263">
        <v>1705</v>
      </c>
      <c r="AY263">
        <v>45.3</v>
      </c>
      <c r="AZ263">
        <v>56.8</v>
      </c>
      <c r="BA263">
        <v>269</v>
      </c>
      <c r="BB263">
        <v>9.5</v>
      </c>
      <c r="BC263">
        <v>217.4</v>
      </c>
      <c r="BD263">
        <v>41.7</v>
      </c>
      <c r="BE263">
        <v>25.6</v>
      </c>
      <c r="BF263">
        <v>96</v>
      </c>
      <c r="BG263">
        <v>30</v>
      </c>
      <c r="BH263">
        <v>10.6</v>
      </c>
      <c r="BI263">
        <v>59.2</v>
      </c>
      <c r="BJ263">
        <v>19.8</v>
      </c>
      <c r="BK263">
        <v>5.6</v>
      </c>
      <c r="BL263">
        <v>37.6</v>
      </c>
      <c r="BM263">
        <v>7.4</v>
      </c>
      <c r="BN263">
        <v>3.7</v>
      </c>
      <c r="BO263">
        <v>3.29</v>
      </c>
      <c r="BP263">
        <v>0.41</v>
      </c>
      <c r="BQ263">
        <v>0.26</v>
      </c>
      <c r="BR263">
        <v>577</v>
      </c>
      <c r="BS263">
        <v>221.1</v>
      </c>
      <c r="BT263">
        <v>29782</v>
      </c>
      <c r="BU263">
        <v>1776</v>
      </c>
      <c r="BV263">
        <v>10.4</v>
      </c>
      <c r="BW263">
        <v>6.8</v>
      </c>
      <c r="BX263">
        <v>1.34</v>
      </c>
      <c r="BY263">
        <v>42.5</v>
      </c>
      <c r="BZ263">
        <v>88.7</v>
      </c>
      <c r="CA263">
        <v>18.39</v>
      </c>
      <c r="CB263">
        <v>20.53</v>
      </c>
      <c r="CC263">
        <v>14.9</v>
      </c>
      <c r="CD263">
        <v>0.79</v>
      </c>
      <c r="CE263">
        <v>1.55</v>
      </c>
      <c r="CF263">
        <v>127</v>
      </c>
      <c r="CG263">
        <v>24.8</v>
      </c>
      <c r="CH263">
        <v>862</v>
      </c>
      <c r="CI263">
        <v>5.36</v>
      </c>
      <c r="CJ263">
        <v>124.9</v>
      </c>
      <c r="CK263">
        <v>0</v>
      </c>
      <c r="CL263" s="42" t="str">
        <f t="shared" si="53"/>
        <v>1</v>
      </c>
      <c r="CM263" s="4">
        <v>0</v>
      </c>
      <c r="CN263" s="4">
        <f t="shared" si="52"/>
        <v>1.5133333333333334</v>
      </c>
      <c r="CO263">
        <v>5</v>
      </c>
      <c r="CP263" s="42" t="str">
        <f t="shared" si="54"/>
        <v>1</v>
      </c>
      <c r="CQ263" s="4">
        <v>75.666666666666671</v>
      </c>
      <c r="CR263" s="4">
        <v>3.2530864197530862</v>
      </c>
      <c r="CS263" s="43" t="str">
        <f t="shared" si="55"/>
        <v>1</v>
      </c>
      <c r="CT263" s="4">
        <f t="shared" si="56"/>
        <v>75.666666666666671</v>
      </c>
      <c r="CU263" s="4">
        <f t="shared" si="57"/>
        <v>4.7664197530864199</v>
      </c>
      <c r="CV263" s="4">
        <v>4</v>
      </c>
    </row>
    <row r="264" spans="1:100" x14ac:dyDescent="0.3">
      <c r="A264" s="8" t="s">
        <v>374</v>
      </c>
      <c r="B264" s="18">
        <v>1</v>
      </c>
      <c r="C264">
        <v>30</v>
      </c>
      <c r="D264">
        <v>2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54.1</v>
      </c>
      <c r="K264">
        <v>1.546</v>
      </c>
      <c r="L264">
        <f t="shared" si="50"/>
        <v>154.6</v>
      </c>
      <c r="M264" s="82">
        <v>20.503899999999998</v>
      </c>
      <c r="N264" s="20">
        <v>31.8</v>
      </c>
      <c r="O264" s="4">
        <v>37.9</v>
      </c>
      <c r="P264" s="39">
        <v>1</v>
      </c>
      <c r="Q264">
        <v>81.8</v>
      </c>
      <c r="R264" s="40">
        <v>0</v>
      </c>
      <c r="S264">
        <v>91.1</v>
      </c>
      <c r="T264" s="5">
        <v>0.89791437980241495</v>
      </c>
      <c r="U264" s="39">
        <v>1</v>
      </c>
      <c r="V264" s="4">
        <v>22.634884666685636</v>
      </c>
      <c r="W264" s="37">
        <v>0</v>
      </c>
      <c r="X264">
        <v>6</v>
      </c>
      <c r="Y264" s="40">
        <v>0</v>
      </c>
      <c r="Z264" s="5">
        <v>3.98</v>
      </c>
      <c r="AA264" s="5">
        <v>0.69517333333333342</v>
      </c>
      <c r="AB264" s="85">
        <v>0</v>
      </c>
      <c r="AC264" s="5">
        <v>3.93</v>
      </c>
      <c r="AD264" s="37">
        <v>0</v>
      </c>
      <c r="AE264">
        <v>3</v>
      </c>
      <c r="AF264" s="5">
        <v>4.54</v>
      </c>
      <c r="AG264" s="37">
        <v>0</v>
      </c>
      <c r="AH264" s="5">
        <v>1.71</v>
      </c>
      <c r="AI264" s="1">
        <v>0</v>
      </c>
      <c r="AJ264" s="13">
        <v>2.97</v>
      </c>
      <c r="AK264" s="1">
        <v>1</v>
      </c>
      <c r="AL264" s="13">
        <v>0.79</v>
      </c>
      <c r="AM264" s="1">
        <v>1</v>
      </c>
      <c r="AN264" s="82">
        <f t="shared" si="51"/>
        <v>5.7468354430379742</v>
      </c>
      <c r="AO264" s="1">
        <v>1</v>
      </c>
      <c r="AP264">
        <v>121</v>
      </c>
      <c r="AQ264" s="37">
        <v>0</v>
      </c>
      <c r="AR264">
        <v>89</v>
      </c>
      <c r="AS264" s="37">
        <v>1</v>
      </c>
      <c r="AT264">
        <v>72</v>
      </c>
      <c r="AU264">
        <v>32</v>
      </c>
      <c r="AV264">
        <v>5.4</v>
      </c>
      <c r="AW264">
        <v>1</v>
      </c>
      <c r="AX264">
        <v>1821</v>
      </c>
      <c r="AY264">
        <v>54.6</v>
      </c>
      <c r="AZ264">
        <v>57.8</v>
      </c>
      <c r="BA264">
        <v>288.10000000000002</v>
      </c>
      <c r="BB264">
        <v>13.8</v>
      </c>
      <c r="BC264">
        <v>193.8</v>
      </c>
      <c r="BD264">
        <v>59.3</v>
      </c>
      <c r="BE264">
        <v>43.2</v>
      </c>
      <c r="BF264">
        <v>165</v>
      </c>
      <c r="BG264">
        <v>28.6</v>
      </c>
      <c r="BH264">
        <v>12</v>
      </c>
      <c r="BI264">
        <v>59.3</v>
      </c>
      <c r="BJ264">
        <v>18.7</v>
      </c>
      <c r="BK264">
        <v>8.9</v>
      </c>
      <c r="BL264">
        <v>37.799999999999997</v>
      </c>
      <c r="BM264">
        <v>6.6</v>
      </c>
      <c r="BN264">
        <v>2.9</v>
      </c>
      <c r="BO264">
        <v>2.48</v>
      </c>
      <c r="BP264">
        <v>0.19</v>
      </c>
      <c r="BQ264">
        <v>0.08</v>
      </c>
      <c r="BR264">
        <v>390</v>
      </c>
      <c r="BS264">
        <v>226.9</v>
      </c>
      <c r="BT264">
        <v>3347</v>
      </c>
      <c r="BU264">
        <v>1769</v>
      </c>
      <c r="BV264">
        <v>11.85</v>
      </c>
      <c r="BW264">
        <v>5.08</v>
      </c>
      <c r="BX264">
        <v>1.31</v>
      </c>
      <c r="BY264">
        <v>24.4</v>
      </c>
      <c r="BZ264">
        <v>27.1</v>
      </c>
      <c r="CA264">
        <v>8.3699999999999992</v>
      </c>
      <c r="CB264">
        <v>8.61</v>
      </c>
      <c r="CC264">
        <v>13</v>
      </c>
      <c r="CD264">
        <v>0.71</v>
      </c>
      <c r="CE264">
        <v>1.26</v>
      </c>
      <c r="CF264">
        <v>273.60000000000002</v>
      </c>
      <c r="CG264">
        <v>40.6</v>
      </c>
      <c r="CH264">
        <v>501</v>
      </c>
      <c r="CI264">
        <v>5.34</v>
      </c>
      <c r="CJ264">
        <v>32.9</v>
      </c>
      <c r="CK264">
        <v>2</v>
      </c>
      <c r="CL264" s="42" t="str">
        <f t="shared" si="53"/>
        <v>1</v>
      </c>
      <c r="CM264" s="4">
        <v>62.333333333333336</v>
      </c>
      <c r="CN264" s="4">
        <f t="shared" si="52"/>
        <v>1.5066666666666666</v>
      </c>
      <c r="CO264">
        <v>5</v>
      </c>
      <c r="CP264" s="42" t="str">
        <f t="shared" si="54"/>
        <v>1</v>
      </c>
      <c r="CQ264" s="4">
        <v>75.333333333333329</v>
      </c>
      <c r="CR264" s="4">
        <v>2.0296296296296297</v>
      </c>
      <c r="CS264" s="43" t="str">
        <f t="shared" si="55"/>
        <v>1</v>
      </c>
      <c r="CT264" s="4">
        <f t="shared" si="56"/>
        <v>137.66666666666666</v>
      </c>
      <c r="CU264" s="4">
        <f t="shared" si="57"/>
        <v>3.536296296296296</v>
      </c>
      <c r="CV264" s="4">
        <v>3</v>
      </c>
    </row>
    <row r="265" spans="1:100" x14ac:dyDescent="0.3">
      <c r="A265" s="8" t="s">
        <v>373</v>
      </c>
      <c r="B265" s="18">
        <v>1</v>
      </c>
      <c r="C265">
        <v>30</v>
      </c>
      <c r="D265">
        <v>1</v>
      </c>
      <c r="E265">
        <v>3</v>
      </c>
      <c r="F265">
        <v>0</v>
      </c>
      <c r="G265">
        <v>0</v>
      </c>
      <c r="H265">
        <v>0</v>
      </c>
      <c r="I265">
        <v>1</v>
      </c>
      <c r="J265">
        <v>58.1</v>
      </c>
      <c r="K265">
        <v>1.61</v>
      </c>
      <c r="L265">
        <f t="shared" si="50"/>
        <v>161</v>
      </c>
      <c r="M265" s="82">
        <v>20.974100000000004</v>
      </c>
      <c r="N265" s="20">
        <v>35.1</v>
      </c>
      <c r="O265" s="4">
        <v>36.1</v>
      </c>
      <c r="P265" s="39">
        <v>1</v>
      </c>
      <c r="Q265">
        <v>70</v>
      </c>
      <c r="R265" s="40">
        <v>0</v>
      </c>
      <c r="S265">
        <v>93</v>
      </c>
      <c r="T265" s="5">
        <v>0.75268817204301075</v>
      </c>
      <c r="U265" s="39">
        <v>0</v>
      </c>
      <c r="V265" s="4">
        <v>22.414258709154737</v>
      </c>
      <c r="W265" s="37">
        <v>0</v>
      </c>
      <c r="X265">
        <v>6</v>
      </c>
      <c r="Y265" s="40">
        <v>0</v>
      </c>
      <c r="Z265" s="5">
        <v>9.1999999999999993</v>
      </c>
      <c r="AA265" s="5">
        <v>1.8440888888888887</v>
      </c>
      <c r="AB265" s="85">
        <v>0</v>
      </c>
      <c r="AC265" s="5">
        <v>4.51</v>
      </c>
      <c r="AD265" s="37">
        <v>0</v>
      </c>
      <c r="AE265">
        <v>3</v>
      </c>
      <c r="AF265" s="5">
        <v>5.07</v>
      </c>
      <c r="AG265" s="37">
        <v>1</v>
      </c>
      <c r="AH265" s="5">
        <v>0.9</v>
      </c>
      <c r="AI265" s="1">
        <v>0</v>
      </c>
      <c r="AJ265" s="13">
        <v>3.03</v>
      </c>
      <c r="AK265" s="1">
        <v>0</v>
      </c>
      <c r="AL265" s="13">
        <v>1.63</v>
      </c>
      <c r="AM265" s="1">
        <v>0</v>
      </c>
      <c r="AN265" s="82">
        <f t="shared" si="51"/>
        <v>3.110429447852761</v>
      </c>
      <c r="AO265" s="1">
        <v>0</v>
      </c>
      <c r="AP265">
        <v>104</v>
      </c>
      <c r="AQ265" s="37">
        <v>0</v>
      </c>
      <c r="AR265">
        <v>69</v>
      </c>
      <c r="AS265" s="37">
        <v>0</v>
      </c>
      <c r="AT265">
        <v>82</v>
      </c>
      <c r="AU265">
        <v>35</v>
      </c>
      <c r="AV265">
        <v>4.8</v>
      </c>
      <c r="AW265">
        <v>1</v>
      </c>
      <c r="AX265">
        <v>1030</v>
      </c>
      <c r="AY265">
        <v>27.3</v>
      </c>
      <c r="AZ265">
        <v>50.9</v>
      </c>
      <c r="BA265">
        <v>123</v>
      </c>
      <c r="BB265">
        <v>4.8</v>
      </c>
      <c r="BC265">
        <v>103.6</v>
      </c>
      <c r="BD265">
        <v>12.3</v>
      </c>
      <c r="BE265">
        <v>2.8</v>
      </c>
      <c r="BF265">
        <v>170.2</v>
      </c>
      <c r="BG265">
        <v>44.5</v>
      </c>
      <c r="BH265">
        <v>10.6</v>
      </c>
      <c r="BI265">
        <v>44.8</v>
      </c>
      <c r="BJ265">
        <v>20.6</v>
      </c>
      <c r="BK265">
        <v>1</v>
      </c>
      <c r="BL265">
        <v>23.6</v>
      </c>
      <c r="BM265">
        <v>12.5</v>
      </c>
      <c r="BN265">
        <v>8.8000000000000007</v>
      </c>
      <c r="BO265">
        <v>8.08</v>
      </c>
      <c r="BP265">
        <v>0.62</v>
      </c>
      <c r="BQ265">
        <v>0.51</v>
      </c>
      <c r="BR265">
        <v>289</v>
      </c>
      <c r="BS265">
        <v>81.900000000000006</v>
      </c>
      <c r="BT265">
        <v>2102</v>
      </c>
      <c r="BU265">
        <v>721</v>
      </c>
      <c r="BV265">
        <v>5.99</v>
      </c>
      <c r="BW265">
        <v>2.2200000000000002</v>
      </c>
      <c r="BX265">
        <v>0.48</v>
      </c>
      <c r="BY265">
        <v>42.8</v>
      </c>
      <c r="BZ265">
        <v>48.9</v>
      </c>
      <c r="CA265">
        <v>0.85</v>
      </c>
      <c r="CB265">
        <v>1.48</v>
      </c>
      <c r="CC265">
        <v>12</v>
      </c>
      <c r="CD265">
        <v>0.6</v>
      </c>
      <c r="CE265">
        <v>0.67</v>
      </c>
      <c r="CF265">
        <v>154.4</v>
      </c>
      <c r="CG265">
        <v>10.5</v>
      </c>
      <c r="CH265">
        <v>740</v>
      </c>
      <c r="CI265">
        <v>3.24</v>
      </c>
      <c r="CJ265">
        <v>5.0999999999999996</v>
      </c>
      <c r="CK265">
        <v>0</v>
      </c>
      <c r="CL265" s="42" t="str">
        <f t="shared" si="53"/>
        <v>1</v>
      </c>
      <c r="CM265" s="4">
        <v>0</v>
      </c>
      <c r="CN265" s="4">
        <f t="shared" si="52"/>
        <v>1.28</v>
      </c>
      <c r="CO265">
        <v>2</v>
      </c>
      <c r="CP265" s="42" t="str">
        <f t="shared" si="54"/>
        <v>1</v>
      </c>
      <c r="CQ265" s="4">
        <v>64</v>
      </c>
      <c r="CR265" s="4">
        <v>1.1851851851851851</v>
      </c>
      <c r="CS265" s="43" t="str">
        <f t="shared" si="55"/>
        <v>1</v>
      </c>
      <c r="CT265" s="4">
        <f t="shared" si="56"/>
        <v>64</v>
      </c>
      <c r="CU265" s="4">
        <f t="shared" si="57"/>
        <v>2.4651851851851854</v>
      </c>
      <c r="CV265" s="4">
        <v>2</v>
      </c>
    </row>
    <row r="266" spans="1:100" x14ac:dyDescent="0.3">
      <c r="A266" s="8" t="s">
        <v>372</v>
      </c>
      <c r="B266" s="18">
        <v>1</v>
      </c>
      <c r="C266">
        <v>36</v>
      </c>
      <c r="D266">
        <v>1</v>
      </c>
      <c r="E266">
        <v>3</v>
      </c>
      <c r="F266">
        <v>0</v>
      </c>
      <c r="G266">
        <v>0</v>
      </c>
      <c r="H266">
        <v>0</v>
      </c>
      <c r="I266">
        <v>0</v>
      </c>
      <c r="J266">
        <v>70.7</v>
      </c>
      <c r="K266">
        <v>1.71</v>
      </c>
      <c r="L266">
        <f t="shared" si="50"/>
        <v>171</v>
      </c>
      <c r="M266" s="82">
        <v>26.0883</v>
      </c>
      <c r="N266" s="20">
        <v>41.9</v>
      </c>
      <c r="O266" s="4">
        <v>36.9</v>
      </c>
      <c r="P266" s="39">
        <v>1</v>
      </c>
      <c r="Q266">
        <v>87.1</v>
      </c>
      <c r="R266" s="40">
        <v>1</v>
      </c>
      <c r="S266">
        <v>102</v>
      </c>
      <c r="T266" s="5">
        <v>0.85392156862745094</v>
      </c>
      <c r="U266" s="39">
        <v>0</v>
      </c>
      <c r="V266" s="4">
        <v>24.178379672377829</v>
      </c>
      <c r="W266" s="37">
        <v>1</v>
      </c>
      <c r="X266">
        <v>8</v>
      </c>
      <c r="Y266" s="40">
        <v>0</v>
      </c>
      <c r="Z266" s="5">
        <v>22.39</v>
      </c>
      <c r="AA266" s="5">
        <v>4.1894177777777779</v>
      </c>
      <c r="AB266" s="85">
        <v>1</v>
      </c>
      <c r="AC266" s="5">
        <v>4.21</v>
      </c>
      <c r="AD266" s="37">
        <v>0</v>
      </c>
      <c r="AE266">
        <v>12.28</v>
      </c>
      <c r="AF266" s="5">
        <v>5.26</v>
      </c>
      <c r="AG266" s="37">
        <v>1</v>
      </c>
      <c r="AH266" s="5">
        <v>0.91</v>
      </c>
      <c r="AI266" s="1">
        <v>0</v>
      </c>
      <c r="AJ266" s="13">
        <v>2.97</v>
      </c>
      <c r="AK266" s="1">
        <v>1</v>
      </c>
      <c r="AL266" s="13">
        <v>1.0900000000000001</v>
      </c>
      <c r="AM266" s="1">
        <v>1</v>
      </c>
      <c r="AN266" s="82">
        <f t="shared" si="51"/>
        <v>4.8256880733944945</v>
      </c>
      <c r="AO266" s="1">
        <v>1</v>
      </c>
      <c r="AP266">
        <v>102</v>
      </c>
      <c r="AQ266" s="37">
        <v>0</v>
      </c>
      <c r="AR266">
        <v>60</v>
      </c>
      <c r="AS266" s="37">
        <v>0</v>
      </c>
      <c r="AT266">
        <v>81</v>
      </c>
      <c r="AU266">
        <v>42</v>
      </c>
      <c r="AV266">
        <v>5.2</v>
      </c>
      <c r="AW266">
        <v>1</v>
      </c>
      <c r="AX266">
        <v>834</v>
      </c>
      <c r="AY266">
        <v>35.6</v>
      </c>
      <c r="AZ266">
        <v>27.1</v>
      </c>
      <c r="BA266">
        <v>119.4</v>
      </c>
      <c r="BB266">
        <v>6.3</v>
      </c>
      <c r="BC266">
        <v>84.7</v>
      </c>
      <c r="BD266">
        <v>28.4</v>
      </c>
      <c r="BE266">
        <v>19.600000000000001</v>
      </c>
      <c r="BF266">
        <v>68.599999999999994</v>
      </c>
      <c r="BG266">
        <v>29.2</v>
      </c>
      <c r="BH266">
        <v>17.100000000000001</v>
      </c>
      <c r="BI266">
        <v>53.7</v>
      </c>
      <c r="BJ266">
        <v>21.5</v>
      </c>
      <c r="BK266">
        <v>8.8000000000000007</v>
      </c>
      <c r="BL266">
        <v>20</v>
      </c>
      <c r="BM266">
        <v>2.2000000000000002</v>
      </c>
      <c r="BN266">
        <v>1.1000000000000001</v>
      </c>
      <c r="BO266">
        <v>0.93</v>
      </c>
      <c r="BP266">
        <v>0.06</v>
      </c>
      <c r="BQ266">
        <v>0</v>
      </c>
      <c r="BR266">
        <v>191</v>
      </c>
      <c r="BS266">
        <v>104.8</v>
      </c>
      <c r="BT266">
        <v>2201</v>
      </c>
      <c r="BU266">
        <v>1007</v>
      </c>
      <c r="BV266">
        <v>4.5199999999999996</v>
      </c>
      <c r="BW266">
        <v>2.25</v>
      </c>
      <c r="BX266">
        <v>0.54</v>
      </c>
      <c r="BY266">
        <v>35</v>
      </c>
      <c r="BZ266">
        <v>11.2</v>
      </c>
      <c r="CA266">
        <v>0.59</v>
      </c>
      <c r="CB266">
        <v>0.84</v>
      </c>
      <c r="CC266">
        <v>10.3</v>
      </c>
      <c r="CD266">
        <v>0.48</v>
      </c>
      <c r="CE266">
        <v>1.0900000000000001</v>
      </c>
      <c r="CF266">
        <v>78</v>
      </c>
      <c r="CG266">
        <v>7.6</v>
      </c>
      <c r="CH266">
        <v>106</v>
      </c>
      <c r="CI266">
        <v>1.51</v>
      </c>
      <c r="CJ266">
        <v>0.8</v>
      </c>
      <c r="CK266">
        <v>0</v>
      </c>
      <c r="CL266" s="42" t="str">
        <f t="shared" si="53"/>
        <v>1</v>
      </c>
      <c r="CM266" s="4">
        <v>0</v>
      </c>
      <c r="CN266" s="4">
        <f t="shared" si="52"/>
        <v>0.77333333333333332</v>
      </c>
      <c r="CO266">
        <v>4</v>
      </c>
      <c r="CP266" s="42" t="str">
        <f t="shared" si="54"/>
        <v>1</v>
      </c>
      <c r="CQ266" s="4">
        <v>38.666666666666664</v>
      </c>
      <c r="CR266" s="4">
        <v>2.074074074074074</v>
      </c>
      <c r="CS266" s="43" t="str">
        <f t="shared" si="55"/>
        <v>1</v>
      </c>
      <c r="CT266" s="4">
        <f t="shared" si="56"/>
        <v>38.666666666666664</v>
      </c>
      <c r="CU266" s="4">
        <f t="shared" si="57"/>
        <v>2.8474074074074074</v>
      </c>
      <c r="CV266" s="4">
        <v>2</v>
      </c>
    </row>
    <row r="267" spans="1:100" x14ac:dyDescent="0.3">
      <c r="A267" s="8" t="s">
        <v>371</v>
      </c>
      <c r="B267" s="18">
        <v>1</v>
      </c>
      <c r="C267">
        <v>34</v>
      </c>
      <c r="D267">
        <v>1</v>
      </c>
      <c r="E267">
        <v>3</v>
      </c>
      <c r="F267">
        <v>0</v>
      </c>
      <c r="G267">
        <v>0</v>
      </c>
      <c r="H267">
        <v>0</v>
      </c>
      <c r="I267">
        <v>1</v>
      </c>
      <c r="J267">
        <v>60.2</v>
      </c>
      <c r="K267">
        <v>1.57</v>
      </c>
      <c r="L267">
        <f t="shared" si="50"/>
        <v>157</v>
      </c>
      <c r="M267" s="82">
        <v>22.695400000000003</v>
      </c>
      <c r="N267" s="20">
        <v>35.4</v>
      </c>
      <c r="O267" s="4">
        <v>37.700000000000003</v>
      </c>
      <c r="P267" s="39">
        <v>1</v>
      </c>
      <c r="Q267">
        <v>80.400000000000006</v>
      </c>
      <c r="R267" s="40">
        <v>0</v>
      </c>
      <c r="S267">
        <v>99.2</v>
      </c>
      <c r="T267" s="5">
        <v>0.81048387096774199</v>
      </c>
      <c r="U267" s="39">
        <v>0</v>
      </c>
      <c r="V267" s="4">
        <v>24.422897480628016</v>
      </c>
      <c r="W267" s="37">
        <v>1</v>
      </c>
      <c r="X267">
        <v>6</v>
      </c>
      <c r="Y267" s="40">
        <v>0</v>
      </c>
      <c r="Z267" s="5">
        <v>7.42</v>
      </c>
      <c r="AA267" s="5">
        <v>1.5103822222222223</v>
      </c>
      <c r="AB267" s="85">
        <v>0</v>
      </c>
      <c r="AC267" s="5">
        <v>4.58</v>
      </c>
      <c r="AD267" s="37">
        <v>0</v>
      </c>
      <c r="AE267">
        <v>17.239999999999998</v>
      </c>
      <c r="AF267" s="5">
        <v>4.29</v>
      </c>
      <c r="AG267" s="37">
        <v>0</v>
      </c>
      <c r="AH267" s="5">
        <v>0.7</v>
      </c>
      <c r="AI267" s="1">
        <v>0</v>
      </c>
      <c r="AJ267" s="13">
        <v>3.03</v>
      </c>
      <c r="AK267" s="1">
        <v>1</v>
      </c>
      <c r="AL267" s="13">
        <v>1.0900000000000001</v>
      </c>
      <c r="AM267" s="1">
        <v>1</v>
      </c>
      <c r="AN267" s="82">
        <f t="shared" si="51"/>
        <v>3.9357798165137612</v>
      </c>
      <c r="AO267" s="1">
        <v>0</v>
      </c>
      <c r="AP267" s="12">
        <v>123</v>
      </c>
      <c r="AQ267" s="37">
        <v>0</v>
      </c>
      <c r="AR267" s="12">
        <v>80</v>
      </c>
      <c r="AS267" s="37">
        <v>0</v>
      </c>
      <c r="AT267" s="12">
        <v>60</v>
      </c>
      <c r="AU267" s="12">
        <v>43</v>
      </c>
      <c r="AV267" s="12">
        <v>5.8</v>
      </c>
      <c r="AW267">
        <v>1</v>
      </c>
      <c r="AX267">
        <v>1584</v>
      </c>
      <c r="AY267">
        <v>36.9</v>
      </c>
      <c r="AZ267">
        <v>50.6</v>
      </c>
      <c r="BA267">
        <v>261.60000000000002</v>
      </c>
      <c r="BB267">
        <v>11.7</v>
      </c>
      <c r="BC267">
        <v>164.9</v>
      </c>
      <c r="BD267">
        <v>89.4</v>
      </c>
      <c r="BE267">
        <v>70.599999999999994</v>
      </c>
      <c r="BF267">
        <v>67.5</v>
      </c>
      <c r="BG267">
        <v>28.7</v>
      </c>
      <c r="BH267">
        <v>9.3000000000000007</v>
      </c>
      <c r="BI267">
        <v>61.9</v>
      </c>
      <c r="BJ267">
        <v>20.7</v>
      </c>
      <c r="BK267">
        <v>16.7</v>
      </c>
      <c r="BL267">
        <v>36.5</v>
      </c>
      <c r="BM267">
        <v>6.3</v>
      </c>
      <c r="BN267">
        <v>1.8</v>
      </c>
      <c r="BO267">
        <v>1.6</v>
      </c>
      <c r="BP267">
        <v>0.13</v>
      </c>
      <c r="BQ267">
        <v>0.01</v>
      </c>
      <c r="BR267">
        <v>497</v>
      </c>
      <c r="BS267">
        <v>162.5</v>
      </c>
      <c r="BT267">
        <v>2461</v>
      </c>
      <c r="BU267">
        <v>1418</v>
      </c>
      <c r="BV267">
        <v>8.4600000000000009</v>
      </c>
      <c r="BW267">
        <v>3.65</v>
      </c>
      <c r="BX267">
        <v>0.91</v>
      </c>
      <c r="BY267">
        <v>42.6</v>
      </c>
      <c r="BZ267">
        <v>44.5</v>
      </c>
      <c r="CA267">
        <v>7.4</v>
      </c>
      <c r="CB267">
        <v>7.11</v>
      </c>
      <c r="CC267">
        <v>10</v>
      </c>
      <c r="CD267">
        <v>0.56000000000000005</v>
      </c>
      <c r="CE267">
        <v>0.74</v>
      </c>
      <c r="CF267">
        <v>143.19999999999999</v>
      </c>
      <c r="CG267">
        <v>21</v>
      </c>
      <c r="CH267">
        <v>415</v>
      </c>
      <c r="CI267">
        <v>3.84</v>
      </c>
      <c r="CJ267">
        <v>30.8</v>
      </c>
      <c r="CK267">
        <v>2</v>
      </c>
      <c r="CL267" s="42" t="str">
        <f t="shared" si="53"/>
        <v>1</v>
      </c>
      <c r="CM267" s="4">
        <v>34</v>
      </c>
      <c r="CN267" s="4">
        <f t="shared" si="52"/>
        <v>1.3733333333333335</v>
      </c>
      <c r="CO267">
        <v>6</v>
      </c>
      <c r="CP267" s="42" t="str">
        <f t="shared" si="54"/>
        <v>1</v>
      </c>
      <c r="CQ267" s="4">
        <v>68.666666666666671</v>
      </c>
      <c r="CR267" s="4">
        <v>1.8395061728395063</v>
      </c>
      <c r="CS267" s="43" t="str">
        <f t="shared" si="55"/>
        <v>1</v>
      </c>
      <c r="CT267" s="4">
        <f t="shared" si="56"/>
        <v>102.66666666666667</v>
      </c>
      <c r="CU267" s="4">
        <f t="shared" si="57"/>
        <v>3.2128395061728399</v>
      </c>
      <c r="CV267" s="4">
        <v>3</v>
      </c>
    </row>
    <row r="268" spans="1:100" x14ac:dyDescent="0.3">
      <c r="A268" s="8" t="s">
        <v>370</v>
      </c>
      <c r="B268" s="18">
        <v>1</v>
      </c>
      <c r="C268">
        <v>37</v>
      </c>
      <c r="D268">
        <v>2</v>
      </c>
      <c r="E268">
        <v>2</v>
      </c>
      <c r="F268">
        <v>1</v>
      </c>
      <c r="G268">
        <v>0</v>
      </c>
      <c r="H268">
        <v>0</v>
      </c>
      <c r="I268">
        <v>0</v>
      </c>
      <c r="J268">
        <v>55.9</v>
      </c>
      <c r="K268">
        <v>1.5</v>
      </c>
      <c r="L268">
        <f t="shared" si="50"/>
        <v>150</v>
      </c>
      <c r="M268" s="82">
        <v>21.633299999999998</v>
      </c>
      <c r="N268" s="20">
        <v>32.5</v>
      </c>
      <c r="O268" s="4">
        <v>38.700000000000003</v>
      </c>
      <c r="P268" s="39">
        <v>1</v>
      </c>
      <c r="Q268">
        <v>88.4</v>
      </c>
      <c r="R268" s="40">
        <v>1</v>
      </c>
      <c r="S268">
        <v>99.8</v>
      </c>
      <c r="T268" s="5">
        <v>0.88577154308617245</v>
      </c>
      <c r="U268" s="39">
        <v>1</v>
      </c>
      <c r="V268" s="4">
        <v>24.844444444444445</v>
      </c>
      <c r="W268" s="37">
        <v>1</v>
      </c>
      <c r="X268">
        <v>6</v>
      </c>
      <c r="Y268" s="40">
        <v>0</v>
      </c>
      <c r="Z268" s="5">
        <v>7.44</v>
      </c>
      <c r="AA268" s="5">
        <v>1.7393066666666666</v>
      </c>
      <c r="AB268" s="85">
        <v>0</v>
      </c>
      <c r="AC268" s="5">
        <v>5.26</v>
      </c>
      <c r="AD268" s="37">
        <v>0</v>
      </c>
      <c r="AE268">
        <v>14.43</v>
      </c>
      <c r="AF268" s="5">
        <v>6.12</v>
      </c>
      <c r="AG268" s="37">
        <v>1</v>
      </c>
      <c r="AH268" s="5">
        <v>0.97</v>
      </c>
      <c r="AI268" s="1">
        <v>1</v>
      </c>
      <c r="AJ268" s="13">
        <v>4.4400000000000004</v>
      </c>
      <c r="AK268" s="1">
        <v>1</v>
      </c>
      <c r="AL268" s="13">
        <v>1.24</v>
      </c>
      <c r="AM268" s="1">
        <v>1</v>
      </c>
      <c r="AN268" s="82">
        <f t="shared" si="51"/>
        <v>4.935483870967742</v>
      </c>
      <c r="AO268" s="1">
        <v>1</v>
      </c>
      <c r="AP268">
        <v>122</v>
      </c>
      <c r="AQ268" s="37">
        <v>0</v>
      </c>
      <c r="AR268">
        <v>80</v>
      </c>
      <c r="AS268" s="37">
        <v>0</v>
      </c>
      <c r="AT268">
        <v>81</v>
      </c>
      <c r="AU268">
        <v>42</v>
      </c>
      <c r="AV268">
        <v>5.6</v>
      </c>
      <c r="AW268">
        <v>1</v>
      </c>
      <c r="AX268">
        <v>2058</v>
      </c>
      <c r="AY268">
        <v>60.5</v>
      </c>
      <c r="AZ268">
        <v>44.6</v>
      </c>
      <c r="BA268">
        <v>376.9</v>
      </c>
      <c r="BB268">
        <v>16.2</v>
      </c>
      <c r="BC268">
        <v>301.89999999999998</v>
      </c>
      <c r="BD268">
        <v>48.5</v>
      </c>
      <c r="BE268">
        <v>35.1</v>
      </c>
      <c r="BF268">
        <v>69.5</v>
      </c>
      <c r="BG268">
        <v>19.5</v>
      </c>
      <c r="BH268">
        <v>11.8</v>
      </c>
      <c r="BI268">
        <v>68.7</v>
      </c>
      <c r="BJ268">
        <v>11.4</v>
      </c>
      <c r="BK268">
        <v>6.4</v>
      </c>
      <c r="BL268">
        <v>26.1</v>
      </c>
      <c r="BM268">
        <v>5.2</v>
      </c>
      <c r="BN268">
        <v>1.3</v>
      </c>
      <c r="BO268">
        <v>0.95</v>
      </c>
      <c r="BP268">
        <v>0.2</v>
      </c>
      <c r="BQ268">
        <v>0</v>
      </c>
      <c r="BR268">
        <v>250</v>
      </c>
      <c r="BS268">
        <v>188.1</v>
      </c>
      <c r="BT268">
        <v>1919</v>
      </c>
      <c r="BU268">
        <v>1663</v>
      </c>
      <c r="BV268">
        <v>10.64</v>
      </c>
      <c r="BW268">
        <v>5.63</v>
      </c>
      <c r="BX268">
        <v>1.36</v>
      </c>
      <c r="BY268">
        <v>9.4</v>
      </c>
      <c r="BZ268">
        <v>16.5</v>
      </c>
      <c r="CA268">
        <v>1.27</v>
      </c>
      <c r="CB268">
        <v>2.1800000000000002</v>
      </c>
      <c r="CC268">
        <v>8.9</v>
      </c>
      <c r="CD268">
        <v>0.79</v>
      </c>
      <c r="CE268">
        <v>1.41</v>
      </c>
      <c r="CF268">
        <v>225</v>
      </c>
      <c r="CG268">
        <v>49.9</v>
      </c>
      <c r="CH268">
        <v>393</v>
      </c>
      <c r="CI268">
        <v>6.24</v>
      </c>
      <c r="CJ268">
        <v>1.7</v>
      </c>
      <c r="CK268">
        <v>2</v>
      </c>
      <c r="CL268" s="42" t="str">
        <f t="shared" si="53"/>
        <v>2</v>
      </c>
      <c r="CM268" s="4">
        <v>153.33333333333334</v>
      </c>
      <c r="CN268" s="4">
        <f t="shared" si="52"/>
        <v>1.9266666666666665</v>
      </c>
      <c r="CO268">
        <v>5</v>
      </c>
      <c r="CP268" s="42" t="str">
        <f t="shared" si="54"/>
        <v>1</v>
      </c>
      <c r="CQ268" s="4">
        <v>96.333333333333329</v>
      </c>
      <c r="CR268" s="4">
        <v>1.4135802469135801</v>
      </c>
      <c r="CS268" s="43" t="str">
        <f t="shared" si="55"/>
        <v>2</v>
      </c>
      <c r="CT268" s="4">
        <f t="shared" si="56"/>
        <v>249.66666666666669</v>
      </c>
      <c r="CU268" s="4">
        <f t="shared" si="57"/>
        <v>3.3402469135802466</v>
      </c>
      <c r="CV268" s="4">
        <v>3</v>
      </c>
    </row>
    <row r="269" spans="1:100" x14ac:dyDescent="0.3">
      <c r="A269" s="8" t="s">
        <v>369</v>
      </c>
      <c r="B269" s="18">
        <v>1</v>
      </c>
      <c r="C269">
        <v>31</v>
      </c>
      <c r="D269">
        <v>1</v>
      </c>
      <c r="E269">
        <v>3</v>
      </c>
      <c r="F269">
        <v>0</v>
      </c>
      <c r="G269">
        <v>0</v>
      </c>
      <c r="H269">
        <v>0</v>
      </c>
      <c r="I269">
        <v>1</v>
      </c>
      <c r="J269">
        <v>60.6</v>
      </c>
      <c r="K269">
        <v>1.5489999999999999</v>
      </c>
      <c r="L269">
        <f t="shared" si="50"/>
        <v>154.9</v>
      </c>
      <c r="M269" s="82">
        <v>23.573400000000003</v>
      </c>
      <c r="N269" s="20">
        <v>34.9</v>
      </c>
      <c r="O269" s="4">
        <v>38.9</v>
      </c>
      <c r="P269" s="39">
        <v>1</v>
      </c>
      <c r="Q269">
        <v>79.3</v>
      </c>
      <c r="R269" s="40">
        <v>0</v>
      </c>
      <c r="S269">
        <v>99.6</v>
      </c>
      <c r="T269" s="5">
        <v>0.79618473895582331</v>
      </c>
      <c r="U269" s="39">
        <v>0</v>
      </c>
      <c r="V269" s="4">
        <v>25.256303552428296</v>
      </c>
      <c r="W269" s="37">
        <v>1</v>
      </c>
      <c r="X269">
        <v>7</v>
      </c>
      <c r="Y269" s="40">
        <v>0</v>
      </c>
      <c r="AA269" s="5"/>
      <c r="AB269" s="85">
        <v>0</v>
      </c>
      <c r="AC269" s="13">
        <v>5.53</v>
      </c>
      <c r="AD269" s="37">
        <v>0</v>
      </c>
      <c r="AE269">
        <v>32.659999999999997</v>
      </c>
      <c r="AF269" s="5">
        <v>6.35</v>
      </c>
      <c r="AG269" s="37">
        <v>1</v>
      </c>
      <c r="AH269" s="5">
        <v>0.97</v>
      </c>
      <c r="AI269" s="1">
        <v>1</v>
      </c>
      <c r="AJ269" s="13">
        <v>4.13</v>
      </c>
      <c r="AK269" s="1">
        <v>1</v>
      </c>
      <c r="AL269" s="13">
        <v>0.91</v>
      </c>
      <c r="AM269" s="1">
        <v>1</v>
      </c>
      <c r="AN269" s="82">
        <f t="shared" si="51"/>
        <v>6.9780219780219772</v>
      </c>
      <c r="AO269" s="1">
        <v>1</v>
      </c>
      <c r="AP269">
        <v>97</v>
      </c>
      <c r="AQ269" s="37">
        <v>0</v>
      </c>
      <c r="AR269">
        <v>73</v>
      </c>
      <c r="AS269" s="37">
        <v>0</v>
      </c>
      <c r="AT269">
        <v>81</v>
      </c>
      <c r="AU269">
        <v>24</v>
      </c>
      <c r="AV269">
        <v>4.5999999999999996</v>
      </c>
      <c r="AW269">
        <v>1</v>
      </c>
      <c r="AX269">
        <v>1926</v>
      </c>
      <c r="AY269">
        <v>55</v>
      </c>
      <c r="AZ269">
        <v>56.6</v>
      </c>
      <c r="BA269">
        <v>318.60000000000002</v>
      </c>
      <c r="BB269">
        <v>15.8</v>
      </c>
      <c r="BC269">
        <v>209.6</v>
      </c>
      <c r="BD269">
        <v>76.400000000000006</v>
      </c>
      <c r="BE269">
        <v>53.6</v>
      </c>
      <c r="BF269">
        <v>178.6</v>
      </c>
      <c r="BG269">
        <v>26.4</v>
      </c>
      <c r="BH269">
        <v>11.4</v>
      </c>
      <c r="BI269">
        <v>62</v>
      </c>
      <c r="BJ269">
        <v>17.5</v>
      </c>
      <c r="BK269">
        <v>10.4</v>
      </c>
      <c r="BL269">
        <v>37.4</v>
      </c>
      <c r="BM269">
        <v>7.7</v>
      </c>
      <c r="BN269">
        <v>2.6</v>
      </c>
      <c r="BO269">
        <v>2.21</v>
      </c>
      <c r="BP269">
        <v>0.24</v>
      </c>
      <c r="BQ269">
        <v>0.15</v>
      </c>
      <c r="BR269">
        <v>582</v>
      </c>
      <c r="BS269">
        <v>325.5</v>
      </c>
      <c r="BT269">
        <v>2847</v>
      </c>
      <c r="BU269">
        <v>2259</v>
      </c>
      <c r="BV269">
        <v>13.3</v>
      </c>
      <c r="BW269">
        <v>7.89</v>
      </c>
      <c r="BX269">
        <v>2.0299999999999998</v>
      </c>
      <c r="BY269">
        <v>48.3</v>
      </c>
      <c r="BZ269">
        <v>36.299999999999997</v>
      </c>
      <c r="CA269">
        <v>1.08</v>
      </c>
      <c r="CB269">
        <v>0.98</v>
      </c>
      <c r="CC269">
        <v>16.3</v>
      </c>
      <c r="CD269">
        <v>0.73</v>
      </c>
      <c r="CE269">
        <v>0.77</v>
      </c>
      <c r="CF269">
        <v>302.2</v>
      </c>
      <c r="CG269">
        <v>37.5</v>
      </c>
      <c r="CH269">
        <v>401</v>
      </c>
      <c r="CI269">
        <v>5.99</v>
      </c>
      <c r="CJ269">
        <v>2.2000000000000002</v>
      </c>
      <c r="CK269">
        <v>2</v>
      </c>
      <c r="CL269" s="42" t="str">
        <f t="shared" si="53"/>
        <v>2</v>
      </c>
      <c r="CM269" s="4">
        <v>146.66666666666666</v>
      </c>
      <c r="CN269" s="4">
        <f t="shared" si="52"/>
        <v>1.92</v>
      </c>
      <c r="CO269">
        <v>5</v>
      </c>
      <c r="CP269" s="42" t="str">
        <f t="shared" si="54"/>
        <v>1</v>
      </c>
      <c r="CQ269" s="4">
        <v>96</v>
      </c>
      <c r="CR269" s="4">
        <v>1.8271604938271606</v>
      </c>
      <c r="CS269" s="43" t="str">
        <f t="shared" si="55"/>
        <v>2</v>
      </c>
      <c r="CT269" s="4">
        <f t="shared" si="56"/>
        <v>242.66666666666666</v>
      </c>
      <c r="CU269" s="4">
        <f t="shared" si="57"/>
        <v>3.7471604938271605</v>
      </c>
      <c r="CV269" s="4">
        <v>3</v>
      </c>
    </row>
    <row r="270" spans="1:100" x14ac:dyDescent="0.3">
      <c r="A270" s="8" t="s">
        <v>368</v>
      </c>
      <c r="B270" s="18">
        <v>1</v>
      </c>
      <c r="C270">
        <v>47</v>
      </c>
      <c r="D270">
        <v>1</v>
      </c>
      <c r="E270">
        <v>3</v>
      </c>
      <c r="F270">
        <v>1</v>
      </c>
      <c r="G270">
        <v>0</v>
      </c>
      <c r="H270">
        <v>0</v>
      </c>
      <c r="I270">
        <v>1</v>
      </c>
      <c r="J270">
        <v>69.099999999999994</v>
      </c>
      <c r="K270">
        <v>1.59</v>
      </c>
      <c r="L270">
        <f t="shared" si="50"/>
        <v>159</v>
      </c>
      <c r="M270" s="82">
        <v>26.879899999999999</v>
      </c>
      <c r="N270" s="20">
        <v>39.700000000000003</v>
      </c>
      <c r="O270" s="4">
        <v>38.9</v>
      </c>
      <c r="P270" s="39">
        <v>1</v>
      </c>
      <c r="Q270">
        <v>80.5</v>
      </c>
      <c r="R270" s="40">
        <v>0</v>
      </c>
      <c r="S270">
        <v>97.9</v>
      </c>
      <c r="T270" s="5">
        <v>0.82226762002042897</v>
      </c>
      <c r="U270" s="39">
        <v>0</v>
      </c>
      <c r="V270" s="4">
        <v>27.332779557770653</v>
      </c>
      <c r="W270" s="37">
        <v>1</v>
      </c>
      <c r="X270">
        <v>9</v>
      </c>
      <c r="Y270" s="40">
        <v>0</v>
      </c>
      <c r="Z270" s="5">
        <v>14.31</v>
      </c>
      <c r="AA270" s="5">
        <v>3.0146400000000004</v>
      </c>
      <c r="AB270" s="85">
        <v>1</v>
      </c>
      <c r="AC270" s="13">
        <v>4.74</v>
      </c>
      <c r="AD270" s="37">
        <v>0</v>
      </c>
      <c r="AE270">
        <v>43.4</v>
      </c>
      <c r="AF270" s="13">
        <v>5.48</v>
      </c>
      <c r="AG270" s="37">
        <v>1</v>
      </c>
      <c r="AH270" s="5">
        <v>1.08</v>
      </c>
      <c r="AI270" s="1">
        <v>1</v>
      </c>
      <c r="AJ270" s="13">
        <v>4.5599999999999996</v>
      </c>
      <c r="AK270" s="1">
        <v>1</v>
      </c>
      <c r="AL270" s="13">
        <v>1.3</v>
      </c>
      <c r="AM270" s="1">
        <v>1</v>
      </c>
      <c r="AN270" s="82">
        <f t="shared" si="51"/>
        <v>4.2153846153846155</v>
      </c>
      <c r="AO270" s="1">
        <v>1</v>
      </c>
      <c r="AP270" s="12">
        <v>125</v>
      </c>
      <c r="AQ270" s="37">
        <v>0</v>
      </c>
      <c r="AR270" s="12">
        <v>75</v>
      </c>
      <c r="AS270" s="37">
        <v>0</v>
      </c>
      <c r="AT270" s="12">
        <v>71</v>
      </c>
      <c r="AU270" s="12">
        <v>50</v>
      </c>
      <c r="AV270" s="12">
        <v>6.8</v>
      </c>
      <c r="AW270">
        <v>1</v>
      </c>
      <c r="AX270">
        <v>1464</v>
      </c>
      <c r="AY270">
        <v>50.8</v>
      </c>
      <c r="AZ270">
        <v>46.7</v>
      </c>
      <c r="BA270">
        <v>222.8</v>
      </c>
      <c r="BB270">
        <v>6.4</v>
      </c>
      <c r="BC270">
        <v>162.80000000000001</v>
      </c>
      <c r="BD270">
        <v>38.700000000000003</v>
      </c>
      <c r="BE270">
        <v>18.600000000000001</v>
      </c>
      <c r="BF270">
        <v>151.5</v>
      </c>
      <c r="BG270">
        <v>28.7</v>
      </c>
      <c r="BH270">
        <v>13.9</v>
      </c>
      <c r="BI270">
        <v>57.1</v>
      </c>
      <c r="BJ270">
        <v>16.2</v>
      </c>
      <c r="BK270">
        <v>4.8</v>
      </c>
      <c r="BL270">
        <v>26.4</v>
      </c>
      <c r="BM270">
        <v>5</v>
      </c>
      <c r="BN270">
        <v>2</v>
      </c>
      <c r="BO270">
        <v>1.55</v>
      </c>
      <c r="BP270">
        <v>0.12</v>
      </c>
      <c r="BQ270">
        <v>0.09</v>
      </c>
      <c r="BR270">
        <v>381</v>
      </c>
      <c r="BS270">
        <v>167.9</v>
      </c>
      <c r="BT270">
        <v>2293</v>
      </c>
      <c r="BU270">
        <v>1742</v>
      </c>
      <c r="BV270">
        <v>6.92</v>
      </c>
      <c r="BW270">
        <v>5.77</v>
      </c>
      <c r="BX270">
        <v>0.92</v>
      </c>
      <c r="BY270">
        <v>36</v>
      </c>
      <c r="BZ270">
        <v>74.5</v>
      </c>
      <c r="CA270">
        <v>0.41</v>
      </c>
      <c r="CB270">
        <v>0.76</v>
      </c>
      <c r="CC270">
        <v>15.8</v>
      </c>
      <c r="CD270">
        <v>0.77</v>
      </c>
      <c r="CE270">
        <v>0.66</v>
      </c>
      <c r="CF270">
        <v>143.80000000000001</v>
      </c>
      <c r="CG270">
        <v>28.9</v>
      </c>
      <c r="CH270">
        <v>180</v>
      </c>
      <c r="CI270">
        <v>1.28</v>
      </c>
      <c r="CJ270">
        <v>1.2</v>
      </c>
      <c r="CL270" s="42" t="str">
        <f t="shared" si="53"/>
        <v>1</v>
      </c>
      <c r="CM270" s="4">
        <v>0</v>
      </c>
      <c r="CN270" s="4">
        <f t="shared" si="52"/>
        <v>0</v>
      </c>
      <c r="CP270" s="42" t="str">
        <f t="shared" si="54"/>
        <v>1</v>
      </c>
      <c r="CQ270" s="4">
        <v>0</v>
      </c>
      <c r="CR270" s="4">
        <v>0</v>
      </c>
      <c r="CS270" s="43" t="str">
        <f t="shared" si="55"/>
        <v>1</v>
      </c>
      <c r="CT270" s="4">
        <f t="shared" si="56"/>
        <v>0</v>
      </c>
      <c r="CU270" s="4">
        <f t="shared" si="57"/>
        <v>0</v>
      </c>
      <c r="CV270" s="4">
        <v>1</v>
      </c>
    </row>
    <row r="271" spans="1:100" x14ac:dyDescent="0.3">
      <c r="A271" s="8" t="s">
        <v>367</v>
      </c>
      <c r="B271" s="18">
        <v>1</v>
      </c>
      <c r="C271">
        <v>36</v>
      </c>
      <c r="D271">
        <v>0</v>
      </c>
      <c r="E271">
        <v>1</v>
      </c>
      <c r="F271">
        <v>1</v>
      </c>
      <c r="G271">
        <v>0</v>
      </c>
      <c r="H271">
        <v>0</v>
      </c>
      <c r="I271">
        <v>1</v>
      </c>
      <c r="J271">
        <v>80.099999999999994</v>
      </c>
      <c r="K271">
        <v>1.54</v>
      </c>
      <c r="L271">
        <f t="shared" si="50"/>
        <v>154</v>
      </c>
      <c r="M271" s="82">
        <v>38.848500000000001</v>
      </c>
      <c r="N271" s="20">
        <v>38.799999999999997</v>
      </c>
      <c r="O271" s="4">
        <v>48.5</v>
      </c>
      <c r="P271" s="39">
        <v>1</v>
      </c>
      <c r="Q271">
        <v>94.3</v>
      </c>
      <c r="R271" s="40">
        <v>1</v>
      </c>
      <c r="S271">
        <v>116.3</v>
      </c>
      <c r="T271" s="5">
        <v>0.81083404987102325</v>
      </c>
      <c r="U271" s="39">
        <v>0</v>
      </c>
      <c r="V271" s="4">
        <v>33.774666891550005</v>
      </c>
      <c r="W271" s="37">
        <v>1</v>
      </c>
      <c r="X271">
        <v>14</v>
      </c>
      <c r="Y271" s="40">
        <v>1</v>
      </c>
      <c r="Z271" s="5">
        <v>20.91</v>
      </c>
      <c r="AA271" s="5">
        <v>4.9440533333333336</v>
      </c>
      <c r="AB271" s="85">
        <v>1</v>
      </c>
      <c r="AC271" s="5">
        <v>5.32</v>
      </c>
      <c r="AD271" s="37">
        <v>0</v>
      </c>
      <c r="AE271">
        <v>23.49</v>
      </c>
      <c r="AF271" s="5">
        <v>5.04</v>
      </c>
      <c r="AG271" s="37">
        <v>1</v>
      </c>
      <c r="AH271" s="5">
        <v>1.1100000000000001</v>
      </c>
      <c r="AI271" s="1">
        <v>0</v>
      </c>
      <c r="AJ271" s="13">
        <v>3.38</v>
      </c>
      <c r="AK271" s="1">
        <v>1</v>
      </c>
      <c r="AL271" s="13">
        <v>1.1599999999999999</v>
      </c>
      <c r="AM271" s="1">
        <v>1</v>
      </c>
      <c r="AN271" s="82">
        <f t="shared" si="51"/>
        <v>4.3448275862068968</v>
      </c>
      <c r="AO271" s="1">
        <v>1</v>
      </c>
      <c r="AP271">
        <v>121</v>
      </c>
      <c r="AQ271" s="37">
        <v>0</v>
      </c>
      <c r="AR271">
        <v>74</v>
      </c>
      <c r="AS271" s="37">
        <v>0</v>
      </c>
      <c r="AT271">
        <v>67</v>
      </c>
      <c r="AU271">
        <v>47</v>
      </c>
      <c r="AV271">
        <v>5.9</v>
      </c>
      <c r="AW271">
        <v>1</v>
      </c>
      <c r="AX271">
        <v>1506</v>
      </c>
      <c r="AY271">
        <v>48.7</v>
      </c>
      <c r="AZ271">
        <v>48.3</v>
      </c>
      <c r="BA271">
        <v>233.6</v>
      </c>
      <c r="BB271">
        <v>11.3</v>
      </c>
      <c r="BC271">
        <v>181.3</v>
      </c>
      <c r="BD271">
        <v>35.299999999999997</v>
      </c>
      <c r="BE271">
        <v>24</v>
      </c>
      <c r="BF271">
        <v>67.400000000000006</v>
      </c>
      <c r="BG271">
        <v>28.8</v>
      </c>
      <c r="BH271">
        <v>12.9</v>
      </c>
      <c r="BI271">
        <v>58.2</v>
      </c>
      <c r="BJ271">
        <v>18.899999999999999</v>
      </c>
      <c r="BK271">
        <v>6</v>
      </c>
      <c r="BL271">
        <v>31.6</v>
      </c>
      <c r="BM271">
        <v>6.6</v>
      </c>
      <c r="BN271">
        <v>2</v>
      </c>
      <c r="BO271">
        <v>1.02</v>
      </c>
      <c r="BP271">
        <v>0.76</v>
      </c>
      <c r="BQ271">
        <v>0.21</v>
      </c>
      <c r="BR271">
        <v>418</v>
      </c>
      <c r="BS271">
        <v>169.4</v>
      </c>
      <c r="BT271">
        <v>3292</v>
      </c>
      <c r="BU271">
        <v>1595</v>
      </c>
      <c r="BV271">
        <v>9.57</v>
      </c>
      <c r="BW271">
        <v>5.2</v>
      </c>
      <c r="BX271">
        <v>1.01</v>
      </c>
      <c r="BY271">
        <v>26.6</v>
      </c>
      <c r="BZ271">
        <v>42</v>
      </c>
      <c r="CA271">
        <v>5.87</v>
      </c>
      <c r="CB271">
        <v>5.95</v>
      </c>
      <c r="CC271">
        <v>11.1</v>
      </c>
      <c r="CD271">
        <v>0.59</v>
      </c>
      <c r="CE271">
        <v>4.66</v>
      </c>
      <c r="CF271">
        <v>141.69999999999999</v>
      </c>
      <c r="CG271">
        <v>23.1</v>
      </c>
      <c r="CH271">
        <v>281</v>
      </c>
      <c r="CI271">
        <v>7.77</v>
      </c>
      <c r="CJ271">
        <v>24.3</v>
      </c>
      <c r="CK271">
        <v>2</v>
      </c>
      <c r="CL271" s="42" t="str">
        <f t="shared" si="53"/>
        <v>1</v>
      </c>
      <c r="CM271" s="4">
        <v>52.333333333333336</v>
      </c>
      <c r="CN271" s="4">
        <f t="shared" si="52"/>
        <v>1.96</v>
      </c>
      <c r="CO271">
        <v>5</v>
      </c>
      <c r="CP271" s="42" t="str">
        <f t="shared" si="54"/>
        <v>1</v>
      </c>
      <c r="CQ271" s="4">
        <v>98</v>
      </c>
      <c r="CR271" s="4">
        <v>3.4975308641975307</v>
      </c>
      <c r="CS271" s="43" t="str">
        <f t="shared" si="55"/>
        <v>2</v>
      </c>
      <c r="CT271" s="4">
        <f t="shared" si="56"/>
        <v>150.33333333333334</v>
      </c>
      <c r="CU271" s="4">
        <f t="shared" si="57"/>
        <v>5.4575308641975306</v>
      </c>
      <c r="CV271" s="4">
        <v>4</v>
      </c>
    </row>
    <row r="272" spans="1:100" x14ac:dyDescent="0.3">
      <c r="A272" s="8" t="s">
        <v>366</v>
      </c>
      <c r="B272" s="18">
        <v>1</v>
      </c>
      <c r="C272">
        <v>32</v>
      </c>
      <c r="D272">
        <v>1</v>
      </c>
      <c r="E272">
        <v>3</v>
      </c>
      <c r="F272">
        <v>1</v>
      </c>
      <c r="G272">
        <v>0</v>
      </c>
      <c r="H272">
        <v>0</v>
      </c>
      <c r="I272">
        <v>1</v>
      </c>
      <c r="J272">
        <v>52.7</v>
      </c>
      <c r="K272">
        <v>1.62</v>
      </c>
      <c r="L272">
        <f t="shared" si="50"/>
        <v>162</v>
      </c>
      <c r="M272" s="82">
        <v>16.284300000000002</v>
      </c>
      <c r="N272" s="20">
        <v>34.4</v>
      </c>
      <c r="O272" s="4">
        <v>30.9</v>
      </c>
      <c r="P272" s="39">
        <v>0</v>
      </c>
      <c r="Q272">
        <v>67</v>
      </c>
      <c r="R272" s="40">
        <v>0</v>
      </c>
      <c r="S272">
        <v>91</v>
      </c>
      <c r="T272" s="5">
        <v>0.73626373626373631</v>
      </c>
      <c r="U272" s="39">
        <v>0</v>
      </c>
      <c r="V272" s="4">
        <v>20.080780368846209</v>
      </c>
      <c r="W272" s="37">
        <v>0</v>
      </c>
      <c r="X272">
        <v>3</v>
      </c>
      <c r="Y272" s="40">
        <v>0</v>
      </c>
      <c r="Z272" s="5">
        <v>12.13</v>
      </c>
      <c r="AA272" s="5">
        <v>2.3936533333333334</v>
      </c>
      <c r="AB272" s="85">
        <v>0</v>
      </c>
      <c r="AC272" s="5">
        <v>4.4400000000000004</v>
      </c>
      <c r="AD272" s="37">
        <v>0</v>
      </c>
      <c r="AE272">
        <v>26.69</v>
      </c>
      <c r="AF272" s="5">
        <v>5.2</v>
      </c>
      <c r="AG272" s="37">
        <v>1</v>
      </c>
      <c r="AH272" s="5">
        <v>0.94</v>
      </c>
      <c r="AI272" s="1">
        <v>0</v>
      </c>
      <c r="AJ272" s="13">
        <v>3.33</v>
      </c>
      <c r="AK272" s="1">
        <v>0</v>
      </c>
      <c r="AL272" s="13">
        <v>1.44</v>
      </c>
      <c r="AM272" s="1">
        <v>0</v>
      </c>
      <c r="AN272" s="82">
        <f t="shared" si="51"/>
        <v>3.6111111111111112</v>
      </c>
      <c r="AO272" s="1">
        <v>0</v>
      </c>
      <c r="AP272">
        <v>123</v>
      </c>
      <c r="AQ272" s="37">
        <v>0</v>
      </c>
      <c r="AR272">
        <v>84</v>
      </c>
      <c r="AS272" s="37">
        <v>0</v>
      </c>
      <c r="AT272">
        <v>89</v>
      </c>
      <c r="AU272">
        <v>39</v>
      </c>
      <c r="AV272">
        <v>5.5</v>
      </c>
      <c r="AW272">
        <v>1</v>
      </c>
      <c r="AX272">
        <v>1461</v>
      </c>
      <c r="AY272">
        <v>43.9</v>
      </c>
      <c r="AZ272">
        <v>51.7</v>
      </c>
      <c r="BA272">
        <v>217.7</v>
      </c>
      <c r="BB272">
        <v>7.6</v>
      </c>
      <c r="BC272">
        <v>127.3</v>
      </c>
      <c r="BD272">
        <v>74.2</v>
      </c>
      <c r="BE272">
        <v>57.5</v>
      </c>
      <c r="BF272">
        <v>96.4</v>
      </c>
      <c r="BG272">
        <v>31.8</v>
      </c>
      <c r="BH272">
        <v>12</v>
      </c>
      <c r="BI272">
        <v>55.9</v>
      </c>
      <c r="BJ272">
        <v>20.2</v>
      </c>
      <c r="BK272">
        <v>14.8</v>
      </c>
      <c r="BL272">
        <v>32.799999999999997</v>
      </c>
      <c r="BM272">
        <v>7.5</v>
      </c>
      <c r="BN272">
        <v>4.3</v>
      </c>
      <c r="BO272">
        <v>3.78</v>
      </c>
      <c r="BP272">
        <v>0.3</v>
      </c>
      <c r="BQ272">
        <v>0.49</v>
      </c>
      <c r="BR272">
        <v>438</v>
      </c>
      <c r="BS272">
        <v>157.6</v>
      </c>
      <c r="BT272">
        <v>2975</v>
      </c>
      <c r="BU272">
        <v>1422</v>
      </c>
      <c r="BV272">
        <v>8.25</v>
      </c>
      <c r="BW272">
        <v>3.63</v>
      </c>
      <c r="BX272">
        <v>0.88</v>
      </c>
      <c r="BY272">
        <v>39.6</v>
      </c>
      <c r="BZ272">
        <v>43.1</v>
      </c>
      <c r="CA272">
        <v>0.94</v>
      </c>
      <c r="CB272">
        <v>1.38</v>
      </c>
      <c r="CC272">
        <v>11.4</v>
      </c>
      <c r="CD272">
        <v>0.81</v>
      </c>
      <c r="CE272">
        <v>1.67</v>
      </c>
      <c r="CF272">
        <v>141.19999999999999</v>
      </c>
      <c r="CG272">
        <v>14.2</v>
      </c>
      <c r="CH272">
        <v>365</v>
      </c>
      <c r="CI272">
        <v>1.61</v>
      </c>
      <c r="CJ272">
        <v>2.8</v>
      </c>
      <c r="CK272">
        <v>0</v>
      </c>
      <c r="CL272" s="42" t="str">
        <f t="shared" si="53"/>
        <v>1</v>
      </c>
      <c r="CM272" s="4">
        <v>0</v>
      </c>
      <c r="CN272" s="4">
        <f t="shared" si="52"/>
        <v>1.1399999999999999</v>
      </c>
      <c r="CO272">
        <v>5</v>
      </c>
      <c r="CP272" s="42" t="str">
        <f t="shared" si="54"/>
        <v>1</v>
      </c>
      <c r="CQ272" s="4">
        <v>57</v>
      </c>
      <c r="CR272" s="4">
        <v>0.57407407407407407</v>
      </c>
      <c r="CS272" s="43" t="str">
        <f t="shared" si="55"/>
        <v>1</v>
      </c>
      <c r="CT272" s="4">
        <f t="shared" si="56"/>
        <v>57</v>
      </c>
      <c r="CU272" s="4">
        <f t="shared" si="57"/>
        <v>1.7140740740740741</v>
      </c>
      <c r="CV272" s="4">
        <v>1</v>
      </c>
    </row>
    <row r="273" spans="1:100" x14ac:dyDescent="0.3">
      <c r="A273" s="8" t="s">
        <v>365</v>
      </c>
      <c r="B273" s="18">
        <v>1</v>
      </c>
      <c r="C273">
        <v>53</v>
      </c>
      <c r="D273">
        <v>1</v>
      </c>
      <c r="E273">
        <v>3</v>
      </c>
      <c r="F273">
        <v>0</v>
      </c>
      <c r="G273">
        <v>0</v>
      </c>
      <c r="H273">
        <v>0</v>
      </c>
      <c r="I273">
        <v>1</v>
      </c>
      <c r="J273">
        <v>79.599999999999994</v>
      </c>
      <c r="K273">
        <v>1.59</v>
      </c>
      <c r="L273">
        <f t="shared" si="50"/>
        <v>159</v>
      </c>
      <c r="M273" s="82">
        <v>38.207999999999998</v>
      </c>
      <c r="N273" s="4">
        <v>38.799999999999997</v>
      </c>
      <c r="O273" s="4">
        <v>48</v>
      </c>
      <c r="P273" s="39">
        <v>1</v>
      </c>
      <c r="Q273">
        <v>102</v>
      </c>
      <c r="R273" s="40">
        <v>1</v>
      </c>
      <c r="S273">
        <v>112</v>
      </c>
      <c r="T273" s="5">
        <v>0.9107142857142857</v>
      </c>
      <c r="U273" s="39">
        <v>1</v>
      </c>
      <c r="V273" s="4">
        <v>31.486096277837106</v>
      </c>
      <c r="W273" s="37">
        <v>1</v>
      </c>
      <c r="X273" s="4">
        <v>15</v>
      </c>
      <c r="Y273" s="40">
        <v>1</v>
      </c>
      <c r="AA273" s="5"/>
      <c r="AB273" s="85">
        <v>0</v>
      </c>
      <c r="AC273" s="5">
        <v>5.14</v>
      </c>
      <c r="AD273" s="37">
        <v>0</v>
      </c>
      <c r="AE273">
        <v>3</v>
      </c>
      <c r="AF273" s="5">
        <v>5.41</v>
      </c>
      <c r="AG273" s="37">
        <v>1</v>
      </c>
      <c r="AH273" s="5">
        <v>0.85</v>
      </c>
      <c r="AI273" s="1">
        <v>1</v>
      </c>
      <c r="AJ273" s="13">
        <v>3.65</v>
      </c>
      <c r="AK273" s="1">
        <v>0</v>
      </c>
      <c r="AL273" s="13">
        <v>1.38</v>
      </c>
      <c r="AM273" s="1">
        <v>0</v>
      </c>
      <c r="AN273" s="82">
        <f t="shared" si="51"/>
        <v>3.9202898550724643</v>
      </c>
      <c r="AO273" s="1">
        <v>0</v>
      </c>
      <c r="AP273">
        <v>139</v>
      </c>
      <c r="AQ273" s="37">
        <v>1</v>
      </c>
      <c r="AR273">
        <v>82</v>
      </c>
      <c r="AS273" s="37">
        <v>0</v>
      </c>
      <c r="AT273">
        <v>64</v>
      </c>
      <c r="AU273">
        <v>57</v>
      </c>
      <c r="AV273">
        <v>8.1</v>
      </c>
      <c r="AW273">
        <v>0</v>
      </c>
      <c r="AX273">
        <v>1731</v>
      </c>
      <c r="AY273">
        <v>46.2</v>
      </c>
      <c r="AZ273">
        <v>57.8</v>
      </c>
      <c r="BA273">
        <v>273.2</v>
      </c>
      <c r="BB273">
        <v>14.2</v>
      </c>
      <c r="BC273">
        <v>211.6</v>
      </c>
      <c r="BD273">
        <v>33.9</v>
      </c>
      <c r="BE273">
        <v>24.5</v>
      </c>
      <c r="BF273">
        <v>97.2</v>
      </c>
      <c r="BG273">
        <v>30.1</v>
      </c>
      <c r="BH273">
        <v>10.7</v>
      </c>
      <c r="BI273">
        <v>59.2</v>
      </c>
      <c r="BJ273">
        <v>19.899999999999999</v>
      </c>
      <c r="BK273">
        <v>5.3</v>
      </c>
      <c r="BL273">
        <v>38.200000000000003</v>
      </c>
      <c r="BM273">
        <v>5.6</v>
      </c>
      <c r="BN273">
        <v>2.2000000000000002</v>
      </c>
      <c r="BO273">
        <v>1.91</v>
      </c>
      <c r="BP273">
        <v>0.15</v>
      </c>
      <c r="BQ273">
        <v>0</v>
      </c>
      <c r="BR273">
        <v>336</v>
      </c>
      <c r="BS273">
        <v>163</v>
      </c>
      <c r="BT273">
        <v>3207</v>
      </c>
      <c r="BU273">
        <v>1386</v>
      </c>
      <c r="BV273">
        <v>9.84</v>
      </c>
      <c r="BW273">
        <v>4.6500000000000004</v>
      </c>
      <c r="BX273">
        <v>1.1200000000000001</v>
      </c>
      <c r="BY273">
        <v>38.700000000000003</v>
      </c>
      <c r="BZ273">
        <v>25</v>
      </c>
      <c r="CA273">
        <v>10.27</v>
      </c>
      <c r="CB273">
        <v>9.86</v>
      </c>
      <c r="CC273">
        <v>10.199999999999999</v>
      </c>
      <c r="CD273">
        <v>0.52</v>
      </c>
      <c r="CE273">
        <v>0.5</v>
      </c>
      <c r="CF273">
        <v>194.3</v>
      </c>
      <c r="CG273">
        <v>14.6</v>
      </c>
      <c r="CH273">
        <v>322</v>
      </c>
      <c r="CI273">
        <v>3.19</v>
      </c>
      <c r="CJ273">
        <v>41.8</v>
      </c>
      <c r="CK273">
        <v>1</v>
      </c>
      <c r="CL273" s="42" t="str">
        <f t="shared" si="53"/>
        <v>1</v>
      </c>
      <c r="CM273" s="4">
        <v>13.333333333333334</v>
      </c>
      <c r="CN273" s="4">
        <f t="shared" si="52"/>
        <v>2</v>
      </c>
      <c r="CO273">
        <v>5</v>
      </c>
      <c r="CP273" s="42" t="str">
        <f t="shared" si="54"/>
        <v>1</v>
      </c>
      <c r="CQ273" s="4">
        <v>100</v>
      </c>
      <c r="CR273" s="4">
        <v>2.8444444444444441</v>
      </c>
      <c r="CS273" s="43" t="str">
        <f t="shared" si="55"/>
        <v>1</v>
      </c>
      <c r="CT273" s="4">
        <f t="shared" si="56"/>
        <v>113.33333333333333</v>
      </c>
      <c r="CU273" s="4">
        <f t="shared" si="57"/>
        <v>4.8444444444444441</v>
      </c>
      <c r="CV273" s="4">
        <v>4</v>
      </c>
    </row>
    <row r="274" spans="1:100" x14ac:dyDescent="0.3">
      <c r="A274" s="8" t="s">
        <v>364</v>
      </c>
      <c r="B274" s="18">
        <v>1</v>
      </c>
      <c r="C274">
        <v>59</v>
      </c>
      <c r="D274">
        <v>1</v>
      </c>
      <c r="E274">
        <v>3</v>
      </c>
      <c r="F274">
        <v>0</v>
      </c>
      <c r="G274">
        <v>0</v>
      </c>
      <c r="H274">
        <v>0</v>
      </c>
      <c r="I274">
        <v>1</v>
      </c>
      <c r="J274">
        <v>67.099999999999994</v>
      </c>
      <c r="K274">
        <v>1.54</v>
      </c>
      <c r="L274">
        <f t="shared" si="50"/>
        <v>154</v>
      </c>
      <c r="M274" s="82">
        <v>30.597599999999996</v>
      </c>
      <c r="N274" s="4">
        <v>34.6</v>
      </c>
      <c r="O274" s="4">
        <v>45.6</v>
      </c>
      <c r="P274" s="39">
        <v>1</v>
      </c>
      <c r="Q274">
        <v>90.9</v>
      </c>
      <c r="R274" s="40">
        <v>1</v>
      </c>
      <c r="S274">
        <v>107.5</v>
      </c>
      <c r="T274" s="5">
        <v>0.84558139534883725</v>
      </c>
      <c r="U274" s="39">
        <v>0</v>
      </c>
      <c r="V274" s="4">
        <v>28.293135435992578</v>
      </c>
      <c r="W274" s="37">
        <v>1</v>
      </c>
      <c r="X274" s="4">
        <v>12</v>
      </c>
      <c r="Y274" s="40">
        <v>1</v>
      </c>
      <c r="AA274" s="5"/>
      <c r="AB274" s="85">
        <v>0</v>
      </c>
      <c r="AC274" s="5">
        <v>4.96</v>
      </c>
      <c r="AD274" s="37">
        <v>0</v>
      </c>
      <c r="AE274">
        <v>3</v>
      </c>
      <c r="AF274" s="5">
        <v>4.3099999999999996</v>
      </c>
      <c r="AG274" s="37">
        <v>0</v>
      </c>
      <c r="AH274" s="5">
        <v>1.19</v>
      </c>
      <c r="AI274" s="1">
        <v>0</v>
      </c>
      <c r="AJ274" s="13">
        <v>2.25</v>
      </c>
      <c r="AK274" s="1">
        <v>0</v>
      </c>
      <c r="AL274" s="13">
        <v>1.52</v>
      </c>
      <c r="AM274" s="1">
        <v>0</v>
      </c>
      <c r="AN274" s="82">
        <f t="shared" si="51"/>
        <v>2.8355263157894735</v>
      </c>
      <c r="AO274" s="1">
        <v>0</v>
      </c>
      <c r="AP274">
        <v>178</v>
      </c>
      <c r="AQ274" s="37">
        <v>1</v>
      </c>
      <c r="AR274">
        <v>100</v>
      </c>
      <c r="AS274" s="37">
        <v>1</v>
      </c>
      <c r="AT274">
        <v>80</v>
      </c>
      <c r="AU274">
        <v>78</v>
      </c>
      <c r="AV274">
        <v>10</v>
      </c>
      <c r="AW274">
        <v>0</v>
      </c>
      <c r="AX274">
        <v>1751</v>
      </c>
      <c r="AY274">
        <v>43.2</v>
      </c>
      <c r="AZ274">
        <v>58.2</v>
      </c>
      <c r="BA274">
        <v>280.60000000000002</v>
      </c>
      <c r="BB274">
        <v>12.6</v>
      </c>
      <c r="BC274">
        <v>222</v>
      </c>
      <c r="BD274">
        <v>45.2</v>
      </c>
      <c r="BE274">
        <v>31.5</v>
      </c>
      <c r="BF274">
        <v>97.5</v>
      </c>
      <c r="BG274">
        <v>29.9</v>
      </c>
      <c r="BH274">
        <v>9.9</v>
      </c>
      <c r="BI274">
        <v>60.1</v>
      </c>
      <c r="BJ274">
        <v>21</v>
      </c>
      <c r="BK274">
        <v>6.7</v>
      </c>
      <c r="BL274">
        <v>40.9</v>
      </c>
      <c r="BM274">
        <v>6.8</v>
      </c>
      <c r="BN274">
        <v>2.9</v>
      </c>
      <c r="BO274">
        <v>2.57</v>
      </c>
      <c r="BP274">
        <v>0.24</v>
      </c>
      <c r="BQ274">
        <v>0.08</v>
      </c>
      <c r="BR274">
        <v>339</v>
      </c>
      <c r="BS274">
        <v>161.9</v>
      </c>
      <c r="BT274">
        <v>2793</v>
      </c>
      <c r="BU274">
        <v>1433</v>
      </c>
      <c r="BV274">
        <v>10.5</v>
      </c>
      <c r="BW274">
        <v>5.07</v>
      </c>
      <c r="BX274">
        <v>1.25</v>
      </c>
      <c r="BY274">
        <v>47.3</v>
      </c>
      <c r="BZ274">
        <v>35.9</v>
      </c>
      <c r="CA274">
        <v>7.05</v>
      </c>
      <c r="CB274">
        <v>6.64</v>
      </c>
      <c r="CC274">
        <v>11</v>
      </c>
      <c r="CD274">
        <v>0.65</v>
      </c>
      <c r="CE274">
        <v>1.03</v>
      </c>
      <c r="CF274">
        <v>157.9</v>
      </c>
      <c r="CG274">
        <v>23</v>
      </c>
      <c r="CH274">
        <v>31627</v>
      </c>
      <c r="CI274">
        <v>1.66</v>
      </c>
      <c r="CJ274">
        <v>29.2</v>
      </c>
      <c r="CK274">
        <v>2</v>
      </c>
      <c r="CL274" s="42" t="str">
        <f t="shared" si="53"/>
        <v>2</v>
      </c>
      <c r="CM274" s="4">
        <v>121.33333333333333</v>
      </c>
      <c r="CN274" s="4">
        <f t="shared" si="52"/>
        <v>0.94666666666666677</v>
      </c>
      <c r="CO274">
        <v>4</v>
      </c>
      <c r="CP274" s="42" t="str">
        <f t="shared" si="54"/>
        <v>1</v>
      </c>
      <c r="CQ274" s="4">
        <v>47.333333333333336</v>
      </c>
      <c r="CR274" s="4">
        <v>2.7728395061728395</v>
      </c>
      <c r="CS274" s="43" t="str">
        <f t="shared" si="55"/>
        <v>2</v>
      </c>
      <c r="CT274" s="4">
        <f t="shared" si="56"/>
        <v>168.66666666666666</v>
      </c>
      <c r="CU274" s="4">
        <f t="shared" si="57"/>
        <v>3.7195061728395062</v>
      </c>
      <c r="CV274" s="4">
        <v>3</v>
      </c>
    </row>
    <row r="275" spans="1:100" x14ac:dyDescent="0.3">
      <c r="A275" s="8" t="s">
        <v>363</v>
      </c>
      <c r="B275" s="18">
        <v>1</v>
      </c>
      <c r="C275">
        <v>32</v>
      </c>
      <c r="D275">
        <v>1</v>
      </c>
      <c r="E275">
        <v>3</v>
      </c>
      <c r="F275">
        <v>0</v>
      </c>
      <c r="G275">
        <v>0</v>
      </c>
      <c r="H275">
        <v>0</v>
      </c>
      <c r="I275">
        <v>1</v>
      </c>
      <c r="J275">
        <v>73.7</v>
      </c>
      <c r="K275">
        <v>1.5820000000000001</v>
      </c>
      <c r="L275">
        <f t="shared" si="50"/>
        <v>158.20000000000002</v>
      </c>
      <c r="M275" s="82">
        <v>32.575400000000002</v>
      </c>
      <c r="N275" s="4">
        <v>38.799999999999997</v>
      </c>
      <c r="O275" s="4">
        <v>44.2</v>
      </c>
      <c r="P275" s="39">
        <v>1</v>
      </c>
      <c r="Q275">
        <v>90.5</v>
      </c>
      <c r="R275" s="40">
        <v>1</v>
      </c>
      <c r="S275">
        <v>105.8</v>
      </c>
      <c r="T275" s="5">
        <v>0.85538752362948967</v>
      </c>
      <c r="U275" s="39">
        <v>0</v>
      </c>
      <c r="V275" s="4">
        <v>29.447913553392222</v>
      </c>
      <c r="W275" s="37">
        <v>1</v>
      </c>
      <c r="X275" s="4">
        <v>11</v>
      </c>
      <c r="Y275" s="40">
        <v>1</v>
      </c>
      <c r="Z275" s="5">
        <v>21.94</v>
      </c>
      <c r="AA275" s="5">
        <v>4.5440177777777784</v>
      </c>
      <c r="AB275" s="85">
        <v>1</v>
      </c>
      <c r="AC275" s="5">
        <v>4.66</v>
      </c>
      <c r="AD275" s="37">
        <v>0</v>
      </c>
      <c r="AE275">
        <v>3</v>
      </c>
      <c r="AF275" s="5">
        <v>5.82</v>
      </c>
      <c r="AG275" s="37">
        <v>1</v>
      </c>
      <c r="AH275" s="5">
        <v>0.96</v>
      </c>
      <c r="AI275" s="1">
        <v>1</v>
      </c>
      <c r="AJ275" s="13">
        <v>3.9</v>
      </c>
      <c r="AK275" s="1">
        <v>0</v>
      </c>
      <c r="AL275" s="13">
        <v>1.48</v>
      </c>
      <c r="AM275" s="1">
        <v>0</v>
      </c>
      <c r="AN275" s="82">
        <f t="shared" si="51"/>
        <v>3.9324324324324325</v>
      </c>
      <c r="AO275" s="1">
        <v>0</v>
      </c>
      <c r="AP275" s="12">
        <v>123</v>
      </c>
      <c r="AQ275" s="37">
        <v>0</v>
      </c>
      <c r="AR275" s="12">
        <v>73</v>
      </c>
      <c r="AS275" s="37">
        <v>0</v>
      </c>
      <c r="AT275" s="12">
        <v>74</v>
      </c>
      <c r="AU275" s="12">
        <v>50</v>
      </c>
      <c r="AV275" s="12">
        <v>5.0999999999999996</v>
      </c>
      <c r="AW275">
        <v>1</v>
      </c>
      <c r="AX275">
        <v>1516</v>
      </c>
      <c r="AY275">
        <v>49.5</v>
      </c>
      <c r="AZ275">
        <v>49.5</v>
      </c>
      <c r="BA275">
        <v>230.8</v>
      </c>
      <c r="BB275">
        <v>8.6</v>
      </c>
      <c r="BC275">
        <v>178.1</v>
      </c>
      <c r="BD275">
        <v>44.8</v>
      </c>
      <c r="BE275">
        <v>34.9</v>
      </c>
      <c r="BF275">
        <v>66.8</v>
      </c>
      <c r="BG275">
        <v>29.4</v>
      </c>
      <c r="BH275">
        <v>13.1</v>
      </c>
      <c r="BI275">
        <v>57.1</v>
      </c>
      <c r="BJ275">
        <v>20</v>
      </c>
      <c r="BK275">
        <v>8.6</v>
      </c>
      <c r="BL275">
        <v>33.799999999999997</v>
      </c>
      <c r="BM275">
        <v>5.2</v>
      </c>
      <c r="BN275">
        <v>1.9</v>
      </c>
      <c r="BO275">
        <v>1.45</v>
      </c>
      <c r="BP275">
        <v>0.4</v>
      </c>
      <c r="BQ275">
        <v>0.11</v>
      </c>
      <c r="BR275">
        <v>297</v>
      </c>
      <c r="BS275">
        <v>265.39999999999998</v>
      </c>
      <c r="BT275">
        <v>4577</v>
      </c>
      <c r="BU275">
        <v>1759</v>
      </c>
      <c r="BV275">
        <v>11.23</v>
      </c>
      <c r="BW275">
        <v>5.63</v>
      </c>
      <c r="BX275">
        <v>1.24</v>
      </c>
      <c r="BY275">
        <v>35</v>
      </c>
      <c r="BZ275">
        <v>29.9</v>
      </c>
      <c r="CA275">
        <v>1.22</v>
      </c>
      <c r="CB275">
        <v>1.53</v>
      </c>
      <c r="CC275">
        <v>12.4</v>
      </c>
      <c r="CD275">
        <v>0.6</v>
      </c>
      <c r="CE275">
        <v>2.23</v>
      </c>
      <c r="CF275">
        <v>380.6</v>
      </c>
      <c r="CG275">
        <v>24.5</v>
      </c>
      <c r="CH275">
        <v>178</v>
      </c>
      <c r="CI275">
        <v>2.2999999999999998</v>
      </c>
      <c r="CJ275">
        <v>1.3</v>
      </c>
      <c r="CK275">
        <v>1</v>
      </c>
      <c r="CL275" s="42" t="str">
        <f t="shared" si="53"/>
        <v>1</v>
      </c>
      <c r="CM275" s="4">
        <v>7</v>
      </c>
      <c r="CN275" s="4">
        <f t="shared" si="52"/>
        <v>1.5066666666666666</v>
      </c>
      <c r="CO275">
        <v>5</v>
      </c>
      <c r="CP275" s="42" t="str">
        <f t="shared" si="54"/>
        <v>1</v>
      </c>
      <c r="CQ275" s="4">
        <v>75.333333333333329</v>
      </c>
      <c r="CR275" s="4">
        <v>0.49382716049382719</v>
      </c>
      <c r="CS275" s="43" t="str">
        <f t="shared" si="55"/>
        <v>1</v>
      </c>
      <c r="CT275" s="4">
        <f t="shared" si="56"/>
        <v>82.333333333333329</v>
      </c>
      <c r="CU275" s="4">
        <f t="shared" si="57"/>
        <v>2.000493827160494</v>
      </c>
      <c r="CV275" s="4">
        <v>2</v>
      </c>
    </row>
    <row r="276" spans="1:100" x14ac:dyDescent="0.3">
      <c r="A276" s="8" t="s">
        <v>362</v>
      </c>
      <c r="B276" s="18">
        <v>1</v>
      </c>
      <c r="C276">
        <v>29</v>
      </c>
      <c r="D276">
        <v>1</v>
      </c>
      <c r="E276">
        <v>3</v>
      </c>
      <c r="F276">
        <v>0</v>
      </c>
      <c r="G276">
        <v>0</v>
      </c>
      <c r="H276">
        <v>0</v>
      </c>
      <c r="I276">
        <v>1</v>
      </c>
      <c r="J276">
        <v>72.599999999999994</v>
      </c>
      <c r="K276">
        <v>1.58</v>
      </c>
      <c r="L276">
        <f t="shared" si="50"/>
        <v>158</v>
      </c>
      <c r="M276" s="82">
        <v>30.564599999999999</v>
      </c>
      <c r="N276" s="4">
        <v>39.5</v>
      </c>
      <c r="O276" s="4">
        <v>42.1</v>
      </c>
      <c r="P276" s="39">
        <v>1</v>
      </c>
      <c r="Q276">
        <v>89.5</v>
      </c>
      <c r="R276" s="40">
        <v>1</v>
      </c>
      <c r="S276">
        <v>103.8</v>
      </c>
      <c r="T276" s="5">
        <v>0.86223506743737965</v>
      </c>
      <c r="U276" s="39">
        <v>0</v>
      </c>
      <c r="V276" s="4">
        <v>29.081877904182015</v>
      </c>
      <c r="W276" s="37">
        <v>1</v>
      </c>
      <c r="X276" s="4">
        <v>9</v>
      </c>
      <c r="Y276" s="40">
        <v>0</v>
      </c>
      <c r="Z276" s="5">
        <v>58.88</v>
      </c>
      <c r="AA276" s="5">
        <v>13.084444444444445</v>
      </c>
      <c r="AB276" s="85">
        <v>1</v>
      </c>
      <c r="AC276" s="5">
        <v>5</v>
      </c>
      <c r="AD276" s="37">
        <v>0</v>
      </c>
      <c r="AE276">
        <v>18.739999999999998</v>
      </c>
      <c r="AF276" s="5">
        <v>5.78</v>
      </c>
      <c r="AG276" s="37">
        <v>1</v>
      </c>
      <c r="AH276" s="5">
        <v>3.37</v>
      </c>
      <c r="AI276" s="1">
        <v>0</v>
      </c>
      <c r="AJ276" s="13">
        <v>3.17</v>
      </c>
      <c r="AK276" s="1">
        <v>1</v>
      </c>
      <c r="AL276" s="13">
        <v>1.08</v>
      </c>
      <c r="AM276" s="1">
        <v>1</v>
      </c>
      <c r="AN276" s="82">
        <f t="shared" si="51"/>
        <v>5.3518518518518521</v>
      </c>
      <c r="AO276" s="1">
        <v>1</v>
      </c>
      <c r="AP276">
        <v>146</v>
      </c>
      <c r="AQ276" s="37">
        <v>1</v>
      </c>
      <c r="AR276">
        <v>112</v>
      </c>
      <c r="AS276" s="37">
        <v>1</v>
      </c>
      <c r="AT276">
        <v>79</v>
      </c>
      <c r="AU276">
        <v>33</v>
      </c>
      <c r="AV276">
        <v>6.1</v>
      </c>
      <c r="AW276">
        <v>0</v>
      </c>
      <c r="AX276">
        <v>1997</v>
      </c>
      <c r="AY276">
        <v>83.4</v>
      </c>
      <c r="AZ276">
        <v>58.1</v>
      </c>
      <c r="BA276">
        <v>303.39999999999998</v>
      </c>
      <c r="BB276">
        <v>10.199999999999999</v>
      </c>
      <c r="BC276">
        <v>223.1</v>
      </c>
      <c r="BD276">
        <v>61.5</v>
      </c>
      <c r="BE276">
        <v>25</v>
      </c>
      <c r="BF276">
        <v>238.8</v>
      </c>
      <c r="BG276">
        <v>26.2</v>
      </c>
      <c r="BH276">
        <v>16.7</v>
      </c>
      <c r="BI276">
        <v>57</v>
      </c>
      <c r="BJ276">
        <v>12.5</v>
      </c>
      <c r="BK276">
        <v>4.7</v>
      </c>
      <c r="BL276">
        <v>27.7</v>
      </c>
      <c r="BM276">
        <v>13.1</v>
      </c>
      <c r="BN276">
        <v>6.8</v>
      </c>
      <c r="BO276">
        <v>5.88</v>
      </c>
      <c r="BP276">
        <v>0.91</v>
      </c>
      <c r="BQ276">
        <v>0.65</v>
      </c>
      <c r="BR276">
        <v>1031</v>
      </c>
      <c r="BS276">
        <v>287.5</v>
      </c>
      <c r="BT276">
        <v>38678</v>
      </c>
      <c r="BU276">
        <v>2447</v>
      </c>
      <c r="BV276">
        <v>15.97</v>
      </c>
      <c r="BW276">
        <v>9.2899999999999991</v>
      </c>
      <c r="BX276">
        <v>2.11</v>
      </c>
      <c r="BY276">
        <v>75.099999999999994</v>
      </c>
      <c r="BZ276">
        <v>135.80000000000001</v>
      </c>
      <c r="CA276">
        <v>36.82</v>
      </c>
      <c r="CB276">
        <v>38.630000000000003</v>
      </c>
      <c r="CC276">
        <v>28.9</v>
      </c>
      <c r="CD276">
        <v>1.1499999999999999</v>
      </c>
      <c r="CE276">
        <v>2.0699999999999998</v>
      </c>
      <c r="CF276">
        <v>225.3</v>
      </c>
      <c r="CG276">
        <v>45.2</v>
      </c>
      <c r="CH276">
        <v>1476</v>
      </c>
      <c r="CI276">
        <v>7.7</v>
      </c>
      <c r="CJ276">
        <v>214.8</v>
      </c>
      <c r="CK276">
        <v>1</v>
      </c>
      <c r="CL276" s="42" t="str">
        <f t="shared" si="53"/>
        <v>1</v>
      </c>
      <c r="CM276" s="4">
        <v>13.333333333333334</v>
      </c>
      <c r="CN276" s="4">
        <f t="shared" si="52"/>
        <v>3.2666666666666671</v>
      </c>
      <c r="CO276">
        <v>7</v>
      </c>
      <c r="CP276" s="42" t="str">
        <f t="shared" si="54"/>
        <v>2</v>
      </c>
      <c r="CQ276" s="4">
        <v>163.33333333333334</v>
      </c>
      <c r="CR276" s="4">
        <v>5.7530864197530862</v>
      </c>
      <c r="CS276" s="43" t="str">
        <f t="shared" si="55"/>
        <v>2</v>
      </c>
      <c r="CT276" s="4">
        <f t="shared" si="56"/>
        <v>176.66666666666669</v>
      </c>
      <c r="CU276" s="4">
        <f t="shared" si="57"/>
        <v>9.0197530864197528</v>
      </c>
      <c r="CV276" s="4">
        <v>4</v>
      </c>
    </row>
    <row r="277" spans="1:100" x14ac:dyDescent="0.3">
      <c r="A277" s="8" t="s">
        <v>361</v>
      </c>
      <c r="B277" s="18">
        <v>1</v>
      </c>
      <c r="C277">
        <v>38</v>
      </c>
      <c r="D277">
        <v>4</v>
      </c>
      <c r="E277">
        <v>2</v>
      </c>
      <c r="F277">
        <v>0</v>
      </c>
      <c r="G277">
        <v>0</v>
      </c>
      <c r="H277">
        <v>0</v>
      </c>
      <c r="I277">
        <v>1</v>
      </c>
      <c r="J277">
        <v>71.3</v>
      </c>
      <c r="K277">
        <v>1.58</v>
      </c>
      <c r="L277">
        <f t="shared" si="50"/>
        <v>158</v>
      </c>
      <c r="M277" s="82">
        <v>28.377399999999998</v>
      </c>
      <c r="N277" s="4">
        <v>40.4</v>
      </c>
      <c r="O277" s="4">
        <v>39.799999999999997</v>
      </c>
      <c r="P277" s="39">
        <v>1</v>
      </c>
      <c r="Q277">
        <v>83.5</v>
      </c>
      <c r="R277" s="40">
        <v>1</v>
      </c>
      <c r="S277">
        <v>103.5</v>
      </c>
      <c r="T277" s="5">
        <v>0.80676328502415462</v>
      </c>
      <c r="U277" s="39">
        <v>0</v>
      </c>
      <c r="V277" s="4">
        <v>28.561128024355067</v>
      </c>
      <c r="W277" s="37">
        <v>1</v>
      </c>
      <c r="X277" s="4">
        <v>9</v>
      </c>
      <c r="Y277" s="40">
        <v>0</v>
      </c>
      <c r="Z277" s="5">
        <v>9.17</v>
      </c>
      <c r="AA277" s="5">
        <v>2.5920533333333333</v>
      </c>
      <c r="AB277" s="85">
        <v>0</v>
      </c>
      <c r="AC277" s="5">
        <v>6.36</v>
      </c>
      <c r="AD277" s="37">
        <v>1</v>
      </c>
      <c r="AE277">
        <v>24.02</v>
      </c>
      <c r="AF277" s="5">
        <v>6.37</v>
      </c>
      <c r="AG277" s="37">
        <v>1</v>
      </c>
      <c r="AH277" s="5">
        <v>1.83</v>
      </c>
      <c r="AI277" s="1">
        <v>1</v>
      </c>
      <c r="AJ277" s="13">
        <v>4.4000000000000004</v>
      </c>
      <c r="AK277" s="1">
        <v>1</v>
      </c>
      <c r="AL277" s="13">
        <v>1.1399999999999999</v>
      </c>
      <c r="AM277" s="1">
        <v>1</v>
      </c>
      <c r="AN277" s="82">
        <f t="shared" si="51"/>
        <v>5.5877192982456148</v>
      </c>
      <c r="AO277" s="1">
        <v>1</v>
      </c>
      <c r="AP277">
        <v>109</v>
      </c>
      <c r="AQ277" s="37">
        <v>0</v>
      </c>
      <c r="AR277">
        <v>78</v>
      </c>
      <c r="AS277" s="37">
        <v>0</v>
      </c>
      <c r="AT277">
        <v>66</v>
      </c>
      <c r="AU277">
        <v>30</v>
      </c>
      <c r="AV277">
        <v>5.3</v>
      </c>
      <c r="AW277">
        <v>1</v>
      </c>
      <c r="AX277">
        <v>1722</v>
      </c>
      <c r="AY277">
        <v>51.2</v>
      </c>
      <c r="AZ277">
        <v>52.1</v>
      </c>
      <c r="BA277">
        <v>279.39999999999998</v>
      </c>
      <c r="BB277">
        <v>12.2</v>
      </c>
      <c r="BC277">
        <v>207</v>
      </c>
      <c r="BD277">
        <v>56.1</v>
      </c>
      <c r="BE277">
        <v>49</v>
      </c>
      <c r="BF277">
        <v>128.5</v>
      </c>
      <c r="BG277">
        <v>27.2</v>
      </c>
      <c r="BH277">
        <v>11.9</v>
      </c>
      <c r="BI277">
        <v>60.8</v>
      </c>
      <c r="BJ277">
        <v>18.399999999999999</v>
      </c>
      <c r="BK277">
        <v>10.7</v>
      </c>
      <c r="BL277">
        <v>35.299999999999997</v>
      </c>
      <c r="BM277">
        <v>6</v>
      </c>
      <c r="BN277">
        <v>2</v>
      </c>
      <c r="BO277">
        <v>1.44</v>
      </c>
      <c r="BP277">
        <v>0.43</v>
      </c>
      <c r="BQ277">
        <v>0</v>
      </c>
      <c r="BR277">
        <v>280</v>
      </c>
      <c r="BS277">
        <v>180.2</v>
      </c>
      <c r="BT277">
        <v>3444</v>
      </c>
      <c r="BU277">
        <v>1730</v>
      </c>
      <c r="BV277">
        <v>10.37</v>
      </c>
      <c r="BW277">
        <v>5.54</v>
      </c>
      <c r="BX277">
        <v>1.04</v>
      </c>
      <c r="BY277">
        <v>27.5</v>
      </c>
      <c r="BZ277">
        <v>35.299999999999997</v>
      </c>
      <c r="CA277">
        <v>11.5</v>
      </c>
      <c r="CB277">
        <v>11.14</v>
      </c>
      <c r="CC277">
        <v>13.6</v>
      </c>
      <c r="CD277">
        <v>0.57999999999999996</v>
      </c>
      <c r="CE277">
        <v>2.48</v>
      </c>
      <c r="CF277">
        <v>123.1</v>
      </c>
      <c r="CG277">
        <v>27.7</v>
      </c>
      <c r="CH277">
        <v>351</v>
      </c>
      <c r="CI277">
        <v>5.96</v>
      </c>
      <c r="CJ277">
        <v>47.7</v>
      </c>
      <c r="CK277">
        <v>2</v>
      </c>
      <c r="CL277" s="42" t="str">
        <f t="shared" si="53"/>
        <v>1</v>
      </c>
      <c r="CM277" s="4">
        <v>65.333333333333329</v>
      </c>
      <c r="CN277" s="4">
        <f t="shared" si="52"/>
        <v>1.38</v>
      </c>
      <c r="CO277">
        <v>3</v>
      </c>
      <c r="CP277" s="42" t="str">
        <f t="shared" si="54"/>
        <v>1</v>
      </c>
      <c r="CQ277" s="4">
        <v>69</v>
      </c>
      <c r="CR277" s="4">
        <v>4.2617283950617288</v>
      </c>
      <c r="CS277" s="43" t="str">
        <f t="shared" si="55"/>
        <v>1</v>
      </c>
      <c r="CT277" s="4">
        <f t="shared" si="56"/>
        <v>134.33333333333331</v>
      </c>
      <c r="CU277" s="4">
        <f t="shared" si="57"/>
        <v>5.6417283950617287</v>
      </c>
      <c r="CV277" s="4">
        <v>4</v>
      </c>
    </row>
    <row r="278" spans="1:100" x14ac:dyDescent="0.3">
      <c r="A278" s="8" t="s">
        <v>360</v>
      </c>
      <c r="B278" s="18">
        <v>1</v>
      </c>
      <c r="C278">
        <v>29</v>
      </c>
      <c r="D278">
        <v>1</v>
      </c>
      <c r="E278">
        <v>3</v>
      </c>
      <c r="F278">
        <v>1</v>
      </c>
      <c r="G278">
        <v>0</v>
      </c>
      <c r="H278">
        <v>0</v>
      </c>
      <c r="I278">
        <v>0</v>
      </c>
      <c r="J278">
        <v>46.5</v>
      </c>
      <c r="K278">
        <v>1.53</v>
      </c>
      <c r="L278">
        <f t="shared" si="50"/>
        <v>153</v>
      </c>
      <c r="M278" s="82">
        <v>12.834000000000001</v>
      </c>
      <c r="N278" s="4">
        <v>31.9</v>
      </c>
      <c r="O278" s="4">
        <v>27.6</v>
      </c>
      <c r="P278" s="39">
        <v>0</v>
      </c>
      <c r="Q278">
        <v>71</v>
      </c>
      <c r="R278" s="40">
        <v>0</v>
      </c>
      <c r="S278">
        <v>86.7</v>
      </c>
      <c r="T278" s="5">
        <v>0.81891580161476352</v>
      </c>
      <c r="U278" s="39">
        <v>0</v>
      </c>
      <c r="V278" s="4">
        <v>19.864154812251698</v>
      </c>
      <c r="W278" s="37">
        <v>0</v>
      </c>
      <c r="X278" s="4">
        <v>2</v>
      </c>
      <c r="Y278" s="40">
        <v>0</v>
      </c>
      <c r="Z278" s="5">
        <v>4.79</v>
      </c>
      <c r="AA278" s="5">
        <v>0.91116444444444444</v>
      </c>
      <c r="AB278" s="85">
        <v>0</v>
      </c>
      <c r="AC278" s="5">
        <v>4.28</v>
      </c>
      <c r="AD278" s="37">
        <v>0</v>
      </c>
      <c r="AE278">
        <v>27.52</v>
      </c>
      <c r="AF278" s="5">
        <v>6.69</v>
      </c>
      <c r="AG278" s="37">
        <v>1</v>
      </c>
      <c r="AH278" s="5">
        <v>1.38</v>
      </c>
      <c r="AI278" s="1">
        <v>1</v>
      </c>
      <c r="AJ278" s="13">
        <v>4.87</v>
      </c>
      <c r="AK278" s="1">
        <v>1</v>
      </c>
      <c r="AL278" s="13">
        <v>1.19</v>
      </c>
      <c r="AM278" s="1">
        <v>1</v>
      </c>
      <c r="AN278" s="82">
        <f t="shared" si="51"/>
        <v>5.6218487394957988</v>
      </c>
      <c r="AO278" s="1">
        <v>1</v>
      </c>
      <c r="AP278">
        <v>92</v>
      </c>
      <c r="AQ278" s="37">
        <v>0</v>
      </c>
      <c r="AR278">
        <v>50</v>
      </c>
      <c r="AS278" s="37">
        <v>0</v>
      </c>
      <c r="AT278">
        <v>81</v>
      </c>
      <c r="AU278">
        <v>42</v>
      </c>
      <c r="AV278">
        <v>4.3</v>
      </c>
      <c r="AW278">
        <v>1</v>
      </c>
      <c r="AX278">
        <v>1593</v>
      </c>
      <c r="AY278">
        <v>37.200000000000003</v>
      </c>
      <c r="AZ278">
        <v>48.8</v>
      </c>
      <c r="BA278">
        <v>266.5</v>
      </c>
      <c r="BB278">
        <v>11.6</v>
      </c>
      <c r="BC278">
        <v>185.5</v>
      </c>
      <c r="BD278">
        <v>68.5</v>
      </c>
      <c r="BE278">
        <v>48</v>
      </c>
      <c r="BF278">
        <v>140.6</v>
      </c>
      <c r="BG278">
        <v>27.6</v>
      </c>
      <c r="BH278">
        <v>9.4</v>
      </c>
      <c r="BI278">
        <v>62.8</v>
      </c>
      <c r="BJ278">
        <v>19.8</v>
      </c>
      <c r="BK278">
        <v>11.3</v>
      </c>
      <c r="BL278">
        <v>35</v>
      </c>
      <c r="BM278">
        <v>4.9000000000000004</v>
      </c>
      <c r="BN278">
        <v>2.4</v>
      </c>
      <c r="BO278">
        <v>1.86</v>
      </c>
      <c r="BP278">
        <v>0.13</v>
      </c>
      <c r="BQ278">
        <v>0</v>
      </c>
      <c r="BR278">
        <v>233</v>
      </c>
      <c r="BS278">
        <v>153.19999999999999</v>
      </c>
      <c r="BT278">
        <v>2458</v>
      </c>
      <c r="BU278">
        <v>1527</v>
      </c>
      <c r="BV278">
        <v>7.96</v>
      </c>
      <c r="BW278">
        <v>4.67</v>
      </c>
      <c r="BX278">
        <v>1.1399999999999999</v>
      </c>
      <c r="BY278">
        <v>12.4</v>
      </c>
      <c r="BZ278">
        <v>40.9</v>
      </c>
      <c r="CA278">
        <v>0.68</v>
      </c>
      <c r="CB278">
        <v>0.99</v>
      </c>
      <c r="CC278">
        <v>11.8</v>
      </c>
      <c r="CD278">
        <v>0.64</v>
      </c>
      <c r="CE278">
        <v>1.1000000000000001</v>
      </c>
      <c r="CF278">
        <v>168.6</v>
      </c>
      <c r="CG278">
        <v>22.2</v>
      </c>
      <c r="CH278">
        <v>451</v>
      </c>
      <c r="CI278">
        <v>0.57999999999999996</v>
      </c>
      <c r="CJ278">
        <v>1.7</v>
      </c>
      <c r="CK278">
        <v>0</v>
      </c>
      <c r="CL278" s="42" t="str">
        <f t="shared" si="53"/>
        <v>1</v>
      </c>
      <c r="CM278" s="4">
        <v>0</v>
      </c>
      <c r="CN278" s="4">
        <f t="shared" si="52"/>
        <v>0.35333333333333333</v>
      </c>
      <c r="CO278">
        <v>2</v>
      </c>
      <c r="CP278" s="42" t="str">
        <f t="shared" si="54"/>
        <v>1</v>
      </c>
      <c r="CQ278" s="4">
        <v>17.666666666666668</v>
      </c>
      <c r="CR278" s="4">
        <v>0.10493827160493828</v>
      </c>
      <c r="CS278" s="43" t="str">
        <f t="shared" si="55"/>
        <v>1</v>
      </c>
      <c r="CT278" s="4">
        <f t="shared" si="56"/>
        <v>17.666666666666668</v>
      </c>
      <c r="CU278" s="4">
        <f t="shared" si="57"/>
        <v>0.45827160493827163</v>
      </c>
      <c r="CV278" s="4">
        <v>1</v>
      </c>
    </row>
    <row r="279" spans="1:100" x14ac:dyDescent="0.3">
      <c r="A279" s="8" t="s">
        <v>359</v>
      </c>
      <c r="B279" s="18">
        <v>1</v>
      </c>
      <c r="C279">
        <v>29</v>
      </c>
      <c r="D279">
        <v>1</v>
      </c>
      <c r="E279">
        <v>3</v>
      </c>
      <c r="F279">
        <v>0</v>
      </c>
      <c r="G279">
        <v>0</v>
      </c>
      <c r="H279">
        <v>0</v>
      </c>
      <c r="I279">
        <v>1</v>
      </c>
      <c r="J279">
        <v>53.8</v>
      </c>
      <c r="K279">
        <v>1.56</v>
      </c>
      <c r="L279">
        <f t="shared" si="50"/>
        <v>156</v>
      </c>
      <c r="M279" s="82">
        <v>15.817199999999998</v>
      </c>
      <c r="N279" s="4">
        <v>35.9</v>
      </c>
      <c r="O279" s="4">
        <v>29.4</v>
      </c>
      <c r="P279" s="39">
        <v>0</v>
      </c>
      <c r="Q279">
        <v>69</v>
      </c>
      <c r="R279" s="40">
        <v>0</v>
      </c>
      <c r="S279">
        <v>70</v>
      </c>
      <c r="T279" s="5">
        <v>0.98571428571428577</v>
      </c>
      <c r="U279" s="39">
        <v>1</v>
      </c>
      <c r="V279" s="4">
        <v>22.107166337935567</v>
      </c>
      <c r="W279" s="37">
        <v>0</v>
      </c>
      <c r="X279" s="4">
        <v>3</v>
      </c>
      <c r="Y279" s="40">
        <v>0</v>
      </c>
      <c r="Z279" s="5">
        <v>8.84</v>
      </c>
      <c r="AA279" s="5">
        <v>1.791573333333333</v>
      </c>
      <c r="AB279" s="85">
        <v>0</v>
      </c>
      <c r="AC279" s="5">
        <v>4.5599999999999996</v>
      </c>
      <c r="AD279" s="37">
        <v>0</v>
      </c>
      <c r="AE279">
        <v>3</v>
      </c>
      <c r="AF279" s="5">
        <v>11.31</v>
      </c>
      <c r="AG279" s="37">
        <v>1</v>
      </c>
      <c r="AH279" s="5">
        <v>0.87</v>
      </c>
      <c r="AI279" s="1">
        <v>1</v>
      </c>
      <c r="AJ279" s="13">
        <v>9.52</v>
      </c>
      <c r="AK279" s="1">
        <v>0</v>
      </c>
      <c r="AL279" s="13">
        <v>1.39</v>
      </c>
      <c r="AM279" s="1">
        <v>0</v>
      </c>
      <c r="AN279" s="82">
        <f t="shared" si="51"/>
        <v>8.1366906474820162</v>
      </c>
      <c r="AO279" s="1">
        <v>1</v>
      </c>
      <c r="AP279">
        <v>102</v>
      </c>
      <c r="AQ279" s="37">
        <v>0</v>
      </c>
      <c r="AR279">
        <v>70</v>
      </c>
      <c r="AS279" s="37">
        <v>0</v>
      </c>
      <c r="AT279">
        <v>93</v>
      </c>
      <c r="AU279">
        <v>32</v>
      </c>
      <c r="AV279">
        <v>4.7</v>
      </c>
      <c r="AW279">
        <v>1</v>
      </c>
      <c r="AX279">
        <v>1287</v>
      </c>
      <c r="AY279">
        <v>43.3</v>
      </c>
      <c r="AZ279">
        <v>49.4</v>
      </c>
      <c r="BA279">
        <v>177.4</v>
      </c>
      <c r="BB279">
        <v>6.8</v>
      </c>
      <c r="BC279">
        <v>121.1</v>
      </c>
      <c r="BD279">
        <v>39.200000000000003</v>
      </c>
      <c r="BE279">
        <v>27.3</v>
      </c>
      <c r="BF279">
        <v>106.2</v>
      </c>
      <c r="BG279">
        <v>34.5</v>
      </c>
      <c r="BH279">
        <v>13.5</v>
      </c>
      <c r="BI279">
        <v>51.7</v>
      </c>
      <c r="BJ279">
        <v>23.6</v>
      </c>
      <c r="BK279">
        <v>7.9</v>
      </c>
      <c r="BL279">
        <v>33.700000000000003</v>
      </c>
      <c r="BM279">
        <v>4.5999999999999996</v>
      </c>
      <c r="BN279">
        <v>1.3</v>
      </c>
      <c r="BO279">
        <v>1.05</v>
      </c>
      <c r="BP279">
        <v>0.12</v>
      </c>
      <c r="BQ279">
        <v>0</v>
      </c>
      <c r="BR279">
        <v>342</v>
      </c>
      <c r="BS279">
        <v>292</v>
      </c>
      <c r="BT279">
        <v>15899</v>
      </c>
      <c r="BU279">
        <v>1779</v>
      </c>
      <c r="BV279">
        <v>10.220000000000001</v>
      </c>
      <c r="BW279">
        <v>5.51</v>
      </c>
      <c r="BX279">
        <v>1.47</v>
      </c>
      <c r="BY279">
        <v>16.3</v>
      </c>
      <c r="BZ279">
        <v>33.5</v>
      </c>
      <c r="CA279">
        <v>9.67</v>
      </c>
      <c r="CB279">
        <v>10.42</v>
      </c>
      <c r="CC279">
        <v>16.7</v>
      </c>
      <c r="CD279">
        <v>0.6</v>
      </c>
      <c r="CE279">
        <v>0.56999999999999995</v>
      </c>
      <c r="CF279">
        <v>157</v>
      </c>
      <c r="CG279">
        <v>31.8</v>
      </c>
      <c r="CH279">
        <v>416</v>
      </c>
      <c r="CI279">
        <v>22.59</v>
      </c>
      <c r="CJ279">
        <v>62.7</v>
      </c>
      <c r="CK279">
        <v>4</v>
      </c>
      <c r="CL279" s="42" t="str">
        <f t="shared" si="53"/>
        <v>1</v>
      </c>
      <c r="CM279" s="4">
        <v>80</v>
      </c>
      <c r="CN279" s="4">
        <f t="shared" si="52"/>
        <v>0.80666666666666675</v>
      </c>
      <c r="CO279">
        <v>4</v>
      </c>
      <c r="CP279" s="42" t="str">
        <f t="shared" si="54"/>
        <v>1</v>
      </c>
      <c r="CQ279" s="4">
        <v>40.333333333333336</v>
      </c>
      <c r="CR279" s="4">
        <v>0.9135802469135802</v>
      </c>
      <c r="CS279" s="43" t="str">
        <f t="shared" si="55"/>
        <v>1</v>
      </c>
      <c r="CT279" s="4">
        <f t="shared" si="56"/>
        <v>120.33333333333334</v>
      </c>
      <c r="CU279" s="4">
        <f t="shared" si="57"/>
        <v>1.720246913580247</v>
      </c>
      <c r="CV279" s="4">
        <v>1</v>
      </c>
    </row>
    <row r="280" spans="1:100" x14ac:dyDescent="0.3">
      <c r="A280" s="8" t="s">
        <v>358</v>
      </c>
      <c r="B280" s="18">
        <v>1</v>
      </c>
      <c r="C280">
        <v>40</v>
      </c>
      <c r="D280">
        <v>1</v>
      </c>
      <c r="E280">
        <v>3</v>
      </c>
      <c r="F280">
        <v>0</v>
      </c>
      <c r="G280">
        <v>0</v>
      </c>
      <c r="H280">
        <v>0</v>
      </c>
      <c r="I280">
        <v>1</v>
      </c>
      <c r="J280">
        <v>75.2</v>
      </c>
      <c r="K280">
        <v>1.5289999999999999</v>
      </c>
      <c r="L280">
        <f t="shared" si="50"/>
        <v>152.89999999999998</v>
      </c>
      <c r="M280" s="82">
        <v>33.313600000000001</v>
      </c>
      <c r="N280" s="4">
        <v>39.4</v>
      </c>
      <c r="O280" s="4">
        <v>44.3</v>
      </c>
      <c r="P280" s="39">
        <v>1</v>
      </c>
      <c r="Q280">
        <v>92</v>
      </c>
      <c r="R280" s="40">
        <v>1</v>
      </c>
      <c r="S280">
        <v>110</v>
      </c>
      <c r="T280" s="5">
        <v>0.83636363636363631</v>
      </c>
      <c r="U280" s="39">
        <v>0</v>
      </c>
      <c r="V280" s="4">
        <v>32.166430480088259</v>
      </c>
      <c r="W280" s="37">
        <v>1</v>
      </c>
      <c r="X280" s="4">
        <v>11</v>
      </c>
      <c r="Y280" s="40">
        <v>1</v>
      </c>
      <c r="Z280" s="5">
        <v>9.41</v>
      </c>
      <c r="AA280" s="5">
        <v>2.112022222222222</v>
      </c>
      <c r="AB280" s="85">
        <v>0</v>
      </c>
      <c r="AC280" s="5">
        <v>5.05</v>
      </c>
      <c r="AD280" s="37">
        <v>0</v>
      </c>
      <c r="AE280">
        <v>3</v>
      </c>
      <c r="AF280" s="5">
        <v>4.96</v>
      </c>
      <c r="AG280" s="37">
        <v>1</v>
      </c>
      <c r="AH280" s="5">
        <v>0.9</v>
      </c>
      <c r="AI280" s="1">
        <v>1</v>
      </c>
      <c r="AJ280" s="13">
        <v>3.78</v>
      </c>
      <c r="AK280" s="1">
        <v>1</v>
      </c>
      <c r="AL280" s="13">
        <v>0.76</v>
      </c>
      <c r="AM280" s="1">
        <v>1</v>
      </c>
      <c r="AN280" s="82">
        <f t="shared" si="51"/>
        <v>6.5263157894736841</v>
      </c>
      <c r="AO280" s="1">
        <v>1</v>
      </c>
      <c r="AP280">
        <v>122</v>
      </c>
      <c r="AQ280" s="37">
        <v>0</v>
      </c>
      <c r="AR280">
        <v>82</v>
      </c>
      <c r="AS280" s="37">
        <v>0</v>
      </c>
      <c r="AT280">
        <v>72</v>
      </c>
      <c r="AU280">
        <v>41</v>
      </c>
      <c r="AV280">
        <v>6.1</v>
      </c>
      <c r="AW280">
        <v>1</v>
      </c>
      <c r="AX280">
        <v>1172</v>
      </c>
      <c r="AY280">
        <v>29.6</v>
      </c>
      <c r="AZ280">
        <v>38.200000000000003</v>
      </c>
      <c r="BA280">
        <v>189</v>
      </c>
      <c r="BB280">
        <v>9.4</v>
      </c>
      <c r="BC280">
        <v>152.5</v>
      </c>
      <c r="BD280">
        <v>22.9</v>
      </c>
      <c r="BE280">
        <v>18.600000000000001</v>
      </c>
      <c r="BF280">
        <v>83.1</v>
      </c>
      <c r="BG280">
        <v>29.3</v>
      </c>
      <c r="BH280">
        <v>10.1</v>
      </c>
      <c r="BI280">
        <v>60.5</v>
      </c>
      <c r="BJ280">
        <v>17.100000000000001</v>
      </c>
      <c r="BK280">
        <v>5.9</v>
      </c>
      <c r="BL280">
        <v>22.3</v>
      </c>
      <c r="BM280">
        <v>4.4000000000000004</v>
      </c>
      <c r="BN280">
        <v>1.6</v>
      </c>
      <c r="BO280">
        <v>1.42</v>
      </c>
      <c r="BP280">
        <v>0.11</v>
      </c>
      <c r="BQ280">
        <v>0.03</v>
      </c>
      <c r="BR280">
        <v>206</v>
      </c>
      <c r="BS280">
        <v>102.8</v>
      </c>
      <c r="BT280">
        <v>2056</v>
      </c>
      <c r="BU280">
        <v>882</v>
      </c>
      <c r="BV280">
        <v>5.98</v>
      </c>
      <c r="BW280">
        <v>3.54</v>
      </c>
      <c r="BX280">
        <v>0.82</v>
      </c>
      <c r="BY280">
        <v>13.8</v>
      </c>
      <c r="BZ280">
        <v>26.7</v>
      </c>
      <c r="CA280">
        <v>0.43</v>
      </c>
      <c r="CB280">
        <v>0.73</v>
      </c>
      <c r="CC280">
        <v>6.7</v>
      </c>
      <c r="CD280">
        <v>0.37</v>
      </c>
      <c r="CE280">
        <v>0.8</v>
      </c>
      <c r="CF280">
        <v>98.7</v>
      </c>
      <c r="CG280">
        <v>9.6999999999999993</v>
      </c>
      <c r="CH280">
        <v>155</v>
      </c>
      <c r="CI280">
        <v>2.92</v>
      </c>
      <c r="CJ280">
        <v>1.3</v>
      </c>
      <c r="CK280">
        <v>1</v>
      </c>
      <c r="CL280" s="42" t="str">
        <f t="shared" si="53"/>
        <v>1</v>
      </c>
      <c r="CM280" s="4">
        <v>13.333333333333334</v>
      </c>
      <c r="CN280" s="4">
        <f t="shared" si="52"/>
        <v>1.9266666666666665</v>
      </c>
      <c r="CO280">
        <v>7</v>
      </c>
      <c r="CP280" s="42" t="str">
        <f t="shared" si="54"/>
        <v>1</v>
      </c>
      <c r="CQ280" s="4">
        <v>96.333333333333329</v>
      </c>
      <c r="CR280" s="4">
        <v>2.5061728395061724</v>
      </c>
      <c r="CS280" s="43" t="str">
        <f t="shared" si="55"/>
        <v>1</v>
      </c>
      <c r="CT280" s="4">
        <f t="shared" si="56"/>
        <v>109.66666666666666</v>
      </c>
      <c r="CU280" s="4">
        <f t="shared" si="57"/>
        <v>4.4328395061728392</v>
      </c>
      <c r="CV280" s="4">
        <v>4</v>
      </c>
    </row>
    <row r="281" spans="1:100" x14ac:dyDescent="0.3">
      <c r="A281" s="8" t="s">
        <v>357</v>
      </c>
      <c r="B281" s="18">
        <v>1</v>
      </c>
      <c r="C281">
        <v>29</v>
      </c>
      <c r="D281">
        <v>1</v>
      </c>
      <c r="E281">
        <v>3</v>
      </c>
      <c r="F281">
        <v>0</v>
      </c>
      <c r="G281">
        <v>0</v>
      </c>
      <c r="H281">
        <v>0</v>
      </c>
      <c r="I281">
        <v>1</v>
      </c>
      <c r="J281">
        <v>43.5</v>
      </c>
      <c r="K281">
        <v>1.54</v>
      </c>
      <c r="L281">
        <f t="shared" si="50"/>
        <v>154</v>
      </c>
      <c r="M281" s="82">
        <v>13.398</v>
      </c>
      <c r="N281" s="4">
        <v>28.6</v>
      </c>
      <c r="O281" s="4">
        <v>30.8</v>
      </c>
      <c r="P281" s="39">
        <v>0</v>
      </c>
      <c r="Q281">
        <v>67.099999999999994</v>
      </c>
      <c r="R281" s="40">
        <v>0</v>
      </c>
      <c r="S281">
        <v>83.7</v>
      </c>
      <c r="T281" s="5">
        <v>0.80167264038231767</v>
      </c>
      <c r="U281" s="39">
        <v>0</v>
      </c>
      <c r="V281" s="4">
        <v>18.342047562826785</v>
      </c>
      <c r="W281" s="37">
        <v>0</v>
      </c>
      <c r="X281" s="4">
        <v>3</v>
      </c>
      <c r="Y281" s="40">
        <v>0</v>
      </c>
      <c r="Z281" s="5">
        <v>9.39</v>
      </c>
      <c r="AA281" s="5">
        <v>1.9030399999999998</v>
      </c>
      <c r="AB281" s="85">
        <v>0</v>
      </c>
      <c r="AC281" s="5">
        <v>4.5599999999999996</v>
      </c>
      <c r="AD281" s="37">
        <v>0</v>
      </c>
      <c r="AE281">
        <v>3</v>
      </c>
      <c r="AF281" s="5">
        <v>4.87</v>
      </c>
      <c r="AG281" s="37">
        <v>0</v>
      </c>
      <c r="AH281" s="5">
        <v>1.53</v>
      </c>
      <c r="AI281" s="1">
        <v>0</v>
      </c>
      <c r="AJ281" s="13">
        <v>2.99</v>
      </c>
      <c r="AK281" s="1">
        <v>1</v>
      </c>
      <c r="AL281" s="13">
        <v>1.19</v>
      </c>
      <c r="AM281" s="1">
        <v>1</v>
      </c>
      <c r="AN281" s="82">
        <f t="shared" si="51"/>
        <v>4.0924369747899165</v>
      </c>
      <c r="AO281" s="1">
        <v>1</v>
      </c>
      <c r="AP281">
        <v>133</v>
      </c>
      <c r="AQ281" s="37">
        <v>1</v>
      </c>
      <c r="AR281">
        <v>91</v>
      </c>
      <c r="AS281" s="37">
        <v>1</v>
      </c>
      <c r="AT281">
        <v>87</v>
      </c>
      <c r="AU281">
        <v>43</v>
      </c>
      <c r="AV281">
        <v>5.7</v>
      </c>
      <c r="AW281">
        <v>0</v>
      </c>
      <c r="AX281">
        <v>1606</v>
      </c>
      <c r="AY281">
        <v>54.1</v>
      </c>
      <c r="AZ281">
        <v>41</v>
      </c>
      <c r="BA281">
        <v>271.8</v>
      </c>
      <c r="BB281">
        <v>14.1</v>
      </c>
      <c r="BC281">
        <v>206.6</v>
      </c>
      <c r="BD281">
        <v>44</v>
      </c>
      <c r="BE281">
        <v>15.6</v>
      </c>
      <c r="BF281">
        <v>119.8</v>
      </c>
      <c r="BG281">
        <v>23</v>
      </c>
      <c r="BH281">
        <v>13.5</v>
      </c>
      <c r="BI281">
        <v>63.4</v>
      </c>
      <c r="BJ281">
        <v>11.2</v>
      </c>
      <c r="BK281">
        <v>3.6</v>
      </c>
      <c r="BL281">
        <v>19.899999999999999</v>
      </c>
      <c r="BM281">
        <v>3.4</v>
      </c>
      <c r="BN281">
        <v>1.9</v>
      </c>
      <c r="BO281">
        <v>1.29</v>
      </c>
      <c r="BP281">
        <v>0.28999999999999998</v>
      </c>
      <c r="BQ281">
        <v>0.05</v>
      </c>
      <c r="BR281">
        <v>502</v>
      </c>
      <c r="BS281">
        <v>256.2</v>
      </c>
      <c r="BT281">
        <v>39604</v>
      </c>
      <c r="BU281">
        <v>2270</v>
      </c>
      <c r="BV281">
        <v>13.34</v>
      </c>
      <c r="BW281">
        <v>5.31</v>
      </c>
      <c r="BX281">
        <v>1.46</v>
      </c>
      <c r="BY281">
        <v>37.200000000000003</v>
      </c>
      <c r="BZ281">
        <v>83.2</v>
      </c>
      <c r="CA281">
        <v>27.68</v>
      </c>
      <c r="CB281">
        <v>30.89</v>
      </c>
      <c r="CC281">
        <v>14.1</v>
      </c>
      <c r="CD281">
        <v>0.97</v>
      </c>
      <c r="CE281">
        <v>1.03</v>
      </c>
      <c r="CF281">
        <v>285.2</v>
      </c>
      <c r="CG281">
        <v>99.7</v>
      </c>
      <c r="CH281">
        <v>1319</v>
      </c>
      <c r="CI281">
        <v>14.52</v>
      </c>
      <c r="CJ281">
        <v>171.1</v>
      </c>
      <c r="CK281">
        <v>7</v>
      </c>
      <c r="CL281" s="42" t="str">
        <f t="shared" si="53"/>
        <v>2</v>
      </c>
      <c r="CM281" s="4">
        <v>176</v>
      </c>
      <c r="CN281" s="4">
        <f t="shared" si="52"/>
        <v>2.0733333333333333</v>
      </c>
      <c r="CO281">
        <v>7</v>
      </c>
      <c r="CP281" s="42" t="str">
        <f t="shared" si="54"/>
        <v>1</v>
      </c>
      <c r="CQ281" s="4">
        <v>103.66666666666667</v>
      </c>
      <c r="CR281" s="4">
        <v>2.61358024691358</v>
      </c>
      <c r="CS281" s="43" t="str">
        <f t="shared" si="55"/>
        <v>2</v>
      </c>
      <c r="CT281" s="4">
        <f t="shared" si="56"/>
        <v>279.66666666666669</v>
      </c>
      <c r="CU281" s="4">
        <f t="shared" si="57"/>
        <v>4.6869135802469133</v>
      </c>
      <c r="CV281" s="4">
        <v>4</v>
      </c>
    </row>
    <row r="282" spans="1:100" x14ac:dyDescent="0.3">
      <c r="A282" s="8" t="s">
        <v>356</v>
      </c>
      <c r="B282" s="18">
        <v>1</v>
      </c>
      <c r="C282">
        <v>31</v>
      </c>
      <c r="D282">
        <v>1</v>
      </c>
      <c r="E282">
        <v>3</v>
      </c>
      <c r="F282">
        <v>0</v>
      </c>
      <c r="G282">
        <v>0</v>
      </c>
      <c r="H282">
        <v>0</v>
      </c>
      <c r="I282">
        <v>0</v>
      </c>
      <c r="J282">
        <v>45.9</v>
      </c>
      <c r="K282">
        <v>1.59</v>
      </c>
      <c r="L282">
        <f t="shared" si="50"/>
        <v>159</v>
      </c>
      <c r="M282" s="82">
        <v>11.8422</v>
      </c>
      <c r="N282" s="4">
        <v>32.299999999999997</v>
      </c>
      <c r="O282" s="4">
        <v>25.8</v>
      </c>
      <c r="P282" s="39">
        <v>0</v>
      </c>
      <c r="Q282">
        <v>65</v>
      </c>
      <c r="R282" s="40">
        <v>0</v>
      </c>
      <c r="S282">
        <v>90.3</v>
      </c>
      <c r="T282" s="5">
        <v>0.71982281284606864</v>
      </c>
      <c r="U282" s="39">
        <v>0</v>
      </c>
      <c r="V282" s="4">
        <v>18.155927376290492</v>
      </c>
      <c r="W282" s="37">
        <v>0</v>
      </c>
      <c r="X282" s="4">
        <v>2</v>
      </c>
      <c r="Y282" s="40">
        <v>0</v>
      </c>
      <c r="Z282" s="5">
        <v>8.82</v>
      </c>
      <c r="AA282" s="5">
        <v>1.7248000000000003</v>
      </c>
      <c r="AB282" s="85">
        <v>0</v>
      </c>
      <c r="AC282" s="5">
        <v>4.4000000000000004</v>
      </c>
      <c r="AD282" s="37">
        <v>0</v>
      </c>
      <c r="AE282">
        <v>3</v>
      </c>
      <c r="AF282" s="5">
        <v>5.73</v>
      </c>
      <c r="AG282" s="37">
        <v>1</v>
      </c>
      <c r="AH282" s="5">
        <v>0.99</v>
      </c>
      <c r="AI282" s="1">
        <v>0</v>
      </c>
      <c r="AJ282" s="13">
        <v>3.24</v>
      </c>
      <c r="AK282" s="1">
        <v>0</v>
      </c>
      <c r="AL282" s="13">
        <v>2.04</v>
      </c>
      <c r="AM282" s="1">
        <v>0</v>
      </c>
      <c r="AN282" s="82">
        <f t="shared" si="51"/>
        <v>2.8088235294117649</v>
      </c>
      <c r="AO282" s="1">
        <v>0</v>
      </c>
      <c r="AP282">
        <v>168</v>
      </c>
      <c r="AQ282" s="37">
        <v>1</v>
      </c>
      <c r="AR282">
        <v>106</v>
      </c>
      <c r="AS282" s="37">
        <v>1</v>
      </c>
      <c r="AT282">
        <v>67</v>
      </c>
      <c r="AU282">
        <v>62</v>
      </c>
      <c r="AV282">
        <v>7.3</v>
      </c>
      <c r="AW282">
        <v>0</v>
      </c>
      <c r="AX282">
        <v>2083</v>
      </c>
      <c r="AY282">
        <v>59.9</v>
      </c>
      <c r="AZ282">
        <v>60.4</v>
      </c>
      <c r="BA282">
        <v>346.2</v>
      </c>
      <c r="BB282">
        <v>9.1999999999999993</v>
      </c>
      <c r="BC282">
        <v>264.39999999999998</v>
      </c>
      <c r="BD282">
        <v>69.900000000000006</v>
      </c>
      <c r="BE282">
        <v>41.7</v>
      </c>
      <c r="BF282">
        <v>218.6</v>
      </c>
      <c r="BG282">
        <v>26.1</v>
      </c>
      <c r="BH282">
        <v>11.5</v>
      </c>
      <c r="BI282">
        <v>62.3</v>
      </c>
      <c r="BJ282">
        <v>16.5</v>
      </c>
      <c r="BK282">
        <v>7.5</v>
      </c>
      <c r="BL282">
        <v>38.200000000000003</v>
      </c>
      <c r="BM282">
        <v>9.5</v>
      </c>
      <c r="BN282">
        <v>4.8</v>
      </c>
      <c r="BO282">
        <v>4.17</v>
      </c>
      <c r="BP282">
        <v>0.45</v>
      </c>
      <c r="BQ282">
        <v>0.46</v>
      </c>
      <c r="BR282">
        <v>510</v>
      </c>
      <c r="BS282">
        <v>241</v>
      </c>
      <c r="BT282">
        <v>3524</v>
      </c>
      <c r="BU282">
        <v>2306</v>
      </c>
      <c r="BV282">
        <v>11.83</v>
      </c>
      <c r="BW282">
        <v>7.22</v>
      </c>
      <c r="BX282">
        <v>1.46</v>
      </c>
      <c r="BY282">
        <v>36.1</v>
      </c>
      <c r="BZ282">
        <v>78.5</v>
      </c>
      <c r="CA282">
        <v>1.1200000000000001</v>
      </c>
      <c r="CB282">
        <v>1.66</v>
      </c>
      <c r="CC282">
        <v>20.5</v>
      </c>
      <c r="CD282">
        <v>1.08</v>
      </c>
      <c r="CE282">
        <v>1.36</v>
      </c>
      <c r="CF282">
        <v>334.8</v>
      </c>
      <c r="CG282">
        <v>64.8</v>
      </c>
      <c r="CH282">
        <v>817</v>
      </c>
      <c r="CI282">
        <v>6.83</v>
      </c>
      <c r="CJ282">
        <v>3.6</v>
      </c>
      <c r="CK282">
        <v>2</v>
      </c>
      <c r="CL282" s="42" t="str">
        <f t="shared" si="53"/>
        <v>2</v>
      </c>
      <c r="CM282" s="4">
        <v>166.66666666666666</v>
      </c>
      <c r="CN282" s="4">
        <f t="shared" si="52"/>
        <v>1.2133333333333334</v>
      </c>
      <c r="CO282">
        <v>4</v>
      </c>
      <c r="CP282" s="42" t="str">
        <f t="shared" si="54"/>
        <v>1</v>
      </c>
      <c r="CQ282" s="4">
        <v>60.666666666666664</v>
      </c>
      <c r="CR282" s="4">
        <v>0.62962962962962965</v>
      </c>
      <c r="CS282" s="43" t="str">
        <f t="shared" si="55"/>
        <v>2</v>
      </c>
      <c r="CT282" s="4">
        <f t="shared" si="56"/>
        <v>227.33333333333331</v>
      </c>
      <c r="CU282" s="4">
        <f t="shared" si="57"/>
        <v>1.8429629629629631</v>
      </c>
      <c r="CV282" s="4">
        <v>1</v>
      </c>
    </row>
    <row r="283" spans="1:100" x14ac:dyDescent="0.3">
      <c r="A283" s="8" t="s">
        <v>355</v>
      </c>
      <c r="B283" s="18">
        <v>1</v>
      </c>
      <c r="C283">
        <v>48</v>
      </c>
      <c r="D283">
        <v>0</v>
      </c>
      <c r="E283">
        <v>2</v>
      </c>
      <c r="F283">
        <v>1</v>
      </c>
      <c r="G283">
        <v>0</v>
      </c>
      <c r="H283">
        <v>0</v>
      </c>
      <c r="I283">
        <v>1</v>
      </c>
      <c r="J283">
        <v>64.400000000000006</v>
      </c>
      <c r="K283">
        <v>1.599</v>
      </c>
      <c r="L283">
        <f t="shared" si="50"/>
        <v>159.9</v>
      </c>
      <c r="M283" s="82">
        <v>25.3736</v>
      </c>
      <c r="N283" s="4">
        <v>36.9</v>
      </c>
      <c r="O283" s="4">
        <v>39.4</v>
      </c>
      <c r="P283" s="39">
        <v>1</v>
      </c>
      <c r="Q283">
        <v>85.5</v>
      </c>
      <c r="R283" s="40">
        <v>1</v>
      </c>
      <c r="S283">
        <v>98.5</v>
      </c>
      <c r="T283" s="5">
        <v>0.86802030456852797</v>
      </c>
      <c r="U283" s="39">
        <v>0</v>
      </c>
      <c r="V283" s="4">
        <v>25.187724817066329</v>
      </c>
      <c r="W283" s="37">
        <v>1</v>
      </c>
      <c r="X283" s="4">
        <v>9</v>
      </c>
      <c r="Y283" s="40">
        <v>0</v>
      </c>
      <c r="Z283" s="5">
        <v>14.784000000000001</v>
      </c>
      <c r="AA283" s="5">
        <v>3.1473493333333331</v>
      </c>
      <c r="AB283" s="85">
        <v>1</v>
      </c>
      <c r="AC283" s="5">
        <v>4.79</v>
      </c>
      <c r="AD283" s="37">
        <v>0</v>
      </c>
      <c r="AE283">
        <v>34.17</v>
      </c>
      <c r="AF283" s="5">
        <v>6.93</v>
      </c>
      <c r="AG283" s="37">
        <v>1</v>
      </c>
      <c r="AH283" s="5">
        <v>1.61</v>
      </c>
      <c r="AI283" s="1">
        <v>1</v>
      </c>
      <c r="AJ283" s="13">
        <v>4.96</v>
      </c>
      <c r="AK283" s="1">
        <v>1</v>
      </c>
      <c r="AL283" s="13">
        <v>1.24</v>
      </c>
      <c r="AM283" s="1">
        <v>1</v>
      </c>
      <c r="AN283" s="82">
        <f t="shared" si="51"/>
        <v>5.588709677419355</v>
      </c>
      <c r="AO283" s="1">
        <v>1</v>
      </c>
      <c r="AP283">
        <v>131</v>
      </c>
      <c r="AQ283" s="37">
        <v>1</v>
      </c>
      <c r="AR283">
        <v>80</v>
      </c>
      <c r="AS283" s="37">
        <v>0</v>
      </c>
      <c r="AT283">
        <v>81</v>
      </c>
      <c r="AU283">
        <v>51</v>
      </c>
      <c r="AV283">
        <v>7</v>
      </c>
      <c r="AW283">
        <v>1</v>
      </c>
      <c r="AX283">
        <v>1104</v>
      </c>
      <c r="AY283">
        <v>30.1</v>
      </c>
      <c r="AZ283">
        <v>30.7</v>
      </c>
      <c r="BA283">
        <v>187.8</v>
      </c>
      <c r="BB283">
        <v>3.4</v>
      </c>
      <c r="BC283">
        <v>140.4</v>
      </c>
      <c r="BD283">
        <v>34.200000000000003</v>
      </c>
      <c r="BE283">
        <v>27.6</v>
      </c>
      <c r="BF283">
        <v>37.700000000000003</v>
      </c>
      <c r="BG283">
        <v>25.1</v>
      </c>
      <c r="BH283">
        <v>10.9</v>
      </c>
      <c r="BI283">
        <v>63.8</v>
      </c>
      <c r="BJ283">
        <v>16.2</v>
      </c>
      <c r="BK283">
        <v>9.4</v>
      </c>
      <c r="BL283">
        <v>19.899999999999999</v>
      </c>
      <c r="BM283">
        <v>2.7</v>
      </c>
      <c r="BN283">
        <v>1.2</v>
      </c>
      <c r="BO283">
        <v>0.9</v>
      </c>
      <c r="BP283">
        <v>0.1</v>
      </c>
      <c r="BQ283">
        <v>0</v>
      </c>
      <c r="BR283">
        <v>368</v>
      </c>
      <c r="BS283">
        <v>111</v>
      </c>
      <c r="BT283">
        <v>1932</v>
      </c>
      <c r="BU283">
        <v>1123</v>
      </c>
      <c r="BV283">
        <v>4.57</v>
      </c>
      <c r="BW283">
        <v>3.74</v>
      </c>
      <c r="BX283">
        <v>1.07</v>
      </c>
      <c r="BY283">
        <v>31.2</v>
      </c>
      <c r="BZ283">
        <v>25.6</v>
      </c>
      <c r="CA283">
        <v>3.56</v>
      </c>
      <c r="CB283">
        <v>3.36</v>
      </c>
      <c r="CC283">
        <v>7.2</v>
      </c>
      <c r="CD283">
        <v>0.54</v>
      </c>
      <c r="CE283">
        <v>1.35</v>
      </c>
      <c r="CF283">
        <v>89.5</v>
      </c>
      <c r="CG283">
        <v>13.7</v>
      </c>
      <c r="CH283">
        <v>184</v>
      </c>
      <c r="CI283">
        <v>1.87</v>
      </c>
      <c r="CJ283">
        <v>0.6</v>
      </c>
      <c r="CK283">
        <v>0</v>
      </c>
      <c r="CL283" s="42" t="str">
        <f t="shared" si="53"/>
        <v>1</v>
      </c>
      <c r="CM283" s="4">
        <v>0</v>
      </c>
      <c r="CN283" s="4">
        <f t="shared" si="52"/>
        <v>1.9</v>
      </c>
      <c r="CO283">
        <v>4</v>
      </c>
      <c r="CP283" s="42" t="str">
        <f t="shared" si="54"/>
        <v>1</v>
      </c>
      <c r="CQ283" s="4">
        <v>95</v>
      </c>
      <c r="CR283" s="4">
        <v>0.87037037037037035</v>
      </c>
      <c r="CS283" s="43" t="str">
        <f t="shared" si="55"/>
        <v>1</v>
      </c>
      <c r="CT283" s="4">
        <f t="shared" si="56"/>
        <v>95</v>
      </c>
      <c r="CU283" s="4">
        <f t="shared" si="57"/>
        <v>2.7703703703703701</v>
      </c>
      <c r="CV283" s="4">
        <v>2</v>
      </c>
    </row>
    <row r="284" spans="1:100" x14ac:dyDescent="0.3">
      <c r="A284" s="8" t="s">
        <v>354</v>
      </c>
      <c r="B284" s="18">
        <v>1</v>
      </c>
      <c r="C284">
        <v>35</v>
      </c>
      <c r="D284">
        <v>0</v>
      </c>
      <c r="E284">
        <v>2</v>
      </c>
      <c r="F284">
        <v>1</v>
      </c>
      <c r="G284">
        <v>0</v>
      </c>
      <c r="H284">
        <v>0</v>
      </c>
      <c r="I284">
        <v>1</v>
      </c>
      <c r="J284">
        <v>61</v>
      </c>
      <c r="K284">
        <v>1.5669999999999999</v>
      </c>
      <c r="L284">
        <f t="shared" si="50"/>
        <v>156.69999999999999</v>
      </c>
      <c r="M284" s="82">
        <v>23.607000000000003</v>
      </c>
      <c r="N284" s="4">
        <v>35.200000000000003</v>
      </c>
      <c r="O284" s="4">
        <v>38.700000000000003</v>
      </c>
      <c r="P284" s="39">
        <v>1</v>
      </c>
      <c r="Q284">
        <v>82</v>
      </c>
      <c r="R284" s="40">
        <v>1</v>
      </c>
      <c r="S284">
        <v>98.4</v>
      </c>
      <c r="T284" s="5">
        <v>0.83333333333333326</v>
      </c>
      <c r="U284" s="39">
        <v>0</v>
      </c>
      <c r="V284" s="4">
        <v>24.842302286835739</v>
      </c>
      <c r="W284" s="37">
        <v>1</v>
      </c>
      <c r="X284" s="4">
        <v>7</v>
      </c>
      <c r="Y284" s="40">
        <v>0</v>
      </c>
      <c r="Z284" s="5">
        <v>13.613</v>
      </c>
      <c r="AA284" s="5">
        <v>2.6560475555555554</v>
      </c>
      <c r="AB284" s="85">
        <v>0</v>
      </c>
      <c r="AC284" s="5">
        <v>4.3899999999999997</v>
      </c>
      <c r="AD284" s="37">
        <v>0</v>
      </c>
      <c r="AE284">
        <v>30.59</v>
      </c>
      <c r="AF284" s="5">
        <v>5.72</v>
      </c>
      <c r="AG284" s="37">
        <v>1</v>
      </c>
      <c r="AH284" s="5">
        <v>0.77</v>
      </c>
      <c r="AI284" s="1">
        <v>1</v>
      </c>
      <c r="AJ284" s="13">
        <v>4.29</v>
      </c>
      <c r="AK284" s="1">
        <v>1</v>
      </c>
      <c r="AL284" s="13">
        <v>1.08</v>
      </c>
      <c r="AM284" s="1">
        <v>1</v>
      </c>
      <c r="AN284" s="82">
        <f t="shared" si="51"/>
        <v>5.2962962962962958</v>
      </c>
      <c r="AO284" s="1">
        <v>1</v>
      </c>
      <c r="AP284">
        <v>129</v>
      </c>
      <c r="AQ284" s="37">
        <v>0</v>
      </c>
      <c r="AR284">
        <v>64</v>
      </c>
      <c r="AS284" s="37">
        <v>0</v>
      </c>
      <c r="AT284">
        <v>78</v>
      </c>
      <c r="AU284">
        <v>66</v>
      </c>
      <c r="AV284">
        <v>6.1</v>
      </c>
      <c r="AW284">
        <v>1</v>
      </c>
      <c r="AX284">
        <v>1315</v>
      </c>
      <c r="AY284">
        <v>116.5</v>
      </c>
      <c r="AZ284">
        <v>36</v>
      </c>
      <c r="BA284">
        <v>227.1</v>
      </c>
      <c r="BB284">
        <v>7.7</v>
      </c>
      <c r="BC284">
        <v>173.7</v>
      </c>
      <c r="BD284">
        <v>42.1</v>
      </c>
      <c r="BE284">
        <v>35.4</v>
      </c>
      <c r="BF284">
        <v>69</v>
      </c>
      <c r="BG284">
        <v>24.6</v>
      </c>
      <c r="BH284">
        <v>35.4</v>
      </c>
      <c r="BI284">
        <v>64.7</v>
      </c>
      <c r="BJ284">
        <v>15.8</v>
      </c>
      <c r="BK284">
        <v>10.1</v>
      </c>
      <c r="BL284">
        <v>23</v>
      </c>
      <c r="BM284">
        <v>3.6</v>
      </c>
      <c r="BN284">
        <v>1.9</v>
      </c>
      <c r="BO284">
        <v>1.2</v>
      </c>
      <c r="BP284">
        <v>0.55000000000000004</v>
      </c>
      <c r="BQ284">
        <v>0</v>
      </c>
      <c r="BR284">
        <v>285</v>
      </c>
      <c r="BS284">
        <v>112</v>
      </c>
      <c r="BT284">
        <v>3063</v>
      </c>
      <c r="BU284">
        <v>981</v>
      </c>
      <c r="BV284">
        <v>7.95</v>
      </c>
      <c r="BW284">
        <v>4.0199999999999996</v>
      </c>
      <c r="BX284">
        <v>1.26</v>
      </c>
      <c r="BY284">
        <v>33</v>
      </c>
      <c r="BZ284">
        <v>28.8</v>
      </c>
      <c r="CA284">
        <v>7.14</v>
      </c>
      <c r="CB284">
        <v>6.67</v>
      </c>
      <c r="CC284">
        <v>10</v>
      </c>
      <c r="CD284">
        <v>0.52</v>
      </c>
      <c r="CE284">
        <v>3.2</v>
      </c>
      <c r="CF284">
        <v>134.19999999999999</v>
      </c>
      <c r="CG284">
        <v>12.8</v>
      </c>
      <c r="CH284">
        <v>266</v>
      </c>
      <c r="CI284">
        <v>4.97</v>
      </c>
      <c r="CJ284">
        <v>29.6</v>
      </c>
      <c r="CK284">
        <v>0</v>
      </c>
      <c r="CL284" s="42" t="str">
        <f t="shared" si="53"/>
        <v>1</v>
      </c>
      <c r="CM284" s="4">
        <v>0</v>
      </c>
      <c r="CN284" s="4">
        <f t="shared" si="52"/>
        <v>1.6733333333333333</v>
      </c>
      <c r="CO284">
        <v>6</v>
      </c>
      <c r="CP284" s="42" t="str">
        <f t="shared" si="54"/>
        <v>1</v>
      </c>
      <c r="CQ284" s="4">
        <v>83.666666666666671</v>
      </c>
      <c r="CR284" s="4">
        <v>2.0864197530864197</v>
      </c>
      <c r="CS284" s="43" t="str">
        <f t="shared" si="55"/>
        <v>1</v>
      </c>
      <c r="CT284" s="4">
        <f t="shared" si="56"/>
        <v>83.666666666666671</v>
      </c>
      <c r="CU284" s="4">
        <f t="shared" si="57"/>
        <v>3.759753086419753</v>
      </c>
      <c r="CV284" s="4">
        <v>3</v>
      </c>
    </row>
    <row r="285" spans="1:100" x14ac:dyDescent="0.3">
      <c r="A285" s="8" t="s">
        <v>353</v>
      </c>
      <c r="B285" s="18">
        <v>1</v>
      </c>
      <c r="C285">
        <v>39</v>
      </c>
      <c r="D285">
        <v>0</v>
      </c>
      <c r="E285">
        <v>2</v>
      </c>
      <c r="F285">
        <v>1</v>
      </c>
      <c r="G285">
        <v>0</v>
      </c>
      <c r="H285">
        <v>0</v>
      </c>
      <c r="I285">
        <v>0</v>
      </c>
      <c r="J285">
        <v>44.3</v>
      </c>
      <c r="K285">
        <v>1.629</v>
      </c>
      <c r="L285">
        <f t="shared" si="50"/>
        <v>162.9</v>
      </c>
      <c r="M285" s="82">
        <v>9.2586999999999993</v>
      </c>
      <c r="N285" s="4">
        <v>33.1</v>
      </c>
      <c r="O285" s="4">
        <v>20.9</v>
      </c>
      <c r="P285" s="39">
        <v>0</v>
      </c>
      <c r="Q285">
        <v>64.900000000000006</v>
      </c>
      <c r="R285" s="40">
        <v>0</v>
      </c>
      <c r="S285">
        <v>86.2</v>
      </c>
      <c r="T285" s="5">
        <v>0.75290023201856149</v>
      </c>
      <c r="U285" s="39">
        <v>0</v>
      </c>
      <c r="V285" s="4">
        <v>16.694044145383643</v>
      </c>
      <c r="W285" s="37">
        <v>0</v>
      </c>
      <c r="X285" s="4">
        <v>1</v>
      </c>
      <c r="Y285" s="40">
        <v>0</v>
      </c>
      <c r="Z285" s="5">
        <v>6.5229999999999997</v>
      </c>
      <c r="AA285" s="5">
        <v>1.3538848888888888</v>
      </c>
      <c r="AB285" s="85">
        <v>0</v>
      </c>
      <c r="AC285" s="5">
        <v>4.67</v>
      </c>
      <c r="AD285" s="37">
        <v>0</v>
      </c>
      <c r="AE285">
        <v>10.18</v>
      </c>
      <c r="AF285" s="5">
        <v>4.92</v>
      </c>
      <c r="AG285" s="37">
        <v>0</v>
      </c>
      <c r="AH285" s="5">
        <v>1.1200000000000001</v>
      </c>
      <c r="AI285" s="1">
        <v>0</v>
      </c>
      <c r="AJ285" s="13">
        <v>2.4300000000000002</v>
      </c>
      <c r="AK285" s="1">
        <v>0</v>
      </c>
      <c r="AL285" s="13">
        <v>1.98</v>
      </c>
      <c r="AM285" s="1">
        <v>0</v>
      </c>
      <c r="AN285" s="82">
        <f t="shared" si="51"/>
        <v>2.4848484848484849</v>
      </c>
      <c r="AO285" s="1">
        <v>0</v>
      </c>
      <c r="AP285">
        <v>107</v>
      </c>
      <c r="AQ285" s="37">
        <v>0</v>
      </c>
      <c r="AR285">
        <v>76</v>
      </c>
      <c r="AS285" s="37">
        <v>0</v>
      </c>
      <c r="AT285">
        <v>69</v>
      </c>
      <c r="AU285">
        <v>30</v>
      </c>
      <c r="AV285">
        <v>5.5</v>
      </c>
      <c r="AW285">
        <v>1</v>
      </c>
      <c r="AX285">
        <v>1649</v>
      </c>
      <c r="AY285">
        <v>41.1</v>
      </c>
      <c r="AZ285">
        <v>49.2</v>
      </c>
      <c r="BA285">
        <v>278</v>
      </c>
      <c r="BB285">
        <v>12.4</v>
      </c>
      <c r="BC285">
        <v>198.2</v>
      </c>
      <c r="BD285">
        <v>64.400000000000006</v>
      </c>
      <c r="BE285">
        <v>55.3</v>
      </c>
      <c r="BF285">
        <v>54.7</v>
      </c>
      <c r="BG285">
        <v>26.8</v>
      </c>
      <c r="BH285">
        <v>10</v>
      </c>
      <c r="BI285">
        <v>63.2</v>
      </c>
      <c r="BJ285">
        <v>16.8</v>
      </c>
      <c r="BK285">
        <v>12.6</v>
      </c>
      <c r="BL285">
        <v>30.8</v>
      </c>
      <c r="BM285">
        <v>7.8</v>
      </c>
      <c r="BN285">
        <v>2.5</v>
      </c>
      <c r="BO285">
        <v>2.12</v>
      </c>
      <c r="BP285">
        <v>0.25</v>
      </c>
      <c r="BQ285">
        <v>0</v>
      </c>
      <c r="BR285">
        <v>360</v>
      </c>
      <c r="BS285">
        <v>237.5</v>
      </c>
      <c r="BT285">
        <v>2569</v>
      </c>
      <c r="BU285">
        <v>1464</v>
      </c>
      <c r="BV285">
        <v>9.25</v>
      </c>
      <c r="BW285">
        <v>5.18</v>
      </c>
      <c r="BX285">
        <v>1.26</v>
      </c>
      <c r="BY285">
        <v>31.6</v>
      </c>
      <c r="BZ285">
        <v>18.600000000000001</v>
      </c>
      <c r="CA285">
        <v>1.02</v>
      </c>
      <c r="CB285">
        <v>0.69</v>
      </c>
      <c r="CC285">
        <v>15.1</v>
      </c>
      <c r="CD285">
        <v>0.48</v>
      </c>
      <c r="CE285">
        <v>0.22</v>
      </c>
      <c r="CF285">
        <v>163.69999999999999</v>
      </c>
      <c r="CG285">
        <v>31</v>
      </c>
      <c r="CH285">
        <v>456</v>
      </c>
      <c r="CI285">
        <v>1.32</v>
      </c>
      <c r="CJ285">
        <v>2.2000000000000002</v>
      </c>
      <c r="CK285">
        <v>1</v>
      </c>
      <c r="CL285" s="42" t="str">
        <f t="shared" si="53"/>
        <v>1</v>
      </c>
      <c r="CM285" s="4">
        <v>40</v>
      </c>
      <c r="CN285" s="4">
        <f t="shared" si="52"/>
        <v>0.9</v>
      </c>
      <c r="CO285">
        <v>5</v>
      </c>
      <c r="CP285" s="42" t="str">
        <f t="shared" si="54"/>
        <v>1</v>
      </c>
      <c r="CQ285" s="4">
        <v>45</v>
      </c>
      <c r="CR285" s="4">
        <v>1.5370370370370372</v>
      </c>
      <c r="CS285" s="43" t="str">
        <f t="shared" si="55"/>
        <v>1</v>
      </c>
      <c r="CT285" s="4">
        <f t="shared" si="56"/>
        <v>85</v>
      </c>
      <c r="CU285" s="4">
        <f t="shared" si="57"/>
        <v>2.4370370370370371</v>
      </c>
      <c r="CV285" s="4">
        <v>2</v>
      </c>
    </row>
    <row r="286" spans="1:100" x14ac:dyDescent="0.3">
      <c r="A286" s="8" t="s">
        <v>352</v>
      </c>
      <c r="B286" s="18">
        <v>1</v>
      </c>
      <c r="C286">
        <v>33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59.5</v>
      </c>
      <c r="K286">
        <v>1.5669999999999999</v>
      </c>
      <c r="L286">
        <f t="shared" si="50"/>
        <v>156.69999999999999</v>
      </c>
      <c r="M286" s="82">
        <v>23.324000000000002</v>
      </c>
      <c r="N286" s="4">
        <v>34.200000000000003</v>
      </c>
      <c r="O286" s="4">
        <v>39.200000000000003</v>
      </c>
      <c r="P286" s="39">
        <v>1</v>
      </c>
      <c r="Q286">
        <v>82.4</v>
      </c>
      <c r="R286" s="40">
        <v>1</v>
      </c>
      <c r="S286">
        <v>96.1</v>
      </c>
      <c r="T286" s="5">
        <v>0.85744016649323629</v>
      </c>
      <c r="U286" s="39">
        <v>0</v>
      </c>
      <c r="V286" s="4">
        <v>24.231426001093876</v>
      </c>
      <c r="W286" s="37">
        <v>1</v>
      </c>
      <c r="X286" s="4">
        <v>7</v>
      </c>
      <c r="Y286" s="40">
        <v>0</v>
      </c>
      <c r="Z286" s="5">
        <v>12.164999999999999</v>
      </c>
      <c r="AA286" s="5">
        <v>2.865533333333333</v>
      </c>
      <c r="AB286" s="85">
        <v>0</v>
      </c>
      <c r="AC286" s="5">
        <v>5.3</v>
      </c>
      <c r="AD286" s="37">
        <v>0</v>
      </c>
      <c r="AE286">
        <v>28.71</v>
      </c>
      <c r="AF286" s="5">
        <v>3.74</v>
      </c>
      <c r="AG286" s="37">
        <v>0</v>
      </c>
      <c r="AH286" s="5">
        <v>1.23</v>
      </c>
      <c r="AI286" s="1">
        <v>0</v>
      </c>
      <c r="AJ286" s="13">
        <v>2.2200000000000002</v>
      </c>
      <c r="AK286" s="1">
        <v>1</v>
      </c>
      <c r="AL286" s="13">
        <v>0.96</v>
      </c>
      <c r="AM286" s="1">
        <v>1</v>
      </c>
      <c r="AN286" s="82">
        <f t="shared" si="51"/>
        <v>3.8958333333333335</v>
      </c>
      <c r="AO286" s="1">
        <v>0</v>
      </c>
      <c r="AP286">
        <v>112</v>
      </c>
      <c r="AQ286" s="37">
        <v>0</v>
      </c>
      <c r="AR286">
        <v>70</v>
      </c>
      <c r="AS286" s="37">
        <v>0</v>
      </c>
      <c r="AT286">
        <v>81</v>
      </c>
      <c r="AU286">
        <v>42</v>
      </c>
      <c r="AV286">
        <v>5.4</v>
      </c>
      <c r="AW286">
        <v>1</v>
      </c>
      <c r="AX286">
        <v>1362</v>
      </c>
      <c r="AY286">
        <v>37</v>
      </c>
      <c r="AZ286">
        <v>43.1</v>
      </c>
      <c r="BA286">
        <v>220.1</v>
      </c>
      <c r="BB286">
        <v>9.4</v>
      </c>
      <c r="BC286">
        <v>145.80000000000001</v>
      </c>
      <c r="BD286">
        <v>62</v>
      </c>
      <c r="BE286">
        <v>50.3</v>
      </c>
      <c r="BF286">
        <v>31.6</v>
      </c>
      <c r="BG286">
        <v>28.5</v>
      </c>
      <c r="BH286">
        <v>10.9</v>
      </c>
      <c r="BI286">
        <v>60.6</v>
      </c>
      <c r="BJ286">
        <v>19.600000000000001</v>
      </c>
      <c r="BK286">
        <v>13.9</v>
      </c>
      <c r="BL286">
        <v>29.6</v>
      </c>
      <c r="BM286">
        <v>5</v>
      </c>
      <c r="BN286">
        <v>1.7</v>
      </c>
      <c r="BO286">
        <v>1.38</v>
      </c>
      <c r="BP286">
        <v>0.19</v>
      </c>
      <c r="BQ286">
        <v>0.13</v>
      </c>
      <c r="BR286">
        <v>387</v>
      </c>
      <c r="BS286">
        <v>161</v>
      </c>
      <c r="BT286">
        <v>3695</v>
      </c>
      <c r="BU286">
        <v>1418</v>
      </c>
      <c r="BV286">
        <v>10.33</v>
      </c>
      <c r="BW286">
        <v>4.3499999999999996</v>
      </c>
      <c r="BX286">
        <v>1.1000000000000001</v>
      </c>
      <c r="BY286">
        <v>25.7</v>
      </c>
      <c r="BZ286">
        <v>20.2</v>
      </c>
      <c r="CA286">
        <v>25</v>
      </c>
      <c r="CB286">
        <v>22.91</v>
      </c>
      <c r="CC286">
        <v>9.6</v>
      </c>
      <c r="CD286">
        <v>0.46</v>
      </c>
      <c r="CE286">
        <v>0.73</v>
      </c>
      <c r="CF286">
        <v>176.3</v>
      </c>
      <c r="CG286">
        <v>20.5</v>
      </c>
      <c r="CH286">
        <v>547</v>
      </c>
      <c r="CI286">
        <v>3.2</v>
      </c>
      <c r="CJ286">
        <v>109</v>
      </c>
      <c r="CK286">
        <v>0</v>
      </c>
      <c r="CL286" s="42" t="str">
        <f t="shared" si="53"/>
        <v>1</v>
      </c>
      <c r="CM286" s="4">
        <v>0</v>
      </c>
      <c r="CN286" s="4">
        <f t="shared" si="52"/>
        <v>2.0933333333333333</v>
      </c>
      <c r="CO286">
        <v>5</v>
      </c>
      <c r="CP286" s="42" t="str">
        <f t="shared" si="54"/>
        <v>1</v>
      </c>
      <c r="CQ286" s="4">
        <v>104.66666666666667</v>
      </c>
      <c r="CR286" s="4">
        <v>4.9802469135802472</v>
      </c>
      <c r="CS286" s="43" t="str">
        <f t="shared" si="55"/>
        <v>1</v>
      </c>
      <c r="CT286" s="4">
        <f t="shared" si="56"/>
        <v>104.66666666666667</v>
      </c>
      <c r="CU286" s="4">
        <f t="shared" si="57"/>
        <v>7.0735802469135809</v>
      </c>
      <c r="CV286" s="4">
        <v>4</v>
      </c>
    </row>
    <row r="287" spans="1:100" x14ac:dyDescent="0.3">
      <c r="A287" s="8" t="s">
        <v>351</v>
      </c>
      <c r="B287" s="18">
        <v>1</v>
      </c>
      <c r="C287">
        <v>37</v>
      </c>
      <c r="D287">
        <v>1</v>
      </c>
      <c r="E287">
        <v>3</v>
      </c>
      <c r="F287">
        <v>1</v>
      </c>
      <c r="G287">
        <v>0</v>
      </c>
      <c r="H287">
        <v>0</v>
      </c>
      <c r="I287">
        <v>0</v>
      </c>
      <c r="J287">
        <v>62.6</v>
      </c>
      <c r="K287">
        <v>1.6419999999999999</v>
      </c>
      <c r="L287">
        <f t="shared" si="50"/>
        <v>164.2</v>
      </c>
      <c r="M287" s="82">
        <v>20.720600000000001</v>
      </c>
      <c r="N287" s="4">
        <v>39.4</v>
      </c>
      <c r="O287" s="4">
        <v>33.1</v>
      </c>
      <c r="P287" s="39">
        <v>1</v>
      </c>
      <c r="Q287">
        <v>88.9</v>
      </c>
      <c r="R287" s="40">
        <v>1</v>
      </c>
      <c r="S287">
        <v>99.1</v>
      </c>
      <c r="T287" s="5">
        <v>0.89707366296670044</v>
      </c>
      <c r="U287" s="39">
        <v>1</v>
      </c>
      <c r="V287" s="4">
        <v>23.218172188338695</v>
      </c>
      <c r="W287" s="37">
        <v>1</v>
      </c>
      <c r="X287" s="4">
        <v>5</v>
      </c>
      <c r="Y287" s="40">
        <v>0</v>
      </c>
      <c r="Z287" s="5">
        <v>9.4030000000000005</v>
      </c>
      <c r="AA287" s="5">
        <v>1.9349284444444446</v>
      </c>
      <c r="AB287" s="85">
        <v>0</v>
      </c>
      <c r="AC287" s="5">
        <v>4.63</v>
      </c>
      <c r="AD287" s="37">
        <v>0</v>
      </c>
      <c r="AE287">
        <v>18.32</v>
      </c>
      <c r="AF287" s="5">
        <v>5.5</v>
      </c>
      <c r="AG287" s="37">
        <v>1</v>
      </c>
      <c r="AH287" s="5">
        <v>1.07</v>
      </c>
      <c r="AI287" s="1">
        <v>1</v>
      </c>
      <c r="AJ287" s="13">
        <v>3.47</v>
      </c>
      <c r="AK287" s="1">
        <v>0</v>
      </c>
      <c r="AL287" s="13">
        <v>1.55</v>
      </c>
      <c r="AM287" s="1">
        <v>0</v>
      </c>
      <c r="AN287" s="82">
        <f t="shared" si="51"/>
        <v>3.5483870967741935</v>
      </c>
      <c r="AO287" s="1">
        <v>0</v>
      </c>
      <c r="AP287">
        <v>114</v>
      </c>
      <c r="AQ287" s="37">
        <v>0</v>
      </c>
      <c r="AR287">
        <v>72</v>
      </c>
      <c r="AS287" s="37">
        <v>0</v>
      </c>
      <c r="AT287">
        <v>76</v>
      </c>
      <c r="AU287">
        <v>43</v>
      </c>
      <c r="AV287">
        <v>5.7</v>
      </c>
      <c r="AW287">
        <v>1</v>
      </c>
      <c r="AX287">
        <v>1687</v>
      </c>
      <c r="AY287">
        <v>54.6</v>
      </c>
      <c r="AZ287">
        <v>43.1</v>
      </c>
      <c r="BA287">
        <v>287.39999999999998</v>
      </c>
      <c r="BB287">
        <v>7.3</v>
      </c>
      <c r="BC287">
        <v>240.2</v>
      </c>
      <c r="BD287">
        <v>27.4</v>
      </c>
      <c r="BE287">
        <v>14.4</v>
      </c>
      <c r="BF287">
        <v>120.5</v>
      </c>
      <c r="BG287">
        <v>23</v>
      </c>
      <c r="BH287">
        <v>13</v>
      </c>
      <c r="BI287">
        <v>63.9</v>
      </c>
      <c r="BJ287">
        <v>16.2</v>
      </c>
      <c r="BK287">
        <v>3.2</v>
      </c>
      <c r="BL287">
        <v>30.4</v>
      </c>
      <c r="BM287">
        <v>3.9</v>
      </c>
      <c r="BN287">
        <v>1.7</v>
      </c>
      <c r="BO287">
        <v>1.32</v>
      </c>
      <c r="BP287">
        <v>0.2</v>
      </c>
      <c r="BQ287">
        <v>0.05</v>
      </c>
      <c r="BR287">
        <v>245</v>
      </c>
      <c r="BS287">
        <v>191.9</v>
      </c>
      <c r="BT287">
        <v>3327</v>
      </c>
      <c r="BU287">
        <v>1625</v>
      </c>
      <c r="BV287">
        <v>9.1999999999999993</v>
      </c>
      <c r="BW287">
        <v>6.46</v>
      </c>
      <c r="BX287">
        <v>1.92</v>
      </c>
      <c r="BY287">
        <v>26.5</v>
      </c>
      <c r="BZ287">
        <v>47.7</v>
      </c>
      <c r="CA287">
        <v>0.81</v>
      </c>
      <c r="CB287">
        <v>1.24</v>
      </c>
      <c r="CC287">
        <v>14.6</v>
      </c>
      <c r="CD287">
        <v>0.95</v>
      </c>
      <c r="CE287">
        <v>2.23</v>
      </c>
      <c r="CF287">
        <v>175.3</v>
      </c>
      <c r="CG287">
        <v>16.7</v>
      </c>
      <c r="CH287">
        <v>251</v>
      </c>
      <c r="CI287">
        <v>0.97</v>
      </c>
      <c r="CJ287">
        <v>1.2</v>
      </c>
      <c r="CK287">
        <v>2</v>
      </c>
      <c r="CL287" s="42" t="str">
        <f t="shared" si="53"/>
        <v>1</v>
      </c>
      <c r="CM287" s="4">
        <v>61.666666666666664</v>
      </c>
      <c r="CN287" s="4">
        <f t="shared" si="52"/>
        <v>2.4933333333333336</v>
      </c>
      <c r="CO287">
        <v>7</v>
      </c>
      <c r="CP287" s="42" t="str">
        <f t="shared" si="54"/>
        <v>1</v>
      </c>
      <c r="CQ287" s="4">
        <v>124.66666666666667</v>
      </c>
      <c r="CR287" s="4">
        <v>1.4876543209876543</v>
      </c>
      <c r="CS287" s="43" t="str">
        <f t="shared" si="55"/>
        <v>2</v>
      </c>
      <c r="CT287" s="4">
        <f t="shared" si="56"/>
        <v>186.33333333333334</v>
      </c>
      <c r="CU287" s="4">
        <f t="shared" si="57"/>
        <v>3.9809876543209879</v>
      </c>
      <c r="CV287" s="4">
        <v>4</v>
      </c>
    </row>
    <row r="288" spans="1:100" x14ac:dyDescent="0.3">
      <c r="A288" s="8" t="s">
        <v>350</v>
      </c>
      <c r="B288" s="18">
        <v>1</v>
      </c>
      <c r="C288">
        <v>45</v>
      </c>
      <c r="D288">
        <v>0</v>
      </c>
      <c r="E288">
        <v>1</v>
      </c>
      <c r="F288">
        <v>1</v>
      </c>
      <c r="G288">
        <v>0</v>
      </c>
      <c r="H288">
        <v>0</v>
      </c>
      <c r="I288">
        <v>1</v>
      </c>
      <c r="J288">
        <v>66.7</v>
      </c>
      <c r="K288">
        <v>1.4850000000000001</v>
      </c>
      <c r="L288">
        <f t="shared" si="50"/>
        <v>148.5</v>
      </c>
      <c r="M288" s="82">
        <v>28.3475</v>
      </c>
      <c r="N288" s="4">
        <v>36.200000000000003</v>
      </c>
      <c r="O288" s="4">
        <v>42.5</v>
      </c>
      <c r="P288" s="39">
        <v>1</v>
      </c>
      <c r="Q288">
        <v>89.4</v>
      </c>
      <c r="R288" s="40">
        <v>1</v>
      </c>
      <c r="S288">
        <v>98.5</v>
      </c>
      <c r="T288" s="5">
        <v>0.90761421319796964</v>
      </c>
      <c r="U288" s="39">
        <v>1</v>
      </c>
      <c r="V288" s="4">
        <v>30.246346744663239</v>
      </c>
      <c r="W288" s="37">
        <v>1</v>
      </c>
      <c r="X288" s="4">
        <v>10</v>
      </c>
      <c r="Y288" s="40">
        <v>1</v>
      </c>
      <c r="Z288" s="5">
        <v>13.076000000000001</v>
      </c>
      <c r="AA288" s="5">
        <v>2.801169777777778</v>
      </c>
      <c r="AB288" s="85">
        <v>0</v>
      </c>
      <c r="AC288" s="5">
        <v>4.82</v>
      </c>
      <c r="AD288" s="37">
        <v>0</v>
      </c>
      <c r="AE288">
        <v>19.739999999999998</v>
      </c>
      <c r="AF288" s="5">
        <v>5.97</v>
      </c>
      <c r="AG288" s="37">
        <v>1</v>
      </c>
      <c r="AH288" s="5">
        <v>0.98</v>
      </c>
      <c r="AI288" s="1">
        <v>1</v>
      </c>
      <c r="AJ288" s="13">
        <v>4.04</v>
      </c>
      <c r="AK288" s="1">
        <v>0</v>
      </c>
      <c r="AL288" s="13">
        <v>1.49</v>
      </c>
      <c r="AM288" s="1">
        <v>0</v>
      </c>
      <c r="AN288" s="82">
        <f t="shared" si="51"/>
        <v>4.0067114093959733</v>
      </c>
      <c r="AO288" s="1">
        <v>1</v>
      </c>
      <c r="AP288">
        <v>137</v>
      </c>
      <c r="AQ288" s="37">
        <v>1</v>
      </c>
      <c r="AR288">
        <v>84</v>
      </c>
      <c r="AS288" s="37">
        <v>0</v>
      </c>
      <c r="AT288">
        <v>83</v>
      </c>
      <c r="AU288">
        <v>53</v>
      </c>
      <c r="AV288">
        <v>6.9</v>
      </c>
      <c r="AW288">
        <v>1</v>
      </c>
      <c r="AX288">
        <v>1246</v>
      </c>
      <c r="AY288">
        <v>37.9</v>
      </c>
      <c r="AZ288">
        <v>39</v>
      </c>
      <c r="BA288">
        <v>197.9</v>
      </c>
      <c r="BB288">
        <v>7.8</v>
      </c>
      <c r="BC288">
        <v>141.6</v>
      </c>
      <c r="BD288">
        <v>48.2</v>
      </c>
      <c r="BE288">
        <v>25.4</v>
      </c>
      <c r="BF288">
        <v>50.3</v>
      </c>
      <c r="BG288">
        <v>28.2</v>
      </c>
      <c r="BH288">
        <v>12.2</v>
      </c>
      <c r="BI288">
        <v>59.6</v>
      </c>
      <c r="BJ288">
        <v>19.899999999999999</v>
      </c>
      <c r="BK288">
        <v>7.7</v>
      </c>
      <c r="BL288">
        <v>27.6</v>
      </c>
      <c r="BM288">
        <v>4.5999999999999996</v>
      </c>
      <c r="BN288">
        <v>1.5</v>
      </c>
      <c r="BO288">
        <v>1.1299999999999999</v>
      </c>
      <c r="BP288">
        <v>0.27</v>
      </c>
      <c r="BQ288">
        <v>0.35</v>
      </c>
      <c r="BR288">
        <v>509</v>
      </c>
      <c r="BS288">
        <v>135.6</v>
      </c>
      <c r="BT288">
        <v>2429</v>
      </c>
      <c r="BU288">
        <v>1204</v>
      </c>
      <c r="BV288">
        <v>5.75</v>
      </c>
      <c r="BW288">
        <v>3.55</v>
      </c>
      <c r="BX288">
        <v>0.74</v>
      </c>
      <c r="BY288">
        <v>28.7</v>
      </c>
      <c r="BZ288">
        <v>48.7</v>
      </c>
      <c r="CA288">
        <v>0.77</v>
      </c>
      <c r="CB288">
        <v>1.27</v>
      </c>
      <c r="CC288">
        <v>12.1</v>
      </c>
      <c r="CD288">
        <v>0.63</v>
      </c>
      <c r="CE288">
        <v>2.1</v>
      </c>
      <c r="CF288">
        <v>94</v>
      </c>
      <c r="CG288">
        <v>8</v>
      </c>
      <c r="CH288">
        <v>212</v>
      </c>
      <c r="CI288">
        <v>2.08</v>
      </c>
      <c r="CJ288">
        <v>1.1000000000000001</v>
      </c>
      <c r="CK288">
        <v>0</v>
      </c>
      <c r="CL288" s="42" t="str">
        <f t="shared" si="53"/>
        <v>1</v>
      </c>
      <c r="CM288" s="4">
        <v>0</v>
      </c>
      <c r="CN288" s="4">
        <f t="shared" si="52"/>
        <v>1.2266666666666668</v>
      </c>
      <c r="CO288">
        <v>4</v>
      </c>
      <c r="CP288" s="42" t="str">
        <f t="shared" si="54"/>
        <v>1</v>
      </c>
      <c r="CQ288" s="4">
        <v>61.333333333333336</v>
      </c>
      <c r="CR288" s="4">
        <v>1.728395061728395</v>
      </c>
      <c r="CS288" s="43" t="str">
        <f t="shared" si="55"/>
        <v>1</v>
      </c>
      <c r="CT288" s="4">
        <f t="shared" si="56"/>
        <v>61.333333333333336</v>
      </c>
      <c r="CU288" s="4">
        <f t="shared" si="57"/>
        <v>2.9550617283950618</v>
      </c>
      <c r="CV288" s="4">
        <v>3</v>
      </c>
    </row>
    <row r="289" spans="1:100" x14ac:dyDescent="0.3">
      <c r="A289" s="8" t="s">
        <v>349</v>
      </c>
      <c r="B289" s="18">
        <v>1</v>
      </c>
      <c r="C289">
        <v>40</v>
      </c>
      <c r="D289">
        <v>2</v>
      </c>
      <c r="E289">
        <v>2</v>
      </c>
      <c r="F289">
        <v>0</v>
      </c>
      <c r="G289">
        <v>0</v>
      </c>
      <c r="H289">
        <v>0</v>
      </c>
      <c r="I289">
        <v>1</v>
      </c>
      <c r="J289">
        <v>49.3</v>
      </c>
      <c r="K289">
        <v>1.56</v>
      </c>
      <c r="L289">
        <f t="shared" si="50"/>
        <v>156</v>
      </c>
      <c r="M289" s="82">
        <v>14.937899999999999</v>
      </c>
      <c r="N289" s="4">
        <v>32.5</v>
      </c>
      <c r="O289" s="4">
        <v>30.3</v>
      </c>
      <c r="P289" s="39">
        <v>0</v>
      </c>
      <c r="Q289">
        <v>73</v>
      </c>
      <c r="R289" s="40">
        <v>0</v>
      </c>
      <c r="S289">
        <v>91</v>
      </c>
      <c r="T289" s="5">
        <v>0.80219780219780223</v>
      </c>
      <c r="U289" s="39">
        <v>0</v>
      </c>
      <c r="V289" s="4">
        <v>20.258053911900063</v>
      </c>
      <c r="W289" s="37">
        <v>0</v>
      </c>
      <c r="X289" s="4">
        <v>3</v>
      </c>
      <c r="Y289" s="40">
        <v>0</v>
      </c>
      <c r="Z289" s="5">
        <v>10.015000000000001</v>
      </c>
      <c r="AA289" s="5">
        <v>1.8828200000000004</v>
      </c>
      <c r="AB289" s="85">
        <v>0</v>
      </c>
      <c r="AC289" s="5">
        <v>4.2300000000000004</v>
      </c>
      <c r="AD289" s="37">
        <v>0</v>
      </c>
      <c r="AE289">
        <v>17.82</v>
      </c>
      <c r="AF289" s="5">
        <v>6.72</v>
      </c>
      <c r="AG289" s="37">
        <v>1</v>
      </c>
      <c r="AH289" s="5">
        <v>0.73</v>
      </c>
      <c r="AI289" s="1">
        <v>1</v>
      </c>
      <c r="AJ289" s="13">
        <v>5.16</v>
      </c>
      <c r="AK289" s="1">
        <v>1</v>
      </c>
      <c r="AL289" s="13">
        <v>1.23</v>
      </c>
      <c r="AM289" s="1">
        <v>1</v>
      </c>
      <c r="AN289" s="82">
        <f t="shared" si="51"/>
        <v>5.463414634146341</v>
      </c>
      <c r="AO289" s="1">
        <v>1</v>
      </c>
      <c r="AP289">
        <v>119</v>
      </c>
      <c r="AQ289" s="37">
        <v>0</v>
      </c>
      <c r="AR289">
        <v>81</v>
      </c>
      <c r="AS289" s="37">
        <v>0</v>
      </c>
      <c r="AT289">
        <v>75</v>
      </c>
      <c r="AU289">
        <v>38</v>
      </c>
      <c r="AV289">
        <v>6</v>
      </c>
      <c r="AW289">
        <v>1</v>
      </c>
      <c r="AX289">
        <v>1567</v>
      </c>
      <c r="AY289">
        <v>44.5</v>
      </c>
      <c r="AZ289">
        <v>48.5</v>
      </c>
      <c r="BA289">
        <v>253.7</v>
      </c>
      <c r="BB289">
        <v>10.199999999999999</v>
      </c>
      <c r="BC289">
        <v>190.9</v>
      </c>
      <c r="BD289">
        <v>53.4</v>
      </c>
      <c r="BE289">
        <v>46.2</v>
      </c>
      <c r="BF289">
        <v>147.69999999999999</v>
      </c>
      <c r="BG289">
        <v>27.8</v>
      </c>
      <c r="BH289">
        <v>11.4</v>
      </c>
      <c r="BI289">
        <v>60.7</v>
      </c>
      <c r="BJ289">
        <v>18.5</v>
      </c>
      <c r="BK289">
        <v>11.1</v>
      </c>
      <c r="BL289">
        <v>32.1</v>
      </c>
      <c r="BM289">
        <v>5.7</v>
      </c>
      <c r="BN289">
        <v>2.4</v>
      </c>
      <c r="BO289">
        <v>1.74</v>
      </c>
      <c r="BP289">
        <v>0.45</v>
      </c>
      <c r="BQ289">
        <v>0.09</v>
      </c>
      <c r="BR289">
        <v>249</v>
      </c>
      <c r="BS289">
        <v>141</v>
      </c>
      <c r="BT289">
        <v>2781</v>
      </c>
      <c r="BU289">
        <v>1272</v>
      </c>
      <c r="BV289">
        <v>8.2100000000000009</v>
      </c>
      <c r="BW289">
        <v>3.93</v>
      </c>
      <c r="BX289">
        <v>1.2</v>
      </c>
      <c r="BY289">
        <v>34.299999999999997</v>
      </c>
      <c r="BZ289">
        <v>37.4</v>
      </c>
      <c r="CA289">
        <v>5.49</v>
      </c>
      <c r="CB289">
        <v>5.7</v>
      </c>
      <c r="CC289">
        <v>10.8</v>
      </c>
      <c r="CD289">
        <v>0.49</v>
      </c>
      <c r="CE289">
        <v>2.83</v>
      </c>
      <c r="CF289">
        <v>128.9</v>
      </c>
      <c r="CG289">
        <v>9.5</v>
      </c>
      <c r="CH289">
        <v>354</v>
      </c>
      <c r="CI289">
        <v>4.38</v>
      </c>
      <c r="CJ289">
        <v>20.9</v>
      </c>
      <c r="CK289">
        <v>0</v>
      </c>
      <c r="CL289" s="42" t="str">
        <f t="shared" si="53"/>
        <v>1</v>
      </c>
      <c r="CM289" s="4">
        <v>0</v>
      </c>
      <c r="CN289" s="4">
        <f t="shared" si="52"/>
        <v>0.69333333333333325</v>
      </c>
      <c r="CO289">
        <v>4</v>
      </c>
      <c r="CP289" s="42" t="str">
        <f t="shared" si="54"/>
        <v>1</v>
      </c>
      <c r="CQ289" s="4">
        <v>34.666666666666664</v>
      </c>
      <c r="CR289" s="4">
        <v>1.1851851851851851</v>
      </c>
      <c r="CS289" s="43" t="str">
        <f t="shared" si="55"/>
        <v>1</v>
      </c>
      <c r="CT289" s="4">
        <f t="shared" si="56"/>
        <v>34.666666666666664</v>
      </c>
      <c r="CU289" s="4">
        <f t="shared" si="57"/>
        <v>1.8785185185185185</v>
      </c>
      <c r="CV289" s="4">
        <v>1</v>
      </c>
    </row>
    <row r="290" spans="1:100" x14ac:dyDescent="0.3">
      <c r="A290" s="8" t="s">
        <v>348</v>
      </c>
      <c r="B290" s="18">
        <v>1</v>
      </c>
      <c r="C290">
        <v>36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66</v>
      </c>
      <c r="K290">
        <v>1.49</v>
      </c>
      <c r="L290">
        <f t="shared" si="50"/>
        <v>149</v>
      </c>
      <c r="M290" s="82">
        <v>28.512000000000004</v>
      </c>
      <c r="N290" s="4">
        <v>35.4</v>
      </c>
      <c r="O290" s="4">
        <v>43.2</v>
      </c>
      <c r="P290" s="39">
        <v>1</v>
      </c>
      <c r="Q290">
        <v>92</v>
      </c>
      <c r="R290" s="40">
        <v>1</v>
      </c>
      <c r="S290">
        <v>106</v>
      </c>
      <c r="T290" s="5">
        <v>0.86792452830188682</v>
      </c>
      <c r="U290" s="39">
        <v>0</v>
      </c>
      <c r="V290" s="4">
        <v>29.728390613035451</v>
      </c>
      <c r="W290" s="37">
        <v>1</v>
      </c>
      <c r="X290" s="4">
        <v>9</v>
      </c>
      <c r="Y290" s="40">
        <v>0</v>
      </c>
      <c r="Z290" s="5">
        <v>24.503</v>
      </c>
      <c r="AA290" s="5">
        <v>5.3253186666666661</v>
      </c>
      <c r="AB290" s="85">
        <v>1</v>
      </c>
      <c r="AC290" s="5">
        <v>4.8899999999999997</v>
      </c>
      <c r="AD290" s="37">
        <v>0</v>
      </c>
      <c r="AE290">
        <v>3</v>
      </c>
      <c r="AF290" s="5">
        <v>6.57</v>
      </c>
      <c r="AG290" s="37">
        <v>1</v>
      </c>
      <c r="AH290" s="5">
        <v>2.56</v>
      </c>
      <c r="AI290" s="1">
        <v>1</v>
      </c>
      <c r="AJ290" s="13">
        <v>3.88</v>
      </c>
      <c r="AK290" s="1">
        <v>0</v>
      </c>
      <c r="AL290" s="13">
        <v>1.52</v>
      </c>
      <c r="AM290" s="1">
        <v>0</v>
      </c>
      <c r="AN290" s="82">
        <f t="shared" si="51"/>
        <v>4.3223684210526319</v>
      </c>
      <c r="AO290" s="1">
        <v>1</v>
      </c>
      <c r="AP290">
        <v>116</v>
      </c>
      <c r="AQ290" s="37">
        <v>0</v>
      </c>
      <c r="AR290">
        <v>84</v>
      </c>
      <c r="AS290" s="37">
        <v>0</v>
      </c>
      <c r="AT290">
        <v>76</v>
      </c>
      <c r="AU290">
        <v>31</v>
      </c>
      <c r="AV290">
        <v>5.5</v>
      </c>
      <c r="AW290">
        <v>1</v>
      </c>
      <c r="AX290">
        <v>1626</v>
      </c>
      <c r="AY290">
        <v>44.4</v>
      </c>
      <c r="AZ290">
        <v>57.3</v>
      </c>
      <c r="BA290">
        <v>247.8</v>
      </c>
      <c r="BB290">
        <v>10</v>
      </c>
      <c r="BC290">
        <v>177.7</v>
      </c>
      <c r="BD290">
        <v>56.1</v>
      </c>
      <c r="BE290">
        <v>42.2</v>
      </c>
      <c r="BF290">
        <v>40.6</v>
      </c>
      <c r="BG290">
        <v>31.7</v>
      </c>
      <c r="BH290">
        <v>10.9</v>
      </c>
      <c r="BI290">
        <v>57.2</v>
      </c>
      <c r="BJ290">
        <v>22.7</v>
      </c>
      <c r="BK290">
        <v>9.6999999999999993</v>
      </c>
      <c r="BL290">
        <v>41</v>
      </c>
      <c r="BM290">
        <v>7.4</v>
      </c>
      <c r="BN290">
        <v>3.1</v>
      </c>
      <c r="BO290">
        <v>2.73</v>
      </c>
      <c r="BP290">
        <v>0.2</v>
      </c>
      <c r="BQ290">
        <v>0.34</v>
      </c>
      <c r="BR290">
        <v>356</v>
      </c>
      <c r="BS290">
        <v>191.7</v>
      </c>
      <c r="BT290">
        <v>3106</v>
      </c>
      <c r="BU290">
        <v>1722</v>
      </c>
      <c r="BV290">
        <v>9.99</v>
      </c>
      <c r="BW290">
        <v>5.42</v>
      </c>
      <c r="BX290">
        <v>1.42</v>
      </c>
      <c r="BY290">
        <v>16.7</v>
      </c>
      <c r="BZ290">
        <v>43.4</v>
      </c>
      <c r="CA290">
        <v>0.63</v>
      </c>
      <c r="CB290">
        <v>0.76</v>
      </c>
      <c r="CC290">
        <v>13.2</v>
      </c>
      <c r="CD290">
        <v>0.82</v>
      </c>
      <c r="CE290">
        <v>1.23</v>
      </c>
      <c r="CF290">
        <v>219.1</v>
      </c>
      <c r="CG290">
        <v>9.5</v>
      </c>
      <c r="CH290">
        <v>201</v>
      </c>
      <c r="CI290">
        <v>1.0900000000000001</v>
      </c>
      <c r="CJ290">
        <v>2.2999999999999998</v>
      </c>
      <c r="CK290">
        <v>0</v>
      </c>
      <c r="CL290" s="42" t="str">
        <f t="shared" si="53"/>
        <v>1</v>
      </c>
      <c r="CM290" s="4">
        <v>0</v>
      </c>
      <c r="CN290" s="4">
        <f t="shared" si="52"/>
        <v>1.58</v>
      </c>
      <c r="CO290">
        <v>2</v>
      </c>
      <c r="CP290" s="42" t="str">
        <f t="shared" si="54"/>
        <v>1</v>
      </c>
      <c r="CQ290" s="4">
        <v>79</v>
      </c>
      <c r="CR290" s="4">
        <v>0.39506172839506171</v>
      </c>
      <c r="CS290" s="43" t="str">
        <f t="shared" si="55"/>
        <v>1</v>
      </c>
      <c r="CT290" s="4">
        <f t="shared" si="56"/>
        <v>79</v>
      </c>
      <c r="CU290" s="4">
        <f t="shared" si="57"/>
        <v>1.9750617283950618</v>
      </c>
      <c r="CV290" s="4">
        <v>2</v>
      </c>
    </row>
    <row r="291" spans="1:100" x14ac:dyDescent="0.3">
      <c r="A291" s="8" t="s">
        <v>347</v>
      </c>
      <c r="B291" s="18">
        <v>1</v>
      </c>
      <c r="C291">
        <v>34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1</v>
      </c>
      <c r="J291">
        <v>54.3</v>
      </c>
      <c r="K291">
        <v>1.554</v>
      </c>
      <c r="L291">
        <f t="shared" si="50"/>
        <v>155.4</v>
      </c>
      <c r="M291" s="82">
        <v>17.375999999999998</v>
      </c>
      <c r="N291">
        <v>34.799999999999997</v>
      </c>
      <c r="O291" s="4">
        <v>32</v>
      </c>
      <c r="P291" s="39">
        <v>0</v>
      </c>
      <c r="Q291">
        <v>74</v>
      </c>
      <c r="R291" s="40">
        <v>0</v>
      </c>
      <c r="S291">
        <v>98</v>
      </c>
      <c r="T291" s="5">
        <v>0.75510204081632648</v>
      </c>
      <c r="U291" s="39">
        <v>0</v>
      </c>
      <c r="V291" s="4">
        <v>22.485254145485801</v>
      </c>
      <c r="W291" s="37">
        <v>0</v>
      </c>
      <c r="X291" s="4">
        <v>4</v>
      </c>
      <c r="Y291" s="40">
        <v>0</v>
      </c>
      <c r="Z291" s="5">
        <v>7.1349999999999998</v>
      </c>
      <c r="AA291" s="5">
        <v>1.395288888888889</v>
      </c>
      <c r="AB291" s="85">
        <v>0</v>
      </c>
      <c r="AC291" s="5">
        <v>4.4000000000000004</v>
      </c>
      <c r="AD291" s="37">
        <v>0</v>
      </c>
      <c r="AE291">
        <v>3</v>
      </c>
      <c r="AF291" s="5">
        <v>5.22</v>
      </c>
      <c r="AG291" s="37">
        <v>1</v>
      </c>
      <c r="AH291" s="5">
        <v>1.01</v>
      </c>
      <c r="AI291" s="1">
        <v>0</v>
      </c>
      <c r="AJ291" s="13">
        <v>3.06</v>
      </c>
      <c r="AK291" s="1">
        <v>0</v>
      </c>
      <c r="AL291" s="13">
        <v>1.7</v>
      </c>
      <c r="AM291" s="1">
        <v>0</v>
      </c>
      <c r="AN291" s="82">
        <f t="shared" si="51"/>
        <v>3.0705882352941174</v>
      </c>
      <c r="AO291" s="1">
        <v>0</v>
      </c>
      <c r="AP291">
        <v>108</v>
      </c>
      <c r="AQ291" s="37">
        <v>0</v>
      </c>
      <c r="AR291">
        <v>64</v>
      </c>
      <c r="AS291" s="37">
        <v>0</v>
      </c>
      <c r="AT291">
        <v>70</v>
      </c>
      <c r="AU291">
        <v>44</v>
      </c>
      <c r="AV291">
        <v>5.2</v>
      </c>
      <c r="AW291">
        <v>1</v>
      </c>
      <c r="AX291">
        <v>1712</v>
      </c>
      <c r="AY291">
        <v>43.9</v>
      </c>
      <c r="AZ291">
        <v>51.7</v>
      </c>
      <c r="BA291">
        <v>285.60000000000002</v>
      </c>
      <c r="BB291">
        <v>11.3</v>
      </c>
      <c r="BC291">
        <v>208.3</v>
      </c>
      <c r="BD291">
        <v>68.5</v>
      </c>
      <c r="BE291">
        <v>59.1</v>
      </c>
      <c r="BF291">
        <v>47.4</v>
      </c>
      <c r="BG291">
        <v>27.2</v>
      </c>
      <c r="BH291">
        <v>10.199999999999999</v>
      </c>
      <c r="BI291">
        <v>62.6</v>
      </c>
      <c r="BJ291">
        <v>19.5</v>
      </c>
      <c r="BK291">
        <v>12.9</v>
      </c>
      <c r="BL291">
        <v>37</v>
      </c>
      <c r="BM291">
        <v>6</v>
      </c>
      <c r="BN291">
        <v>2.6</v>
      </c>
      <c r="BO291">
        <v>2.0099999999999998</v>
      </c>
      <c r="BP291">
        <v>0.46</v>
      </c>
      <c r="BQ291">
        <v>0</v>
      </c>
      <c r="BR291">
        <v>256</v>
      </c>
      <c r="BS291">
        <v>171.8</v>
      </c>
      <c r="BT291">
        <v>3380</v>
      </c>
      <c r="BU291">
        <v>1633</v>
      </c>
      <c r="BV291">
        <v>10.65</v>
      </c>
      <c r="BW291">
        <v>4.99</v>
      </c>
      <c r="BX291">
        <v>1.24</v>
      </c>
      <c r="BY291">
        <v>31.2</v>
      </c>
      <c r="BZ291">
        <v>34.299999999999997</v>
      </c>
      <c r="CA291">
        <v>0.75</v>
      </c>
      <c r="CB291">
        <v>0.8</v>
      </c>
      <c r="CC291">
        <v>13.9</v>
      </c>
      <c r="CD291">
        <v>0.7</v>
      </c>
      <c r="CE291">
        <v>2.15</v>
      </c>
      <c r="CF291">
        <v>198.3</v>
      </c>
      <c r="CG291">
        <v>20.100000000000001</v>
      </c>
      <c r="CH291">
        <v>297</v>
      </c>
      <c r="CI291">
        <v>2.99</v>
      </c>
      <c r="CJ291">
        <v>1.8</v>
      </c>
      <c r="CK291">
        <v>0</v>
      </c>
      <c r="CL291" s="42" t="str">
        <f t="shared" si="53"/>
        <v>1</v>
      </c>
      <c r="CM291" s="4">
        <v>0</v>
      </c>
      <c r="CN291" s="4">
        <f t="shared" si="52"/>
        <v>1.2866666666666666</v>
      </c>
      <c r="CO291">
        <v>4</v>
      </c>
      <c r="CP291" s="42" t="str">
        <f t="shared" si="54"/>
        <v>1</v>
      </c>
      <c r="CQ291" s="4">
        <v>64.333333333333329</v>
      </c>
      <c r="CR291" s="4">
        <v>2.1790123456790127</v>
      </c>
      <c r="CS291" s="43" t="str">
        <f t="shared" si="55"/>
        <v>1</v>
      </c>
      <c r="CT291" s="4">
        <f t="shared" si="56"/>
        <v>64.333333333333329</v>
      </c>
      <c r="CU291" s="4">
        <f t="shared" si="57"/>
        <v>3.4656790123456793</v>
      </c>
      <c r="CV291" s="4">
        <v>3</v>
      </c>
    </row>
    <row r="292" spans="1:100" x14ac:dyDescent="0.3">
      <c r="A292" s="8" t="s">
        <v>346</v>
      </c>
      <c r="B292" s="18">
        <v>1</v>
      </c>
      <c r="C292">
        <v>58</v>
      </c>
      <c r="D292">
        <v>2</v>
      </c>
      <c r="E292">
        <v>2</v>
      </c>
      <c r="F292">
        <v>1</v>
      </c>
      <c r="G292">
        <v>0</v>
      </c>
      <c r="H292">
        <v>0</v>
      </c>
      <c r="I292">
        <v>1</v>
      </c>
      <c r="J292">
        <v>65.2</v>
      </c>
      <c r="K292">
        <v>1.538</v>
      </c>
      <c r="L292">
        <f t="shared" si="50"/>
        <v>153.80000000000001</v>
      </c>
      <c r="M292" s="82">
        <v>25.884400000000007</v>
      </c>
      <c r="N292" s="4">
        <v>37.1</v>
      </c>
      <c r="O292" s="4">
        <v>39.700000000000003</v>
      </c>
      <c r="P292" s="39">
        <v>1</v>
      </c>
      <c r="Q292">
        <v>100</v>
      </c>
      <c r="R292" s="40">
        <v>1</v>
      </c>
      <c r="S292">
        <v>105</v>
      </c>
      <c r="T292" s="5">
        <v>0.95238095238095233</v>
      </c>
      <c r="U292" s="39">
        <v>1</v>
      </c>
      <c r="V292" s="4">
        <v>27.563535640666192</v>
      </c>
      <c r="W292" s="37">
        <v>1</v>
      </c>
      <c r="X292" s="4">
        <v>9</v>
      </c>
      <c r="Y292" s="40">
        <v>0</v>
      </c>
      <c r="Z292" s="5">
        <v>11.180999999999999</v>
      </c>
      <c r="AA292" s="5">
        <v>1.9032546666666665</v>
      </c>
      <c r="AB292" s="85">
        <v>0</v>
      </c>
      <c r="AC292" s="5">
        <v>3.83</v>
      </c>
      <c r="AD292" s="37">
        <v>0</v>
      </c>
      <c r="AE292">
        <v>10</v>
      </c>
      <c r="AF292" s="5">
        <v>6.48</v>
      </c>
      <c r="AG292" s="37">
        <v>1</v>
      </c>
      <c r="AH292" s="5">
        <v>1.1399999999999999</v>
      </c>
      <c r="AI292" s="1">
        <v>1</v>
      </c>
      <c r="AJ292" s="13">
        <v>4.3899999999999997</v>
      </c>
      <c r="AK292" s="1">
        <v>0</v>
      </c>
      <c r="AL292" s="13">
        <v>1.59</v>
      </c>
      <c r="AM292" s="1">
        <v>0</v>
      </c>
      <c r="AN292" s="82">
        <f t="shared" si="51"/>
        <v>4.0754716981132075</v>
      </c>
      <c r="AO292" s="1">
        <v>1</v>
      </c>
      <c r="AP292">
        <v>138</v>
      </c>
      <c r="AQ292" s="37">
        <v>1</v>
      </c>
      <c r="AR292">
        <v>81</v>
      </c>
      <c r="AS292" s="37">
        <v>0</v>
      </c>
      <c r="AT292">
        <v>81</v>
      </c>
      <c r="AU292">
        <v>57</v>
      </c>
      <c r="AV292">
        <v>8.8000000000000007</v>
      </c>
      <c r="AW292">
        <v>1</v>
      </c>
      <c r="AX292">
        <v>1047</v>
      </c>
      <c r="AY292">
        <v>28.6</v>
      </c>
      <c r="AZ292">
        <v>37.299999999999997</v>
      </c>
      <c r="BA292">
        <v>158.30000000000001</v>
      </c>
      <c r="BB292">
        <v>8</v>
      </c>
      <c r="BC292">
        <v>134.4</v>
      </c>
      <c r="BD292">
        <v>12.7</v>
      </c>
      <c r="BE292">
        <v>7.2</v>
      </c>
      <c r="BF292">
        <v>73.400000000000006</v>
      </c>
      <c r="BG292">
        <v>32.1</v>
      </c>
      <c r="BH292">
        <v>10.9</v>
      </c>
      <c r="BI292">
        <v>56.7</v>
      </c>
      <c r="BJ292">
        <v>22.2</v>
      </c>
      <c r="BK292">
        <v>2.6</v>
      </c>
      <c r="BL292">
        <v>25.8</v>
      </c>
      <c r="BM292">
        <v>3.3</v>
      </c>
      <c r="BN292">
        <v>1.3</v>
      </c>
      <c r="BO292">
        <v>0.84</v>
      </c>
      <c r="BP292">
        <v>0.42</v>
      </c>
      <c r="BQ292">
        <v>0</v>
      </c>
      <c r="BR292">
        <v>336</v>
      </c>
      <c r="BS292">
        <v>190.9</v>
      </c>
      <c r="BT292">
        <v>36552</v>
      </c>
      <c r="BU292">
        <v>1177</v>
      </c>
      <c r="BV292">
        <v>12.16</v>
      </c>
      <c r="BW292">
        <v>4.25</v>
      </c>
      <c r="BX292">
        <v>0.98</v>
      </c>
      <c r="BY292">
        <v>15.5</v>
      </c>
      <c r="BZ292">
        <v>60</v>
      </c>
      <c r="CA292">
        <v>40.82</v>
      </c>
      <c r="CB292">
        <v>41.87</v>
      </c>
      <c r="CC292">
        <v>6.2</v>
      </c>
      <c r="CD292">
        <v>0.33</v>
      </c>
      <c r="CE292">
        <v>2.31</v>
      </c>
      <c r="CF292">
        <v>82.9</v>
      </c>
      <c r="CG292">
        <v>15.5</v>
      </c>
      <c r="CH292">
        <v>696</v>
      </c>
      <c r="CI292">
        <v>8.34</v>
      </c>
      <c r="CJ292">
        <v>233.1</v>
      </c>
      <c r="CK292">
        <v>0</v>
      </c>
      <c r="CL292" s="42" t="str">
        <f t="shared" si="53"/>
        <v>1</v>
      </c>
      <c r="CM292" s="4">
        <v>0</v>
      </c>
      <c r="CN292" s="4">
        <f t="shared" si="52"/>
        <v>2.6333333333333333</v>
      </c>
      <c r="CO292">
        <v>9</v>
      </c>
      <c r="CP292" s="42" t="str">
        <f t="shared" si="54"/>
        <v>1</v>
      </c>
      <c r="CQ292" s="4">
        <v>131.66666666666666</v>
      </c>
      <c r="CR292" s="4">
        <v>4.3814814814814813</v>
      </c>
      <c r="CS292" s="43" t="str">
        <f t="shared" si="55"/>
        <v>1</v>
      </c>
      <c r="CT292" s="4">
        <f t="shared" si="56"/>
        <v>131.66666666666666</v>
      </c>
      <c r="CU292" s="4">
        <f t="shared" si="57"/>
        <v>7.0148148148148142</v>
      </c>
      <c r="CV292" s="4">
        <v>4</v>
      </c>
    </row>
    <row r="293" spans="1:100" x14ac:dyDescent="0.3">
      <c r="A293" s="8" t="s">
        <v>345</v>
      </c>
      <c r="B293" s="18">
        <v>1</v>
      </c>
      <c r="C293">
        <v>31</v>
      </c>
      <c r="D293">
        <v>1</v>
      </c>
      <c r="E293">
        <v>3</v>
      </c>
      <c r="F293">
        <v>0</v>
      </c>
      <c r="G293">
        <v>0</v>
      </c>
      <c r="H293">
        <v>0</v>
      </c>
      <c r="I293">
        <v>1</v>
      </c>
      <c r="J293">
        <v>62.6</v>
      </c>
      <c r="K293">
        <v>1.605</v>
      </c>
      <c r="L293">
        <f t="shared" si="50"/>
        <v>160.5</v>
      </c>
      <c r="M293" s="82">
        <v>21.847399999999997</v>
      </c>
      <c r="N293" s="4">
        <v>38.5</v>
      </c>
      <c r="O293" s="4">
        <v>34.9</v>
      </c>
      <c r="P293" s="39">
        <v>1</v>
      </c>
      <c r="Q293">
        <v>87</v>
      </c>
      <c r="R293" s="40">
        <v>1</v>
      </c>
      <c r="S293">
        <v>100</v>
      </c>
      <c r="T293" s="5">
        <v>0.87</v>
      </c>
      <c r="U293" s="39">
        <v>0</v>
      </c>
      <c r="V293" s="4">
        <v>24.301006395512466</v>
      </c>
      <c r="W293" s="37">
        <v>1</v>
      </c>
      <c r="X293" s="4">
        <v>6</v>
      </c>
      <c r="Y293" s="40">
        <v>0</v>
      </c>
      <c r="Z293" s="5">
        <v>11.436</v>
      </c>
      <c r="AA293" s="5">
        <v>1.9924053333333331</v>
      </c>
      <c r="AB293" s="85">
        <v>0</v>
      </c>
      <c r="AC293" s="5">
        <v>3.92</v>
      </c>
      <c r="AD293" s="37">
        <v>0</v>
      </c>
      <c r="AE293">
        <v>16.309999999999999</v>
      </c>
      <c r="AF293" s="5">
        <v>4.9800000000000004</v>
      </c>
      <c r="AG293" s="37">
        <v>1</v>
      </c>
      <c r="AH293" s="5">
        <v>1.17</v>
      </c>
      <c r="AI293" s="1">
        <v>1</v>
      </c>
      <c r="AJ293" s="13">
        <v>3.46</v>
      </c>
      <c r="AK293" s="1">
        <v>1</v>
      </c>
      <c r="AL293" s="13">
        <v>0.99</v>
      </c>
      <c r="AM293" s="1">
        <v>1</v>
      </c>
      <c r="AN293" s="82">
        <f t="shared" si="51"/>
        <v>5.0303030303030312</v>
      </c>
      <c r="AO293" s="1">
        <v>1</v>
      </c>
      <c r="AP293">
        <v>106</v>
      </c>
      <c r="AQ293" s="37">
        <v>0</v>
      </c>
      <c r="AR293">
        <v>64</v>
      </c>
      <c r="AS293" s="37">
        <v>0</v>
      </c>
      <c r="AT293">
        <v>64</v>
      </c>
      <c r="AU293">
        <v>42</v>
      </c>
      <c r="AV293">
        <v>5</v>
      </c>
      <c r="AW293">
        <v>1</v>
      </c>
      <c r="AX293">
        <v>1512</v>
      </c>
      <c r="AY293">
        <v>75.7</v>
      </c>
      <c r="AZ293">
        <v>51.1</v>
      </c>
      <c r="BA293">
        <v>229.7</v>
      </c>
      <c r="BB293">
        <v>7.8</v>
      </c>
      <c r="BC293">
        <v>143.69999999999999</v>
      </c>
      <c r="BD293">
        <v>55.6</v>
      </c>
      <c r="BE293">
        <v>38.1</v>
      </c>
      <c r="BF293">
        <v>182.5</v>
      </c>
      <c r="BG293">
        <v>30.5</v>
      </c>
      <c r="BH293">
        <v>20</v>
      </c>
      <c r="BI293">
        <v>57</v>
      </c>
      <c r="BJ293">
        <v>19.5</v>
      </c>
      <c r="BK293">
        <v>9.5</v>
      </c>
      <c r="BL293">
        <v>32.799999999999997</v>
      </c>
      <c r="BM293">
        <v>7.6</v>
      </c>
      <c r="BN293">
        <v>2.2999999999999998</v>
      </c>
      <c r="BO293">
        <v>1.55</v>
      </c>
      <c r="BP293">
        <v>0.33</v>
      </c>
      <c r="BQ293">
        <v>0.05</v>
      </c>
      <c r="BR293">
        <v>438</v>
      </c>
      <c r="BS293">
        <v>157.19999999999999</v>
      </c>
      <c r="BT293">
        <v>2786</v>
      </c>
      <c r="BU293">
        <v>1527</v>
      </c>
      <c r="BV293">
        <v>8.8000000000000007</v>
      </c>
      <c r="BW293">
        <v>4.6500000000000004</v>
      </c>
      <c r="BX293">
        <v>1.02</v>
      </c>
      <c r="BY293">
        <v>27.3</v>
      </c>
      <c r="BZ293">
        <v>48.3</v>
      </c>
      <c r="CA293">
        <v>0.8</v>
      </c>
      <c r="CB293">
        <v>1.25</v>
      </c>
      <c r="CC293">
        <v>13.4</v>
      </c>
      <c r="CD293">
        <v>0.63</v>
      </c>
      <c r="CE293">
        <v>1.97</v>
      </c>
      <c r="CF293">
        <v>159.69999999999999</v>
      </c>
      <c r="CG293">
        <v>16.3</v>
      </c>
      <c r="CH293">
        <v>253</v>
      </c>
      <c r="CI293">
        <v>2.54</v>
      </c>
      <c r="CJ293">
        <v>1.7</v>
      </c>
      <c r="CK293">
        <v>3</v>
      </c>
      <c r="CL293" s="42" t="str">
        <f t="shared" si="53"/>
        <v>1</v>
      </c>
      <c r="CM293" s="4">
        <v>62.666666666666664</v>
      </c>
      <c r="CN293" s="4">
        <f t="shared" si="52"/>
        <v>0.92</v>
      </c>
      <c r="CO293">
        <v>4</v>
      </c>
      <c r="CP293" s="42" t="str">
        <f t="shared" si="54"/>
        <v>1</v>
      </c>
      <c r="CQ293" s="4">
        <v>46</v>
      </c>
      <c r="CR293" s="4">
        <v>0.57407407407407407</v>
      </c>
      <c r="CS293" s="43" t="str">
        <f t="shared" si="55"/>
        <v>1</v>
      </c>
      <c r="CT293" s="4">
        <f t="shared" si="56"/>
        <v>108.66666666666666</v>
      </c>
      <c r="CU293" s="4">
        <f t="shared" si="57"/>
        <v>1.4940740740740741</v>
      </c>
      <c r="CV293" s="4">
        <v>1</v>
      </c>
    </row>
    <row r="294" spans="1:100" x14ac:dyDescent="0.3">
      <c r="A294" s="8" t="s">
        <v>344</v>
      </c>
      <c r="B294" s="18">
        <v>1</v>
      </c>
      <c r="C294">
        <v>43</v>
      </c>
      <c r="D294">
        <v>1</v>
      </c>
      <c r="E294">
        <v>3</v>
      </c>
      <c r="F294">
        <v>0</v>
      </c>
      <c r="G294">
        <v>0</v>
      </c>
      <c r="H294">
        <v>0</v>
      </c>
      <c r="I294">
        <v>1</v>
      </c>
      <c r="J294">
        <v>58</v>
      </c>
      <c r="K294">
        <v>1.524</v>
      </c>
      <c r="L294">
        <f t="shared" si="50"/>
        <v>152.4</v>
      </c>
      <c r="M294" s="82">
        <v>21.286000000000005</v>
      </c>
      <c r="N294" s="4">
        <v>34.700000000000003</v>
      </c>
      <c r="O294" s="4">
        <v>36.700000000000003</v>
      </c>
      <c r="P294" s="39">
        <v>1</v>
      </c>
      <c r="Q294">
        <v>91</v>
      </c>
      <c r="R294" s="40">
        <v>1</v>
      </c>
      <c r="S294">
        <v>98</v>
      </c>
      <c r="T294" s="5">
        <v>0.9285714285714286</v>
      </c>
      <c r="U294" s="39">
        <v>1</v>
      </c>
      <c r="V294" s="4">
        <v>24.972272166766555</v>
      </c>
      <c r="W294" s="37">
        <v>0</v>
      </c>
      <c r="X294" s="4">
        <v>7</v>
      </c>
      <c r="Y294" s="40">
        <v>0</v>
      </c>
      <c r="Z294" s="5">
        <v>9.3979999999999997</v>
      </c>
      <c r="AA294" s="5">
        <v>1.917192</v>
      </c>
      <c r="AB294" s="85">
        <v>0</v>
      </c>
      <c r="AC294" s="5">
        <v>4.59</v>
      </c>
      <c r="AD294" s="37">
        <v>0</v>
      </c>
      <c r="AE294">
        <v>27.59</v>
      </c>
      <c r="AF294" s="5">
        <v>7.92</v>
      </c>
      <c r="AG294" s="37">
        <v>1</v>
      </c>
      <c r="AH294" s="5">
        <v>0.99</v>
      </c>
      <c r="AI294" s="1">
        <v>1</v>
      </c>
      <c r="AJ294" s="13">
        <v>6.24</v>
      </c>
      <c r="AK294" s="1">
        <v>1</v>
      </c>
      <c r="AL294" s="13">
        <v>1.24</v>
      </c>
      <c r="AM294" s="1">
        <v>1</v>
      </c>
      <c r="AN294" s="82">
        <f t="shared" si="51"/>
        <v>6.387096774193548</v>
      </c>
      <c r="AO294" s="1">
        <v>1</v>
      </c>
      <c r="AP294">
        <v>130</v>
      </c>
      <c r="AQ294" s="37">
        <v>1</v>
      </c>
      <c r="AR294">
        <v>83</v>
      </c>
      <c r="AS294" s="37">
        <v>0</v>
      </c>
      <c r="AT294">
        <v>69</v>
      </c>
      <c r="AU294">
        <v>47</v>
      </c>
      <c r="AV294">
        <v>6.5</v>
      </c>
      <c r="AW294">
        <v>1</v>
      </c>
      <c r="AX294">
        <v>966</v>
      </c>
      <c r="AY294">
        <v>23.7</v>
      </c>
      <c r="AZ294">
        <v>31.1</v>
      </c>
      <c r="BA294">
        <v>156.6</v>
      </c>
      <c r="BB294">
        <v>5</v>
      </c>
      <c r="BC294">
        <v>121.4</v>
      </c>
      <c r="BD294">
        <v>26.3</v>
      </c>
      <c r="BE294">
        <v>20.2</v>
      </c>
      <c r="BF294">
        <v>42.9</v>
      </c>
      <c r="BG294">
        <v>28.9</v>
      </c>
      <c r="BH294">
        <v>9.8000000000000007</v>
      </c>
      <c r="BI294">
        <v>60.8</v>
      </c>
      <c r="BJ294">
        <v>20.399999999999999</v>
      </c>
      <c r="BK294">
        <v>7.8</v>
      </c>
      <c r="BL294">
        <v>21.9</v>
      </c>
      <c r="BM294">
        <v>3</v>
      </c>
      <c r="BN294">
        <v>1.9</v>
      </c>
      <c r="BO294">
        <v>1.56</v>
      </c>
      <c r="BP294">
        <v>0.13</v>
      </c>
      <c r="BQ294">
        <v>0.04</v>
      </c>
      <c r="BR294">
        <v>134</v>
      </c>
      <c r="BS294">
        <v>115.5</v>
      </c>
      <c r="BT294">
        <v>1543</v>
      </c>
      <c r="BU294">
        <v>1059</v>
      </c>
      <c r="BV294">
        <v>5.28</v>
      </c>
      <c r="BW294">
        <v>3.92</v>
      </c>
      <c r="BX294">
        <v>0.73</v>
      </c>
      <c r="BY294">
        <v>27.3</v>
      </c>
      <c r="BZ294">
        <v>26.2</v>
      </c>
      <c r="CA294">
        <v>2.37</v>
      </c>
      <c r="CB294">
        <v>2.17</v>
      </c>
      <c r="CC294">
        <v>7.6</v>
      </c>
      <c r="CD294">
        <v>0.41</v>
      </c>
      <c r="CE294">
        <v>1.29</v>
      </c>
      <c r="CF294">
        <v>74.7</v>
      </c>
      <c r="CG294">
        <v>9.6999999999999993</v>
      </c>
      <c r="CH294">
        <v>122</v>
      </c>
      <c r="CI294">
        <v>1.93</v>
      </c>
      <c r="CJ294">
        <v>10.9</v>
      </c>
      <c r="CK294">
        <v>1</v>
      </c>
      <c r="CL294" s="42" t="str">
        <f t="shared" si="53"/>
        <v>1</v>
      </c>
      <c r="CM294" s="4">
        <v>26</v>
      </c>
      <c r="CN294" s="4">
        <f t="shared" si="52"/>
        <v>1.42</v>
      </c>
      <c r="CO294">
        <v>9</v>
      </c>
      <c r="CP294" s="42" t="str">
        <f t="shared" si="54"/>
        <v>1</v>
      </c>
      <c r="CQ294" s="4">
        <v>71</v>
      </c>
      <c r="CR294" s="4">
        <v>1.3888888888888888</v>
      </c>
      <c r="CS294" s="43" t="str">
        <f t="shared" si="55"/>
        <v>1</v>
      </c>
      <c r="CT294" s="4">
        <f t="shared" si="56"/>
        <v>97</v>
      </c>
      <c r="CU294" s="4">
        <f t="shared" si="57"/>
        <v>2.8088888888888888</v>
      </c>
      <c r="CV294" s="4">
        <v>2</v>
      </c>
    </row>
    <row r="295" spans="1:100" x14ac:dyDescent="0.3">
      <c r="A295" s="8" t="s">
        <v>343</v>
      </c>
      <c r="B295" s="18">
        <v>1</v>
      </c>
      <c r="C295">
        <v>38</v>
      </c>
      <c r="D295">
        <v>1</v>
      </c>
      <c r="E295">
        <v>2</v>
      </c>
      <c r="F295">
        <v>0</v>
      </c>
      <c r="G295">
        <v>0</v>
      </c>
      <c r="H295">
        <v>0</v>
      </c>
      <c r="I295">
        <v>1</v>
      </c>
      <c r="J295">
        <v>57.2</v>
      </c>
      <c r="K295">
        <v>1.556</v>
      </c>
      <c r="L295">
        <f t="shared" si="50"/>
        <v>155.6</v>
      </c>
      <c r="M295" s="82">
        <v>20.477599999999999</v>
      </c>
      <c r="N295" s="4">
        <v>34.799999999999997</v>
      </c>
      <c r="O295" s="4">
        <v>35.799999999999997</v>
      </c>
      <c r="P295" s="39">
        <v>1</v>
      </c>
      <c r="Q295">
        <v>86</v>
      </c>
      <c r="R295" s="40">
        <v>1</v>
      </c>
      <c r="S295">
        <v>96</v>
      </c>
      <c r="T295" s="5">
        <v>0.89583333333333337</v>
      </c>
      <c r="U295" s="39">
        <v>1</v>
      </c>
      <c r="V295" s="4">
        <v>23.625273425367265</v>
      </c>
      <c r="W295" s="37">
        <v>1</v>
      </c>
      <c r="X295" s="4">
        <v>6</v>
      </c>
      <c r="Y295" s="40">
        <v>0</v>
      </c>
      <c r="Z295" s="5">
        <v>10.398</v>
      </c>
      <c r="AA295" s="5">
        <v>1.7930773333333332</v>
      </c>
      <c r="AB295" s="85">
        <v>0</v>
      </c>
      <c r="AC295" s="5">
        <v>3.88</v>
      </c>
      <c r="AD295" s="37">
        <v>0</v>
      </c>
      <c r="AE295">
        <v>22.93</v>
      </c>
      <c r="AF295" s="5">
        <v>6.26</v>
      </c>
      <c r="AG295" s="37">
        <v>1</v>
      </c>
      <c r="AH295" s="5">
        <v>1.0900000000000001</v>
      </c>
      <c r="AI295" s="1">
        <v>1</v>
      </c>
      <c r="AJ295" s="13">
        <v>4.38</v>
      </c>
      <c r="AK295" s="1">
        <v>0</v>
      </c>
      <c r="AL295" s="13">
        <v>1.38</v>
      </c>
      <c r="AM295" s="1">
        <v>0</v>
      </c>
      <c r="AN295" s="82">
        <f t="shared" si="51"/>
        <v>4.5362318840579716</v>
      </c>
      <c r="AO295" s="1">
        <v>1</v>
      </c>
      <c r="AP295">
        <v>104</v>
      </c>
      <c r="AQ295" s="37">
        <v>0</v>
      </c>
      <c r="AR295">
        <v>64</v>
      </c>
      <c r="AS295" s="37">
        <v>0</v>
      </c>
      <c r="AT295">
        <v>72</v>
      </c>
      <c r="AU295">
        <v>39</v>
      </c>
      <c r="AV295">
        <v>5.4</v>
      </c>
      <c r="AW295">
        <v>1</v>
      </c>
      <c r="AX295">
        <v>1394</v>
      </c>
      <c r="AY295">
        <v>32.9</v>
      </c>
      <c r="AZ295">
        <v>30.8</v>
      </c>
      <c r="BA295">
        <v>261.39999999999998</v>
      </c>
      <c r="BB295">
        <v>4.5999999999999996</v>
      </c>
      <c r="BC295">
        <v>208.4</v>
      </c>
      <c r="BD295">
        <v>44.1</v>
      </c>
      <c r="BE295">
        <v>35.700000000000003</v>
      </c>
      <c r="BF295">
        <v>139.19999999999999</v>
      </c>
      <c r="BG295">
        <v>19.899999999999999</v>
      </c>
      <c r="BH295">
        <v>9.4</v>
      </c>
      <c r="BI295">
        <v>70.3</v>
      </c>
      <c r="BJ295">
        <v>14.1</v>
      </c>
      <c r="BK295">
        <v>9.6</v>
      </c>
      <c r="BL295">
        <v>21.9</v>
      </c>
      <c r="BM295">
        <v>4.3</v>
      </c>
      <c r="BN295">
        <v>1.8</v>
      </c>
      <c r="BO295">
        <v>1.55</v>
      </c>
      <c r="BP295">
        <v>0.09</v>
      </c>
      <c r="BQ295">
        <v>0.05</v>
      </c>
      <c r="BR295">
        <v>168</v>
      </c>
      <c r="BS295">
        <v>116.8</v>
      </c>
      <c r="BT295">
        <v>1567</v>
      </c>
      <c r="BU295">
        <v>1080</v>
      </c>
      <c r="BV295">
        <v>6.97</v>
      </c>
      <c r="BW295">
        <v>5.53</v>
      </c>
      <c r="BX295">
        <v>0.99</v>
      </c>
      <c r="BY295">
        <v>31.3</v>
      </c>
      <c r="BZ295">
        <v>56.6</v>
      </c>
      <c r="CA295">
        <v>3.73</v>
      </c>
      <c r="CB295">
        <v>3.51</v>
      </c>
      <c r="CC295">
        <v>10.6</v>
      </c>
      <c r="CD295">
        <v>0.62</v>
      </c>
      <c r="CE295">
        <v>0.79</v>
      </c>
      <c r="CF295">
        <v>122.3</v>
      </c>
      <c r="CG295">
        <v>7.9</v>
      </c>
      <c r="CH295">
        <v>167</v>
      </c>
      <c r="CI295">
        <v>1.1399999999999999</v>
      </c>
      <c r="CJ295">
        <v>16.3</v>
      </c>
      <c r="CK295">
        <v>1</v>
      </c>
      <c r="CL295" s="42" t="str">
        <f t="shared" si="53"/>
        <v>1</v>
      </c>
      <c r="CM295" s="4">
        <v>10</v>
      </c>
      <c r="CN295" s="4">
        <f t="shared" si="52"/>
        <v>0.72</v>
      </c>
      <c r="CO295">
        <v>5</v>
      </c>
      <c r="CP295" s="42" t="str">
        <f t="shared" si="54"/>
        <v>1</v>
      </c>
      <c r="CQ295" s="4">
        <v>36</v>
      </c>
      <c r="CR295" s="4">
        <v>1.0518518518518518</v>
      </c>
      <c r="CS295" s="43" t="str">
        <f t="shared" si="55"/>
        <v>1</v>
      </c>
      <c r="CT295" s="4">
        <f t="shared" si="56"/>
        <v>46</v>
      </c>
      <c r="CU295" s="4">
        <f t="shared" si="57"/>
        <v>1.7718518518518518</v>
      </c>
      <c r="CV295" s="4">
        <v>1</v>
      </c>
    </row>
    <row r="296" spans="1:100" x14ac:dyDescent="0.3">
      <c r="A296" s="8" t="s">
        <v>342</v>
      </c>
      <c r="B296" s="18">
        <v>1</v>
      </c>
      <c r="C296">
        <v>44</v>
      </c>
      <c r="D296">
        <v>1</v>
      </c>
      <c r="E296">
        <v>3</v>
      </c>
      <c r="F296">
        <v>0</v>
      </c>
      <c r="G296">
        <v>0</v>
      </c>
      <c r="H296">
        <v>0</v>
      </c>
      <c r="I296">
        <v>1</v>
      </c>
      <c r="J296">
        <v>62.7</v>
      </c>
      <c r="K296">
        <v>1.556</v>
      </c>
      <c r="L296">
        <f t="shared" si="50"/>
        <v>155.6</v>
      </c>
      <c r="M296" s="82">
        <v>23.4498</v>
      </c>
      <c r="N296" s="4">
        <v>37</v>
      </c>
      <c r="O296" s="4">
        <v>37.4</v>
      </c>
      <c r="P296" s="39">
        <v>1</v>
      </c>
      <c r="Q296">
        <v>85</v>
      </c>
      <c r="R296" s="40">
        <v>1</v>
      </c>
      <c r="S296">
        <v>95</v>
      </c>
      <c r="T296" s="5">
        <v>0.89473684210526316</v>
      </c>
      <c r="U296" s="39">
        <v>1</v>
      </c>
      <c r="V296" s="4">
        <v>25.896934331652577</v>
      </c>
      <c r="W296" s="37">
        <v>1</v>
      </c>
      <c r="X296" s="4">
        <v>7</v>
      </c>
      <c r="Y296" s="40">
        <v>0</v>
      </c>
      <c r="Z296" s="5">
        <v>4.7140000000000004</v>
      </c>
      <c r="AA296" s="5">
        <v>2.1244426666666669</v>
      </c>
      <c r="AB296" s="85">
        <v>0</v>
      </c>
      <c r="AC296" s="5">
        <v>10.14</v>
      </c>
      <c r="AD296" s="37">
        <v>1</v>
      </c>
      <c r="AE296">
        <v>18.68</v>
      </c>
      <c r="AF296" s="5">
        <v>5.43</v>
      </c>
      <c r="AG296" s="37">
        <v>1</v>
      </c>
      <c r="AH296" s="5">
        <v>0.81</v>
      </c>
      <c r="AI296" s="1">
        <v>1</v>
      </c>
      <c r="AJ296" s="13">
        <v>3.97</v>
      </c>
      <c r="AK296" s="1">
        <v>1</v>
      </c>
      <c r="AL296" s="13">
        <v>1.0900000000000001</v>
      </c>
      <c r="AM296" s="1">
        <v>1</v>
      </c>
      <c r="AN296" s="82">
        <f t="shared" si="51"/>
        <v>4.9816513761467887</v>
      </c>
      <c r="AO296" s="1">
        <v>1</v>
      </c>
      <c r="AP296">
        <v>110</v>
      </c>
      <c r="AQ296" s="37">
        <v>0</v>
      </c>
      <c r="AR296">
        <v>70</v>
      </c>
      <c r="AS296" s="37">
        <v>0</v>
      </c>
      <c r="AT296">
        <v>80</v>
      </c>
      <c r="AU296">
        <v>40</v>
      </c>
      <c r="AV296">
        <v>6.1</v>
      </c>
      <c r="AW296">
        <v>1</v>
      </c>
      <c r="AX296">
        <v>1209</v>
      </c>
      <c r="AY296">
        <v>33.799999999999997</v>
      </c>
      <c r="AZ296">
        <v>37.6</v>
      </c>
      <c r="BA296">
        <v>195.9</v>
      </c>
      <c r="BB296">
        <v>9.1999999999999993</v>
      </c>
      <c r="BC296">
        <v>156.4</v>
      </c>
      <c r="BD296">
        <v>30.3</v>
      </c>
      <c r="BE296">
        <v>23.2</v>
      </c>
      <c r="BF296">
        <v>149.30000000000001</v>
      </c>
      <c r="BG296">
        <v>28</v>
      </c>
      <c r="BH296">
        <v>11.2</v>
      </c>
      <c r="BI296">
        <v>60.7</v>
      </c>
      <c r="BJ296">
        <v>17.600000000000001</v>
      </c>
      <c r="BK296">
        <v>7.2</v>
      </c>
      <c r="BL296">
        <v>23.7</v>
      </c>
      <c r="BM296">
        <v>4.3</v>
      </c>
      <c r="BN296">
        <v>1.8</v>
      </c>
      <c r="BO296">
        <v>1.37</v>
      </c>
      <c r="BP296">
        <v>0.27</v>
      </c>
      <c r="BQ296">
        <v>0.13</v>
      </c>
      <c r="BR296">
        <v>241</v>
      </c>
      <c r="BS296">
        <v>100.7</v>
      </c>
      <c r="BT296">
        <v>1973</v>
      </c>
      <c r="BU296">
        <v>952</v>
      </c>
      <c r="BV296">
        <v>6.57</v>
      </c>
      <c r="BW296">
        <v>3.62</v>
      </c>
      <c r="BX296">
        <v>1</v>
      </c>
      <c r="BY296">
        <v>7.7</v>
      </c>
      <c r="BZ296">
        <v>34.200000000000003</v>
      </c>
      <c r="CA296">
        <v>9.66</v>
      </c>
      <c r="CB296">
        <v>9.39</v>
      </c>
      <c r="CC296">
        <v>5.3</v>
      </c>
      <c r="CD296">
        <v>0.36</v>
      </c>
      <c r="CE296">
        <v>1.34</v>
      </c>
      <c r="CF296">
        <v>104.3</v>
      </c>
      <c r="CG296">
        <v>13.4</v>
      </c>
      <c r="CH296">
        <v>332</v>
      </c>
      <c r="CI296">
        <v>2.7</v>
      </c>
      <c r="CJ296">
        <v>41.6</v>
      </c>
      <c r="CK296">
        <v>1</v>
      </c>
      <c r="CL296" s="42" t="str">
        <f t="shared" si="53"/>
        <v>1</v>
      </c>
      <c r="CM296" s="4">
        <v>10.666666666666666</v>
      </c>
      <c r="CN296" s="4">
        <f t="shared" si="52"/>
        <v>1.94</v>
      </c>
      <c r="CO296">
        <v>7</v>
      </c>
      <c r="CP296" s="42" t="str">
        <f t="shared" si="54"/>
        <v>1</v>
      </c>
      <c r="CQ296" s="4">
        <v>97</v>
      </c>
      <c r="CR296" s="4">
        <v>2.8197530864197531</v>
      </c>
      <c r="CS296" s="43" t="str">
        <f t="shared" si="55"/>
        <v>1</v>
      </c>
      <c r="CT296" s="4">
        <f t="shared" si="56"/>
        <v>107.66666666666667</v>
      </c>
      <c r="CU296" s="4">
        <f t="shared" si="57"/>
        <v>4.759753086419753</v>
      </c>
      <c r="CV296" s="4">
        <v>4</v>
      </c>
    </row>
    <row r="297" spans="1:100" x14ac:dyDescent="0.3">
      <c r="A297" s="8" t="s">
        <v>341</v>
      </c>
      <c r="B297" s="18">
        <v>1</v>
      </c>
      <c r="C297">
        <v>42</v>
      </c>
      <c r="D297">
        <v>1</v>
      </c>
      <c r="E297">
        <v>3</v>
      </c>
      <c r="F297">
        <v>0</v>
      </c>
      <c r="G297">
        <v>0</v>
      </c>
      <c r="H297">
        <v>0</v>
      </c>
      <c r="I297">
        <v>1</v>
      </c>
      <c r="J297">
        <v>57.3</v>
      </c>
      <c r="K297">
        <v>1.544</v>
      </c>
      <c r="L297">
        <f t="shared" si="50"/>
        <v>154.4</v>
      </c>
      <c r="M297" s="82">
        <v>20.799899999999997</v>
      </c>
      <c r="N297" s="4">
        <v>34.6</v>
      </c>
      <c r="O297" s="4">
        <v>36.299999999999997</v>
      </c>
      <c r="P297" s="39">
        <v>1</v>
      </c>
      <c r="Q297">
        <v>88</v>
      </c>
      <c r="R297" s="40">
        <v>1</v>
      </c>
      <c r="S297">
        <v>101</v>
      </c>
      <c r="T297" s="5">
        <v>0.87128712871287128</v>
      </c>
      <c r="U297" s="39">
        <v>0</v>
      </c>
      <c r="V297" s="4">
        <v>24.035880157856582</v>
      </c>
      <c r="W297" s="37">
        <v>1</v>
      </c>
      <c r="X297" s="4">
        <v>6</v>
      </c>
      <c r="Y297" s="40">
        <v>0</v>
      </c>
      <c r="Z297" s="5">
        <v>4.2130000000000001</v>
      </c>
      <c r="AA297" s="5">
        <v>0.84447244444444447</v>
      </c>
      <c r="AB297" s="85">
        <v>0</v>
      </c>
      <c r="AC297" s="5">
        <v>4.51</v>
      </c>
      <c r="AD297" s="37">
        <v>0</v>
      </c>
      <c r="AE297">
        <v>3</v>
      </c>
      <c r="AF297" s="5">
        <v>3.88</v>
      </c>
      <c r="AG297" s="37">
        <v>0</v>
      </c>
      <c r="AH297" s="5">
        <v>0.63</v>
      </c>
      <c r="AI297" s="1">
        <v>0</v>
      </c>
      <c r="AJ297" s="13">
        <v>2.33</v>
      </c>
      <c r="AK297" s="1">
        <v>1</v>
      </c>
      <c r="AL297" s="13">
        <v>1.26</v>
      </c>
      <c r="AM297" s="1">
        <v>1</v>
      </c>
      <c r="AN297" s="82">
        <f t="shared" si="51"/>
        <v>3.0793650793650791</v>
      </c>
      <c r="AO297" s="1">
        <v>0</v>
      </c>
      <c r="AP297">
        <v>115</v>
      </c>
      <c r="AQ297" s="37">
        <v>0</v>
      </c>
      <c r="AR297">
        <v>79</v>
      </c>
      <c r="AS297" s="37">
        <v>0</v>
      </c>
      <c r="AT297">
        <v>67</v>
      </c>
      <c r="AU297">
        <v>36</v>
      </c>
      <c r="AV297">
        <v>6.1</v>
      </c>
      <c r="AW297">
        <v>1</v>
      </c>
      <c r="AX297">
        <v>1344</v>
      </c>
      <c r="AY297">
        <v>35.200000000000003</v>
      </c>
      <c r="AZ297">
        <v>47.2</v>
      </c>
      <c r="BA297">
        <v>207</v>
      </c>
      <c r="BB297">
        <v>9.1</v>
      </c>
      <c r="BC297">
        <v>143.5</v>
      </c>
      <c r="BD297">
        <v>42.3</v>
      </c>
      <c r="BE297">
        <v>31.3</v>
      </c>
      <c r="BF297">
        <v>100.6</v>
      </c>
      <c r="BG297">
        <v>31.6</v>
      </c>
      <c r="BH297">
        <v>10.5</v>
      </c>
      <c r="BI297">
        <v>57.7</v>
      </c>
      <c r="BJ297">
        <v>18.100000000000001</v>
      </c>
      <c r="BK297">
        <v>8.6999999999999993</v>
      </c>
      <c r="BL297">
        <v>27</v>
      </c>
      <c r="BM297">
        <v>5.3</v>
      </c>
      <c r="BN297">
        <v>3.1</v>
      </c>
      <c r="BO297">
        <v>2.79</v>
      </c>
      <c r="BP297">
        <v>0.17</v>
      </c>
      <c r="BQ297">
        <v>0.12</v>
      </c>
      <c r="BR297">
        <v>396</v>
      </c>
      <c r="BS297">
        <v>138.4</v>
      </c>
      <c r="BT297">
        <v>2877</v>
      </c>
      <c r="BU297">
        <v>1213</v>
      </c>
      <c r="BV297">
        <v>9.07</v>
      </c>
      <c r="BW297">
        <v>3.33</v>
      </c>
      <c r="BX297">
        <v>0.89</v>
      </c>
      <c r="BY297">
        <v>22.1</v>
      </c>
      <c r="BZ297">
        <v>30.6</v>
      </c>
      <c r="CA297">
        <v>0.96</v>
      </c>
      <c r="CB297">
        <v>1.36</v>
      </c>
      <c r="CC297">
        <v>7.7</v>
      </c>
      <c r="CD297">
        <v>0.74</v>
      </c>
      <c r="CE297">
        <v>0.59</v>
      </c>
      <c r="CF297">
        <v>165.4</v>
      </c>
      <c r="CG297">
        <v>23</v>
      </c>
      <c r="CH297">
        <v>362</v>
      </c>
      <c r="CI297">
        <v>3.08</v>
      </c>
      <c r="CJ297">
        <v>1.7</v>
      </c>
      <c r="CK297">
        <v>0</v>
      </c>
      <c r="CL297" s="42" t="str">
        <f t="shared" si="53"/>
        <v>1</v>
      </c>
      <c r="CM297" s="4">
        <v>0</v>
      </c>
      <c r="CN297" s="4">
        <f t="shared" si="52"/>
        <v>2.0333333333333332</v>
      </c>
      <c r="CO297">
        <v>4</v>
      </c>
      <c r="CP297" s="42" t="str">
        <f t="shared" si="54"/>
        <v>1</v>
      </c>
      <c r="CQ297" s="4">
        <v>101.66666666666667</v>
      </c>
      <c r="CR297" s="4">
        <v>2.6111111111111112</v>
      </c>
      <c r="CS297" s="43" t="str">
        <f t="shared" si="55"/>
        <v>1</v>
      </c>
      <c r="CT297" s="4">
        <f t="shared" si="56"/>
        <v>101.66666666666667</v>
      </c>
      <c r="CU297" s="4">
        <f t="shared" si="57"/>
        <v>4.6444444444444439</v>
      </c>
      <c r="CV297" s="4">
        <v>4</v>
      </c>
    </row>
    <row r="298" spans="1:100" x14ac:dyDescent="0.3">
      <c r="A298" s="8" t="s">
        <v>340</v>
      </c>
      <c r="B298" s="18">
        <v>1</v>
      </c>
      <c r="C298">
        <v>39</v>
      </c>
      <c r="D298">
        <v>1</v>
      </c>
      <c r="E298">
        <v>2</v>
      </c>
      <c r="F298">
        <v>0</v>
      </c>
      <c r="G298">
        <v>0</v>
      </c>
      <c r="H298">
        <v>0</v>
      </c>
      <c r="I298">
        <v>1</v>
      </c>
      <c r="J298">
        <v>51.6</v>
      </c>
      <c r="K298">
        <v>1.5109999999999999</v>
      </c>
      <c r="L298">
        <f t="shared" si="50"/>
        <v>151.1</v>
      </c>
      <c r="M298" s="82">
        <v>20.433600000000002</v>
      </c>
      <c r="N298" s="4">
        <v>35.299999999999997</v>
      </c>
      <c r="O298" s="4">
        <v>39.6</v>
      </c>
      <c r="P298" s="39">
        <v>1</v>
      </c>
      <c r="Q298">
        <v>84.5</v>
      </c>
      <c r="R298" s="40">
        <v>1</v>
      </c>
      <c r="S298">
        <v>92</v>
      </c>
      <c r="T298" s="5">
        <v>0.91847826086956519</v>
      </c>
      <c r="U298" s="39">
        <v>1</v>
      </c>
      <c r="V298" s="4">
        <v>22.600641840708406</v>
      </c>
      <c r="W298" s="37">
        <v>0</v>
      </c>
      <c r="X298" s="4">
        <v>8</v>
      </c>
      <c r="Y298" s="40">
        <v>0</v>
      </c>
      <c r="Z298" s="5">
        <v>19.818999999999999</v>
      </c>
      <c r="AA298" s="5">
        <v>3.664312888888889</v>
      </c>
      <c r="AB298" s="85">
        <v>1</v>
      </c>
      <c r="AC298" s="5">
        <v>4.16</v>
      </c>
      <c r="AD298" s="37">
        <v>0</v>
      </c>
      <c r="AE298">
        <v>18.190000000000001</v>
      </c>
      <c r="AF298" s="5">
        <v>5.54</v>
      </c>
      <c r="AG298" s="37">
        <v>1</v>
      </c>
      <c r="AH298" s="5">
        <v>1.54</v>
      </c>
      <c r="AI298" s="1">
        <v>1</v>
      </c>
      <c r="AJ298" s="13">
        <v>3.45</v>
      </c>
      <c r="AK298" s="1">
        <v>0</v>
      </c>
      <c r="AL298" s="13">
        <v>1.39</v>
      </c>
      <c r="AM298" s="1">
        <v>0</v>
      </c>
      <c r="AN298" s="82">
        <f t="shared" si="51"/>
        <v>3.985611510791367</v>
      </c>
      <c r="AO298" s="1">
        <v>0</v>
      </c>
      <c r="AP298">
        <v>120</v>
      </c>
      <c r="AQ298" s="37">
        <v>0</v>
      </c>
      <c r="AR298">
        <v>76</v>
      </c>
      <c r="AS298" s="37">
        <v>0</v>
      </c>
      <c r="AT298">
        <v>84</v>
      </c>
      <c r="AU298">
        <v>44</v>
      </c>
      <c r="AV298">
        <v>6</v>
      </c>
      <c r="AW298">
        <v>1</v>
      </c>
      <c r="AX298">
        <v>1238</v>
      </c>
      <c r="AY298">
        <v>35</v>
      </c>
      <c r="AZ298">
        <v>41.9</v>
      </c>
      <c r="BA298">
        <v>191.8</v>
      </c>
      <c r="BB298">
        <v>5.7</v>
      </c>
      <c r="BC298">
        <v>139.30000000000001</v>
      </c>
      <c r="BD298">
        <v>26.4</v>
      </c>
      <c r="BE298">
        <v>19</v>
      </c>
      <c r="BF298">
        <v>54.2</v>
      </c>
      <c r="BG298">
        <v>30.4</v>
      </c>
      <c r="BH298">
        <v>11.3</v>
      </c>
      <c r="BI298">
        <v>58.1</v>
      </c>
      <c r="BJ298">
        <v>22.1</v>
      </c>
      <c r="BK298">
        <v>5.8</v>
      </c>
      <c r="BL298">
        <v>30.4</v>
      </c>
      <c r="BM298">
        <v>5.4</v>
      </c>
      <c r="BN298">
        <v>2.2999999999999998</v>
      </c>
      <c r="BO298">
        <v>1.95</v>
      </c>
      <c r="BP298">
        <v>0.19</v>
      </c>
      <c r="BQ298">
        <v>0.03</v>
      </c>
      <c r="BR298">
        <v>451</v>
      </c>
      <c r="BS298">
        <v>148.19999999999999</v>
      </c>
      <c r="BT298">
        <v>2524</v>
      </c>
      <c r="BU298">
        <v>1319</v>
      </c>
      <c r="BV298">
        <v>6.96</v>
      </c>
      <c r="BW298">
        <v>5.42</v>
      </c>
      <c r="BX298">
        <v>1.05</v>
      </c>
      <c r="BY298">
        <v>35.1</v>
      </c>
      <c r="BZ298">
        <v>23.9</v>
      </c>
      <c r="CA298">
        <v>0.4</v>
      </c>
      <c r="CB298">
        <v>0.32</v>
      </c>
      <c r="CC298">
        <v>9</v>
      </c>
      <c r="CD298">
        <v>0.6</v>
      </c>
      <c r="CE298">
        <v>1.01</v>
      </c>
      <c r="CF298">
        <v>140.4</v>
      </c>
      <c r="CG298">
        <v>22</v>
      </c>
      <c r="CH298">
        <v>276</v>
      </c>
      <c r="CI298">
        <v>2.88</v>
      </c>
      <c r="CJ298">
        <v>1.5</v>
      </c>
      <c r="CK298">
        <v>1</v>
      </c>
      <c r="CL298" s="42" t="str">
        <f t="shared" si="53"/>
        <v>1</v>
      </c>
      <c r="CM298" s="4">
        <v>32</v>
      </c>
      <c r="CN298" s="4">
        <f t="shared" si="52"/>
        <v>1.9533333333333334</v>
      </c>
      <c r="CO298">
        <v>5</v>
      </c>
      <c r="CP298" s="42" t="str">
        <f t="shared" si="54"/>
        <v>1</v>
      </c>
      <c r="CQ298" s="4">
        <v>97.666666666666671</v>
      </c>
      <c r="CR298" s="4">
        <v>2.7</v>
      </c>
      <c r="CS298" s="43" t="str">
        <f t="shared" si="55"/>
        <v>1</v>
      </c>
      <c r="CT298" s="4">
        <f t="shared" si="56"/>
        <v>129.66666666666669</v>
      </c>
      <c r="CU298" s="4">
        <f t="shared" si="57"/>
        <v>4.6533333333333333</v>
      </c>
      <c r="CV298" s="4">
        <v>4</v>
      </c>
    </row>
    <row r="299" spans="1:100" x14ac:dyDescent="0.3">
      <c r="A299" s="8" t="s">
        <v>339</v>
      </c>
      <c r="B299" s="18">
        <v>1</v>
      </c>
      <c r="C299">
        <v>31</v>
      </c>
      <c r="D299">
        <v>1</v>
      </c>
      <c r="E299">
        <v>3</v>
      </c>
      <c r="F299">
        <v>1</v>
      </c>
      <c r="G299">
        <v>0</v>
      </c>
      <c r="H299">
        <v>0</v>
      </c>
      <c r="I299">
        <v>1</v>
      </c>
      <c r="J299">
        <v>63.6</v>
      </c>
      <c r="K299">
        <v>1.546</v>
      </c>
      <c r="L299">
        <f t="shared" si="50"/>
        <v>154.6</v>
      </c>
      <c r="M299" s="82">
        <v>24.040800000000001</v>
      </c>
      <c r="N299" s="4">
        <v>37.4</v>
      </c>
      <c r="O299" s="4">
        <v>37.799999999999997</v>
      </c>
      <c r="P299" s="39">
        <v>1</v>
      </c>
      <c r="Q299">
        <v>87</v>
      </c>
      <c r="R299" s="40">
        <v>1</v>
      </c>
      <c r="S299">
        <v>103</v>
      </c>
      <c r="T299" s="5">
        <v>0.84466019417475724</v>
      </c>
      <c r="U299" s="39">
        <v>0</v>
      </c>
      <c r="V299" s="4">
        <v>26.609587149745035</v>
      </c>
      <c r="W299" s="37">
        <v>1</v>
      </c>
      <c r="X299" s="4">
        <v>7</v>
      </c>
      <c r="Y299" s="40">
        <v>0</v>
      </c>
      <c r="Z299" s="5">
        <v>31.364000000000001</v>
      </c>
      <c r="AA299" s="5">
        <v>5.4921848888888896</v>
      </c>
      <c r="AB299" s="85">
        <v>1</v>
      </c>
      <c r="AC299" s="5">
        <v>3.94</v>
      </c>
      <c r="AD299" s="37">
        <v>0</v>
      </c>
      <c r="AE299" s="21">
        <v>3</v>
      </c>
      <c r="AF299" s="5">
        <v>4.63</v>
      </c>
      <c r="AG299" s="37">
        <v>0</v>
      </c>
      <c r="AH299" s="5">
        <v>0.73</v>
      </c>
      <c r="AI299" s="1">
        <v>0</v>
      </c>
      <c r="AJ299" s="13">
        <v>3.12</v>
      </c>
      <c r="AK299" s="1">
        <v>1</v>
      </c>
      <c r="AL299" s="13">
        <v>1.18</v>
      </c>
      <c r="AM299" s="1">
        <v>1</v>
      </c>
      <c r="AN299" s="82">
        <f t="shared" si="51"/>
        <v>3.9237288135593222</v>
      </c>
      <c r="AO299" s="1">
        <v>0</v>
      </c>
      <c r="AP299">
        <v>120</v>
      </c>
      <c r="AQ299" s="37">
        <v>0</v>
      </c>
      <c r="AR299">
        <v>71</v>
      </c>
      <c r="AS299" s="37">
        <v>0</v>
      </c>
      <c r="AT299">
        <v>70</v>
      </c>
      <c r="AU299">
        <v>49</v>
      </c>
      <c r="AV299">
        <v>5.6</v>
      </c>
      <c r="AW299">
        <v>1</v>
      </c>
      <c r="AX299">
        <v>2276</v>
      </c>
      <c r="AY299">
        <v>39.1</v>
      </c>
      <c r="AZ299">
        <v>95.2</v>
      </c>
      <c r="BA299">
        <v>335.9</v>
      </c>
      <c r="BB299">
        <v>6.5</v>
      </c>
      <c r="BC299">
        <v>260.10000000000002</v>
      </c>
      <c r="BD299">
        <v>64.8</v>
      </c>
      <c r="BE299">
        <v>59.7</v>
      </c>
      <c r="BF299">
        <v>145.19999999999999</v>
      </c>
      <c r="BG299">
        <v>37.6</v>
      </c>
      <c r="BH299">
        <v>6.9</v>
      </c>
      <c r="BI299">
        <v>55.3</v>
      </c>
      <c r="BJ299">
        <v>16.7</v>
      </c>
      <c r="BK299">
        <v>9.8000000000000007</v>
      </c>
      <c r="BL299">
        <v>42.3</v>
      </c>
      <c r="BM299">
        <v>25.7</v>
      </c>
      <c r="BN299">
        <v>18.7</v>
      </c>
      <c r="BO299">
        <v>17.28</v>
      </c>
      <c r="BP299">
        <v>1.26</v>
      </c>
      <c r="BQ299">
        <v>0.96</v>
      </c>
      <c r="BR299">
        <v>202</v>
      </c>
      <c r="BS299">
        <v>140.69999999999999</v>
      </c>
      <c r="BT299">
        <v>2908</v>
      </c>
      <c r="BU299">
        <v>1312</v>
      </c>
      <c r="BV299">
        <v>8.11</v>
      </c>
      <c r="BW299">
        <v>5.8</v>
      </c>
      <c r="BX299">
        <v>1.25</v>
      </c>
      <c r="BY299">
        <v>46.7</v>
      </c>
      <c r="BZ299">
        <v>64.8</v>
      </c>
      <c r="CA299">
        <v>0.43</v>
      </c>
      <c r="CB299">
        <v>0.44</v>
      </c>
      <c r="CC299">
        <v>13</v>
      </c>
      <c r="CD299">
        <v>0.67</v>
      </c>
      <c r="CE299">
        <v>1.62</v>
      </c>
      <c r="CF299">
        <v>140.4</v>
      </c>
      <c r="CG299">
        <v>5.0999999999999996</v>
      </c>
      <c r="CH299">
        <v>859</v>
      </c>
      <c r="CI299">
        <v>7.19</v>
      </c>
      <c r="CJ299">
        <v>11.5</v>
      </c>
      <c r="CK299">
        <v>0</v>
      </c>
      <c r="CL299" s="42" t="str">
        <f t="shared" si="53"/>
        <v>1</v>
      </c>
      <c r="CM299" s="4">
        <v>0</v>
      </c>
      <c r="CN299" s="4">
        <f t="shared" si="52"/>
        <v>1.1733333333333333</v>
      </c>
      <c r="CO299">
        <v>5</v>
      </c>
      <c r="CP299" s="42" t="str">
        <f t="shared" si="54"/>
        <v>1</v>
      </c>
      <c r="CQ299" s="4">
        <v>58.666666666666664</v>
      </c>
      <c r="CR299" s="4">
        <v>1.5308641975308643</v>
      </c>
      <c r="CS299" s="43" t="str">
        <f t="shared" si="55"/>
        <v>1</v>
      </c>
      <c r="CT299" s="4">
        <f t="shared" si="56"/>
        <v>58.666666666666664</v>
      </c>
      <c r="CU299" s="4">
        <f t="shared" si="57"/>
        <v>2.7041975308641977</v>
      </c>
      <c r="CV299" s="4">
        <v>2</v>
      </c>
    </row>
    <row r="300" spans="1:100" x14ac:dyDescent="0.3">
      <c r="A300" s="8" t="s">
        <v>338</v>
      </c>
      <c r="B300" s="18">
        <v>1</v>
      </c>
      <c r="C300">
        <v>29</v>
      </c>
      <c r="D300">
        <v>1</v>
      </c>
      <c r="E300">
        <v>3</v>
      </c>
      <c r="F300">
        <v>1</v>
      </c>
      <c r="G300">
        <v>0</v>
      </c>
      <c r="H300">
        <v>0</v>
      </c>
      <c r="I300">
        <v>1</v>
      </c>
      <c r="J300">
        <v>63.3</v>
      </c>
      <c r="K300">
        <v>1.59</v>
      </c>
      <c r="L300">
        <f t="shared" si="50"/>
        <v>159</v>
      </c>
      <c r="M300" s="82">
        <v>22.028399999999998</v>
      </c>
      <c r="N300" s="4">
        <v>38.799999999999997</v>
      </c>
      <c r="O300" s="4">
        <v>34.799999999999997</v>
      </c>
      <c r="P300" s="39">
        <v>1</v>
      </c>
      <c r="Q300">
        <v>89</v>
      </c>
      <c r="R300" s="40">
        <v>1</v>
      </c>
      <c r="S300">
        <v>98</v>
      </c>
      <c r="T300" s="5">
        <v>0.90816326530612246</v>
      </c>
      <c r="U300" s="39">
        <v>1</v>
      </c>
      <c r="V300" s="4">
        <v>25.038566512400614</v>
      </c>
      <c r="W300" s="37">
        <v>1</v>
      </c>
      <c r="X300" s="4">
        <v>6</v>
      </c>
      <c r="Y300" s="40">
        <v>0</v>
      </c>
      <c r="Z300" s="5">
        <v>11.680999999999999</v>
      </c>
      <c r="AA300" s="5">
        <v>2.0091320000000001</v>
      </c>
      <c r="AB300" s="85">
        <v>0</v>
      </c>
      <c r="AC300" s="5">
        <v>3.87</v>
      </c>
      <c r="AD300" s="37">
        <v>0</v>
      </c>
      <c r="AE300">
        <v>10.18</v>
      </c>
      <c r="AF300" s="5">
        <v>4.46</v>
      </c>
      <c r="AG300" s="37">
        <v>0</v>
      </c>
      <c r="AH300" s="5">
        <v>1.34</v>
      </c>
      <c r="AI300" s="1">
        <v>0</v>
      </c>
      <c r="AJ300" s="13">
        <v>2.83</v>
      </c>
      <c r="AK300" s="1">
        <v>1</v>
      </c>
      <c r="AL300" s="13">
        <v>1.02</v>
      </c>
      <c r="AM300" s="1">
        <v>1</v>
      </c>
      <c r="AN300" s="82">
        <f t="shared" si="51"/>
        <v>4.3725490196078427</v>
      </c>
      <c r="AO300" s="1">
        <v>1</v>
      </c>
      <c r="AP300">
        <v>125</v>
      </c>
      <c r="AQ300" s="37">
        <v>0</v>
      </c>
      <c r="AR300">
        <v>62</v>
      </c>
      <c r="AS300" s="37">
        <v>0</v>
      </c>
      <c r="AT300">
        <v>73</v>
      </c>
      <c r="AU300">
        <v>63</v>
      </c>
      <c r="AV300">
        <v>5.4</v>
      </c>
      <c r="AW300">
        <v>1</v>
      </c>
      <c r="AX300">
        <v>1336</v>
      </c>
      <c r="AY300">
        <v>33.6</v>
      </c>
      <c r="AZ300">
        <v>49.8</v>
      </c>
      <c r="BA300">
        <v>200.3</v>
      </c>
      <c r="BB300">
        <v>6.7</v>
      </c>
      <c r="BC300">
        <v>158.80000000000001</v>
      </c>
      <c r="BD300">
        <v>18.399999999999999</v>
      </c>
      <c r="BE300">
        <v>2.1</v>
      </c>
      <c r="BF300">
        <v>20.100000000000001</v>
      </c>
      <c r="BG300">
        <v>33.6</v>
      </c>
      <c r="BH300">
        <v>10.1</v>
      </c>
      <c r="BI300">
        <v>56.2</v>
      </c>
      <c r="BJ300">
        <v>20.399999999999999</v>
      </c>
      <c r="BK300">
        <v>0.6</v>
      </c>
      <c r="BL300">
        <v>30.2</v>
      </c>
      <c r="BM300">
        <v>4.4000000000000004</v>
      </c>
      <c r="BN300">
        <v>1.7</v>
      </c>
      <c r="BO300">
        <v>1.52</v>
      </c>
      <c r="BP300">
        <v>0.1</v>
      </c>
      <c r="BQ300">
        <v>0.26</v>
      </c>
      <c r="BR300">
        <v>437</v>
      </c>
      <c r="BS300">
        <v>192.8</v>
      </c>
      <c r="BT300">
        <v>3312</v>
      </c>
      <c r="BU300">
        <v>1500</v>
      </c>
      <c r="BV300">
        <v>7.63</v>
      </c>
      <c r="BW300">
        <v>4.9800000000000004</v>
      </c>
      <c r="BX300">
        <v>1.06</v>
      </c>
      <c r="BY300">
        <v>11.6</v>
      </c>
      <c r="BZ300">
        <v>37.4</v>
      </c>
      <c r="CA300">
        <v>0.46</v>
      </c>
      <c r="CB300">
        <v>0.53</v>
      </c>
      <c r="CC300">
        <v>8.8000000000000007</v>
      </c>
      <c r="CD300">
        <v>0.52</v>
      </c>
      <c r="CE300">
        <v>0.43</v>
      </c>
      <c r="CF300">
        <v>236.7</v>
      </c>
      <c r="CG300">
        <v>40.5</v>
      </c>
      <c r="CH300">
        <v>294</v>
      </c>
      <c r="CI300">
        <v>2.17</v>
      </c>
      <c r="CJ300">
        <v>2.4</v>
      </c>
      <c r="CK300">
        <v>1</v>
      </c>
      <c r="CL300" s="42" t="str">
        <f t="shared" si="53"/>
        <v>1</v>
      </c>
      <c r="CM300" s="4">
        <v>26</v>
      </c>
      <c r="CN300" s="4">
        <f t="shared" si="52"/>
        <v>1.56</v>
      </c>
      <c r="CO300">
        <v>7</v>
      </c>
      <c r="CP300" s="42" t="str">
        <f t="shared" si="54"/>
        <v>1</v>
      </c>
      <c r="CQ300" s="4">
        <v>78</v>
      </c>
      <c r="CR300" s="4">
        <v>1.9592592592592593</v>
      </c>
      <c r="CS300" s="43" t="str">
        <f t="shared" si="55"/>
        <v>1</v>
      </c>
      <c r="CT300" s="4">
        <f t="shared" si="56"/>
        <v>104</v>
      </c>
      <c r="CU300" s="4">
        <f t="shared" si="57"/>
        <v>3.5192592592592593</v>
      </c>
      <c r="CV300" s="4">
        <v>3</v>
      </c>
    </row>
    <row r="301" spans="1:100" x14ac:dyDescent="0.3">
      <c r="A301" s="8" t="s">
        <v>337</v>
      </c>
      <c r="B301" s="18">
        <v>1</v>
      </c>
      <c r="C301">
        <v>59</v>
      </c>
      <c r="D301">
        <v>3</v>
      </c>
      <c r="E301">
        <v>1</v>
      </c>
      <c r="F301">
        <v>1</v>
      </c>
      <c r="G301">
        <v>0</v>
      </c>
      <c r="H301">
        <v>0</v>
      </c>
      <c r="I301">
        <v>1</v>
      </c>
      <c r="J301">
        <v>37.299999999999997</v>
      </c>
      <c r="K301">
        <v>1.3979999999999999</v>
      </c>
      <c r="L301">
        <f t="shared" si="50"/>
        <v>139.79999999999998</v>
      </c>
      <c r="M301" s="82">
        <v>10.816999999999998</v>
      </c>
      <c r="N301" s="4">
        <v>25.3</v>
      </c>
      <c r="O301" s="4">
        <v>29</v>
      </c>
      <c r="P301" s="39">
        <v>0</v>
      </c>
      <c r="Q301">
        <v>72</v>
      </c>
      <c r="R301" s="40">
        <v>0</v>
      </c>
      <c r="S301">
        <v>88</v>
      </c>
      <c r="T301" s="5">
        <v>0.81818181818181823</v>
      </c>
      <c r="U301" s="39">
        <v>0</v>
      </c>
      <c r="V301" s="4">
        <v>19.085102159021371</v>
      </c>
      <c r="W301" s="37">
        <v>0</v>
      </c>
      <c r="X301" s="4">
        <v>4</v>
      </c>
      <c r="Y301" s="40">
        <v>0</v>
      </c>
      <c r="Z301" s="5">
        <v>8.4019999999999992</v>
      </c>
      <c r="AA301" s="5">
        <v>1.4526124444444444</v>
      </c>
      <c r="AB301" s="85">
        <v>0</v>
      </c>
      <c r="AC301" s="5">
        <v>3.89</v>
      </c>
      <c r="AD301" s="37">
        <v>0</v>
      </c>
      <c r="AE301">
        <v>42.37</v>
      </c>
      <c r="AF301" s="5">
        <v>7.26</v>
      </c>
      <c r="AG301" s="37">
        <v>1</v>
      </c>
      <c r="AH301" s="5">
        <v>0.89</v>
      </c>
      <c r="AI301" s="1">
        <v>1</v>
      </c>
      <c r="AJ301" s="13">
        <v>5.37</v>
      </c>
      <c r="AK301" s="1">
        <v>0</v>
      </c>
      <c r="AL301" s="13">
        <v>1.49</v>
      </c>
      <c r="AM301" s="1">
        <v>0</v>
      </c>
      <c r="AN301" s="82">
        <f t="shared" si="51"/>
        <v>4.8724832214765099</v>
      </c>
      <c r="AO301" s="1">
        <v>1</v>
      </c>
      <c r="AP301">
        <v>128</v>
      </c>
      <c r="AQ301" s="37">
        <v>0</v>
      </c>
      <c r="AR301">
        <v>89</v>
      </c>
      <c r="AS301" s="37">
        <v>1</v>
      </c>
      <c r="AT301">
        <v>87</v>
      </c>
      <c r="AU301">
        <v>39</v>
      </c>
      <c r="AV301">
        <v>8.3000000000000007</v>
      </c>
      <c r="AW301">
        <v>1</v>
      </c>
      <c r="AX301">
        <v>1090</v>
      </c>
      <c r="AY301">
        <v>25.9</v>
      </c>
      <c r="AZ301">
        <v>25.2</v>
      </c>
      <c r="BA301">
        <v>201.8</v>
      </c>
      <c r="BB301">
        <v>5.8</v>
      </c>
      <c r="BC301">
        <v>126.5</v>
      </c>
      <c r="BD301">
        <v>62.8</v>
      </c>
      <c r="BE301">
        <v>53.7</v>
      </c>
      <c r="BF301">
        <v>21.6</v>
      </c>
      <c r="BG301">
        <v>20.8</v>
      </c>
      <c r="BH301">
        <v>9.5</v>
      </c>
      <c r="BI301">
        <v>69.400000000000006</v>
      </c>
      <c r="BJ301">
        <v>13</v>
      </c>
      <c r="BK301">
        <v>18.5</v>
      </c>
      <c r="BL301">
        <v>15.8</v>
      </c>
      <c r="BM301">
        <v>2.5</v>
      </c>
      <c r="BN301">
        <v>1.5</v>
      </c>
      <c r="BO301">
        <v>1.0900000000000001</v>
      </c>
      <c r="BP301">
        <v>0.15</v>
      </c>
      <c r="BQ301">
        <v>0.03</v>
      </c>
      <c r="BR301">
        <v>191</v>
      </c>
      <c r="BS301">
        <v>94.4</v>
      </c>
      <c r="BT301">
        <v>2024</v>
      </c>
      <c r="BU301">
        <v>816</v>
      </c>
      <c r="BV301">
        <v>4.76</v>
      </c>
      <c r="BW301">
        <v>2.97</v>
      </c>
      <c r="BX301">
        <v>0.81</v>
      </c>
      <c r="BY301">
        <v>22.6</v>
      </c>
      <c r="BZ301">
        <v>14.8</v>
      </c>
      <c r="CA301">
        <v>0.44</v>
      </c>
      <c r="CB301">
        <v>0.69</v>
      </c>
      <c r="CC301">
        <v>5.5</v>
      </c>
      <c r="CD301">
        <v>0.31</v>
      </c>
      <c r="CE301">
        <v>1.01</v>
      </c>
      <c r="CF301">
        <v>81.099999999999994</v>
      </c>
      <c r="CG301">
        <v>9.1999999999999993</v>
      </c>
      <c r="CH301">
        <v>85</v>
      </c>
      <c r="CI301">
        <v>1.07</v>
      </c>
      <c r="CJ301">
        <v>0.9</v>
      </c>
      <c r="CK301">
        <v>3</v>
      </c>
      <c r="CL301" s="42" t="str">
        <f t="shared" si="53"/>
        <v>1</v>
      </c>
      <c r="CM301" s="4">
        <v>18</v>
      </c>
      <c r="CN301" s="4">
        <f t="shared" si="52"/>
        <v>0.78666666666666674</v>
      </c>
      <c r="CO301">
        <v>4</v>
      </c>
      <c r="CP301" s="42" t="str">
        <f t="shared" si="54"/>
        <v>1</v>
      </c>
      <c r="CQ301" s="4">
        <v>39.333333333333336</v>
      </c>
      <c r="CR301" s="4">
        <v>1.3580246913580247</v>
      </c>
      <c r="CS301" s="43" t="str">
        <f t="shared" si="55"/>
        <v>1</v>
      </c>
      <c r="CT301" s="4">
        <f t="shared" si="56"/>
        <v>57.333333333333336</v>
      </c>
      <c r="CU301" s="4">
        <f t="shared" si="57"/>
        <v>2.1446913580246916</v>
      </c>
      <c r="CV301" s="4">
        <v>2</v>
      </c>
    </row>
    <row r="302" spans="1:100" x14ac:dyDescent="0.3">
      <c r="A302" s="8" t="s">
        <v>336</v>
      </c>
      <c r="B302" s="18">
        <v>1</v>
      </c>
      <c r="C302">
        <v>43</v>
      </c>
      <c r="D302">
        <v>1</v>
      </c>
      <c r="E302">
        <v>3</v>
      </c>
      <c r="F302">
        <v>0</v>
      </c>
      <c r="G302">
        <v>0</v>
      </c>
      <c r="H302">
        <v>0</v>
      </c>
      <c r="I302">
        <v>1</v>
      </c>
      <c r="J302">
        <v>60.3</v>
      </c>
      <c r="K302">
        <v>1.579</v>
      </c>
      <c r="L302">
        <f t="shared" si="50"/>
        <v>157.9</v>
      </c>
      <c r="M302" s="82">
        <v>20.682899999999997</v>
      </c>
      <c r="N302" s="4">
        <v>37.200000000000003</v>
      </c>
      <c r="O302" s="4">
        <v>34.299999999999997</v>
      </c>
      <c r="P302" s="39">
        <v>1</v>
      </c>
      <c r="Q302">
        <v>89</v>
      </c>
      <c r="R302" s="40">
        <v>1</v>
      </c>
      <c r="S302">
        <v>103</v>
      </c>
      <c r="T302" s="5">
        <v>0.86407766990291257</v>
      </c>
      <c r="U302" s="39">
        <v>0</v>
      </c>
      <c r="V302" s="4">
        <v>24.185387613953083</v>
      </c>
      <c r="W302" s="37">
        <v>1</v>
      </c>
      <c r="X302" s="4">
        <v>6</v>
      </c>
      <c r="Y302" s="40">
        <v>0</v>
      </c>
      <c r="Z302" s="5">
        <v>25.934999999999999</v>
      </c>
      <c r="AA302" s="5">
        <v>4.9218866666666656</v>
      </c>
      <c r="AB302" s="85">
        <v>1</v>
      </c>
      <c r="AC302" s="5">
        <v>4.2699999999999996</v>
      </c>
      <c r="AD302" s="37">
        <v>0</v>
      </c>
      <c r="AE302">
        <v>3</v>
      </c>
      <c r="AF302" s="5">
        <v>5.22</v>
      </c>
      <c r="AG302" s="37">
        <v>1</v>
      </c>
      <c r="AH302" s="5">
        <v>1.1299999999999999</v>
      </c>
      <c r="AI302" s="1">
        <v>1</v>
      </c>
      <c r="AJ302" s="13">
        <v>3.54</v>
      </c>
      <c r="AK302" s="1">
        <v>1</v>
      </c>
      <c r="AL302" s="13">
        <v>1.17</v>
      </c>
      <c r="AM302" s="1">
        <v>1</v>
      </c>
      <c r="AN302" s="82">
        <f t="shared" si="51"/>
        <v>4.4615384615384617</v>
      </c>
      <c r="AO302" s="1">
        <v>1</v>
      </c>
      <c r="AP302">
        <v>121</v>
      </c>
      <c r="AQ302" s="37">
        <v>0</v>
      </c>
      <c r="AR302">
        <v>64</v>
      </c>
      <c r="AS302" s="37">
        <v>0</v>
      </c>
      <c r="AT302">
        <v>87</v>
      </c>
      <c r="AU302">
        <v>57</v>
      </c>
      <c r="AV302">
        <v>6.3</v>
      </c>
      <c r="AW302">
        <v>1</v>
      </c>
      <c r="AX302">
        <v>1814</v>
      </c>
      <c r="AY302">
        <v>68.7</v>
      </c>
      <c r="AZ302">
        <v>72.599999999999994</v>
      </c>
      <c r="BA302">
        <v>235.1</v>
      </c>
      <c r="BB302">
        <v>5.7</v>
      </c>
      <c r="BC302">
        <v>203</v>
      </c>
      <c r="BD302">
        <v>18.600000000000001</v>
      </c>
      <c r="BE302">
        <v>6.6</v>
      </c>
      <c r="BF302">
        <v>173.2</v>
      </c>
      <c r="BG302">
        <v>36</v>
      </c>
      <c r="BH302">
        <v>15.1</v>
      </c>
      <c r="BI302">
        <v>48.6</v>
      </c>
      <c r="BJ302">
        <v>22.8</v>
      </c>
      <c r="BK302">
        <v>1.4</v>
      </c>
      <c r="BL302">
        <v>45.9</v>
      </c>
      <c r="BM302">
        <v>6.5</v>
      </c>
      <c r="BN302">
        <v>3.5</v>
      </c>
      <c r="BO302">
        <v>2.13</v>
      </c>
      <c r="BP302">
        <v>0.77</v>
      </c>
      <c r="BQ302">
        <v>0</v>
      </c>
      <c r="BR302">
        <v>375</v>
      </c>
      <c r="BS302">
        <v>227.4</v>
      </c>
      <c r="BT302">
        <v>6223</v>
      </c>
      <c r="BU302">
        <v>2067</v>
      </c>
      <c r="BV302">
        <v>10.08</v>
      </c>
      <c r="BW302">
        <v>6.02</v>
      </c>
      <c r="BX302">
        <v>1.24</v>
      </c>
      <c r="BY302">
        <v>120.4</v>
      </c>
      <c r="BZ302">
        <v>60.5</v>
      </c>
      <c r="CA302">
        <v>1.51</v>
      </c>
      <c r="CB302">
        <v>0.94</v>
      </c>
      <c r="CC302">
        <v>17.2</v>
      </c>
      <c r="CD302">
        <v>1.23</v>
      </c>
      <c r="CE302">
        <v>6.52</v>
      </c>
      <c r="CF302">
        <v>130.5</v>
      </c>
      <c r="CG302">
        <v>19.3</v>
      </c>
      <c r="CH302">
        <v>242</v>
      </c>
      <c r="CI302">
        <v>10.1</v>
      </c>
      <c r="CJ302">
        <v>3.2</v>
      </c>
      <c r="CK302">
        <v>0</v>
      </c>
      <c r="CL302" s="42" t="str">
        <f t="shared" si="53"/>
        <v>1</v>
      </c>
      <c r="CM302" s="4">
        <v>0</v>
      </c>
      <c r="CN302" s="4">
        <f t="shared" si="52"/>
        <v>0</v>
      </c>
      <c r="CP302" s="42" t="str">
        <f t="shared" si="54"/>
        <v>1</v>
      </c>
      <c r="CQ302" s="4">
        <v>0</v>
      </c>
      <c r="CR302" s="4">
        <v>0</v>
      </c>
      <c r="CS302" s="43" t="str">
        <f t="shared" si="55"/>
        <v>1</v>
      </c>
      <c r="CT302" s="4">
        <f t="shared" si="56"/>
        <v>0</v>
      </c>
      <c r="CU302" s="4">
        <f t="shared" si="57"/>
        <v>0</v>
      </c>
      <c r="CV302" s="4">
        <v>1</v>
      </c>
    </row>
    <row r="303" spans="1:100" x14ac:dyDescent="0.3">
      <c r="A303" s="8" t="s">
        <v>335</v>
      </c>
      <c r="B303" s="18">
        <v>1</v>
      </c>
      <c r="C303">
        <v>38</v>
      </c>
      <c r="D303">
        <v>1</v>
      </c>
      <c r="E303">
        <v>3</v>
      </c>
      <c r="F303">
        <v>0</v>
      </c>
      <c r="G303">
        <v>0</v>
      </c>
      <c r="H303">
        <v>0</v>
      </c>
      <c r="I303">
        <v>1</v>
      </c>
      <c r="J303">
        <v>66.2</v>
      </c>
      <c r="K303">
        <v>1.5660000000000001</v>
      </c>
      <c r="L303">
        <f t="shared" si="50"/>
        <v>156.6</v>
      </c>
      <c r="M303" s="82">
        <v>25.4208</v>
      </c>
      <c r="N303" s="4">
        <v>38.5</v>
      </c>
      <c r="O303" s="4">
        <v>38.4</v>
      </c>
      <c r="P303" s="39">
        <v>1</v>
      </c>
      <c r="Q303">
        <v>93</v>
      </c>
      <c r="R303" s="40">
        <v>1</v>
      </c>
      <c r="S303">
        <v>105</v>
      </c>
      <c r="T303" s="5">
        <v>0.88571428571428568</v>
      </c>
      <c r="U303" s="39">
        <v>1</v>
      </c>
      <c r="V303" s="4">
        <v>26.994449419252344</v>
      </c>
      <c r="W303" s="37">
        <v>1</v>
      </c>
      <c r="X303" s="4">
        <v>7</v>
      </c>
      <c r="Y303" s="40">
        <v>0</v>
      </c>
      <c r="Z303" s="5">
        <v>26.629000000000001</v>
      </c>
      <c r="AA303" s="5">
        <v>4.9234062222222228</v>
      </c>
      <c r="AB303" s="85">
        <v>1</v>
      </c>
      <c r="AC303" s="5">
        <v>4.16</v>
      </c>
      <c r="AD303" s="37">
        <v>0</v>
      </c>
      <c r="AE303">
        <v>40.81</v>
      </c>
      <c r="AF303" s="5">
        <v>6.94</v>
      </c>
      <c r="AG303" s="37">
        <v>1</v>
      </c>
      <c r="AH303" s="5">
        <v>1.61</v>
      </c>
      <c r="AI303" s="1">
        <v>1</v>
      </c>
      <c r="AJ303" s="13">
        <v>4.9400000000000004</v>
      </c>
      <c r="AK303" s="1">
        <v>1</v>
      </c>
      <c r="AL303" s="13">
        <v>1.27</v>
      </c>
      <c r="AM303" s="1">
        <v>1</v>
      </c>
      <c r="AN303" s="82">
        <f t="shared" si="51"/>
        <v>5.4645669291338583</v>
      </c>
      <c r="AO303" s="1">
        <v>1</v>
      </c>
      <c r="AP303">
        <v>115</v>
      </c>
      <c r="AQ303" s="37">
        <v>0</v>
      </c>
      <c r="AR303">
        <v>69</v>
      </c>
      <c r="AS303" s="37">
        <v>0</v>
      </c>
      <c r="AT303">
        <v>86</v>
      </c>
      <c r="AU303">
        <v>46</v>
      </c>
      <c r="AV303">
        <v>5.9</v>
      </c>
      <c r="AW303">
        <v>1</v>
      </c>
      <c r="AX303">
        <v>1305</v>
      </c>
      <c r="AY303">
        <v>44.2</v>
      </c>
      <c r="AZ303">
        <v>35.9</v>
      </c>
      <c r="BA303">
        <v>213.8</v>
      </c>
      <c r="BB303">
        <v>6.1</v>
      </c>
      <c r="BC303">
        <v>173.9</v>
      </c>
      <c r="BD303">
        <v>21.3</v>
      </c>
      <c r="BE303">
        <v>16.899999999999999</v>
      </c>
      <c r="BF303">
        <v>42.8</v>
      </c>
      <c r="BG303">
        <v>24.8</v>
      </c>
      <c r="BH303">
        <v>13.5</v>
      </c>
      <c r="BI303">
        <v>61.4</v>
      </c>
      <c r="BJ303">
        <v>17.600000000000001</v>
      </c>
      <c r="BK303">
        <v>4.9000000000000004</v>
      </c>
      <c r="BL303">
        <v>25.6</v>
      </c>
      <c r="BM303">
        <v>2.6</v>
      </c>
      <c r="BN303">
        <v>1.2</v>
      </c>
      <c r="BO303">
        <v>0.99</v>
      </c>
      <c r="BP303">
        <v>0.03</v>
      </c>
      <c r="BQ303">
        <v>0</v>
      </c>
      <c r="BR303">
        <v>221</v>
      </c>
      <c r="BS303">
        <v>144.4</v>
      </c>
      <c r="BT303">
        <v>2224</v>
      </c>
      <c r="BU303">
        <v>1365</v>
      </c>
      <c r="BV303">
        <v>8.9499999999999993</v>
      </c>
      <c r="BW303">
        <v>6.04</v>
      </c>
      <c r="BX303">
        <v>1.57</v>
      </c>
      <c r="BY303">
        <v>26.4</v>
      </c>
      <c r="BZ303">
        <v>30.8</v>
      </c>
      <c r="CA303">
        <v>0.35</v>
      </c>
      <c r="CB303">
        <v>0.25</v>
      </c>
      <c r="CC303">
        <v>12.1</v>
      </c>
      <c r="CD303">
        <v>0.76</v>
      </c>
      <c r="CE303">
        <v>0.56999999999999995</v>
      </c>
      <c r="CF303">
        <v>169.5</v>
      </c>
      <c r="CG303">
        <v>7.8</v>
      </c>
      <c r="CH303">
        <v>137</v>
      </c>
      <c r="CI303">
        <v>1.92</v>
      </c>
      <c r="CJ303">
        <v>0.6</v>
      </c>
      <c r="CK303">
        <v>0</v>
      </c>
      <c r="CL303" s="42" t="str">
        <f t="shared" si="53"/>
        <v>1</v>
      </c>
      <c r="CM303" s="4">
        <v>0</v>
      </c>
      <c r="CN303" s="4">
        <f t="shared" si="52"/>
        <v>1.3133333333333335</v>
      </c>
      <c r="CO303">
        <v>3</v>
      </c>
      <c r="CP303" s="42" t="str">
        <f t="shared" si="54"/>
        <v>1</v>
      </c>
      <c r="CQ303" s="4">
        <v>65.666666666666671</v>
      </c>
      <c r="CR303" s="4">
        <v>2.8703703703703707</v>
      </c>
      <c r="CS303" s="43" t="str">
        <f t="shared" si="55"/>
        <v>1</v>
      </c>
      <c r="CT303" s="4">
        <f t="shared" si="56"/>
        <v>65.666666666666671</v>
      </c>
      <c r="CU303" s="4">
        <f t="shared" si="57"/>
        <v>4.1837037037037046</v>
      </c>
      <c r="CV303" s="4">
        <v>4</v>
      </c>
    </row>
    <row r="304" spans="1:100" x14ac:dyDescent="0.3">
      <c r="A304" s="8" t="s">
        <v>334</v>
      </c>
      <c r="B304" s="18">
        <v>1</v>
      </c>
      <c r="C304">
        <v>49</v>
      </c>
      <c r="D304">
        <v>1</v>
      </c>
      <c r="E304">
        <v>3</v>
      </c>
      <c r="F304">
        <v>0</v>
      </c>
      <c r="G304">
        <v>0</v>
      </c>
      <c r="H304">
        <v>0</v>
      </c>
      <c r="I304">
        <v>0</v>
      </c>
      <c r="J304">
        <v>65.099999999999994</v>
      </c>
      <c r="K304">
        <v>1.6140000000000001</v>
      </c>
      <c r="L304">
        <f t="shared" si="50"/>
        <v>161.4</v>
      </c>
      <c r="M304" s="82">
        <v>23.370899999999995</v>
      </c>
      <c r="N304" s="4">
        <v>39.4</v>
      </c>
      <c r="O304" s="4">
        <v>35.9</v>
      </c>
      <c r="P304" s="39">
        <v>1</v>
      </c>
      <c r="Q304">
        <v>92</v>
      </c>
      <c r="R304" s="40">
        <v>1</v>
      </c>
      <c r="S304">
        <v>108</v>
      </c>
      <c r="T304" s="5">
        <v>0.85185185185185186</v>
      </c>
      <c r="U304" s="39">
        <v>0</v>
      </c>
      <c r="V304" s="4">
        <v>24.990441444055953</v>
      </c>
      <c r="W304" s="37">
        <v>1</v>
      </c>
      <c r="X304" s="4">
        <v>7</v>
      </c>
      <c r="Y304" s="40">
        <v>0</v>
      </c>
      <c r="Z304" s="5">
        <v>12.847</v>
      </c>
      <c r="AA304" s="5">
        <v>2.4609142222222218</v>
      </c>
      <c r="AB304" s="85">
        <v>0</v>
      </c>
      <c r="AC304" s="13">
        <v>4.3099999999999996</v>
      </c>
      <c r="AD304" s="37">
        <v>0</v>
      </c>
      <c r="AE304">
        <v>9.75</v>
      </c>
      <c r="AF304" s="5">
        <v>5.1100000000000003</v>
      </c>
      <c r="AG304" s="37">
        <v>1</v>
      </c>
      <c r="AH304" s="5">
        <v>1.04</v>
      </c>
      <c r="AI304" s="1">
        <v>1</v>
      </c>
      <c r="AJ304" s="13">
        <v>3.56</v>
      </c>
      <c r="AK304" s="1">
        <v>1</v>
      </c>
      <c r="AL304" s="13">
        <v>1.08</v>
      </c>
      <c r="AM304" s="1">
        <v>1</v>
      </c>
      <c r="AN304" s="82">
        <f t="shared" si="51"/>
        <v>4.7314814814814818</v>
      </c>
      <c r="AO304" s="1">
        <v>1</v>
      </c>
      <c r="AP304">
        <v>127</v>
      </c>
      <c r="AQ304" s="37">
        <v>0</v>
      </c>
      <c r="AR304">
        <v>80</v>
      </c>
      <c r="AS304" s="37">
        <v>0</v>
      </c>
      <c r="AT304">
        <v>79</v>
      </c>
      <c r="AU304">
        <v>47</v>
      </c>
      <c r="AV304">
        <v>7.2</v>
      </c>
      <c r="AW304">
        <v>1</v>
      </c>
      <c r="AX304">
        <v>1228</v>
      </c>
      <c r="AY304">
        <v>30.2</v>
      </c>
      <c r="AZ304">
        <v>31</v>
      </c>
      <c r="BA304">
        <v>220.3</v>
      </c>
      <c r="BB304">
        <v>8.5</v>
      </c>
      <c r="BC304">
        <v>157.6</v>
      </c>
      <c r="BD304">
        <v>39.9</v>
      </c>
      <c r="BE304">
        <v>21.8</v>
      </c>
      <c r="BF304">
        <v>35.5</v>
      </c>
      <c r="BG304">
        <v>22.8</v>
      </c>
      <c r="BH304">
        <v>9.8000000000000007</v>
      </c>
      <c r="BI304">
        <v>67.3</v>
      </c>
      <c r="BJ304">
        <v>16.399999999999999</v>
      </c>
      <c r="BK304">
        <v>6.6</v>
      </c>
      <c r="BL304">
        <v>22.4</v>
      </c>
      <c r="BM304">
        <v>2.9</v>
      </c>
      <c r="BN304">
        <v>1.5</v>
      </c>
      <c r="BO304">
        <v>1.33</v>
      </c>
      <c r="BP304">
        <v>0.08</v>
      </c>
      <c r="BQ304">
        <v>0.15</v>
      </c>
      <c r="BR304">
        <v>294</v>
      </c>
      <c r="BS304">
        <v>167.2</v>
      </c>
      <c r="BT304">
        <v>2114</v>
      </c>
      <c r="BU304">
        <v>1381</v>
      </c>
      <c r="BV304">
        <v>6.86</v>
      </c>
      <c r="BW304">
        <v>4.84</v>
      </c>
      <c r="BX304">
        <v>0.78</v>
      </c>
      <c r="BY304">
        <v>31.8</v>
      </c>
      <c r="BZ304">
        <v>28.9</v>
      </c>
      <c r="CA304">
        <v>0.82</v>
      </c>
      <c r="CB304">
        <v>0.99</v>
      </c>
      <c r="CC304">
        <v>8.6</v>
      </c>
      <c r="CD304">
        <v>0.61</v>
      </c>
      <c r="CE304">
        <v>0.38</v>
      </c>
      <c r="CF304">
        <v>130.1</v>
      </c>
      <c r="CG304">
        <v>17.3</v>
      </c>
      <c r="CH304">
        <v>208</v>
      </c>
      <c r="CI304">
        <v>0.43</v>
      </c>
      <c r="CJ304">
        <v>0.8</v>
      </c>
      <c r="CK304">
        <v>1</v>
      </c>
      <c r="CL304" s="42" t="str">
        <f t="shared" si="53"/>
        <v>1</v>
      </c>
      <c r="CM304" s="4">
        <v>53.333333333333336</v>
      </c>
      <c r="CN304" s="4">
        <f t="shared" si="52"/>
        <v>0.7533333333333333</v>
      </c>
      <c r="CO304">
        <v>6</v>
      </c>
      <c r="CP304" s="42" t="str">
        <f t="shared" si="54"/>
        <v>1</v>
      </c>
      <c r="CQ304" s="4">
        <v>37.666666666666664</v>
      </c>
      <c r="CR304" s="4">
        <v>1.4320987654320987</v>
      </c>
      <c r="CS304" s="43" t="str">
        <f t="shared" si="55"/>
        <v>1</v>
      </c>
      <c r="CT304" s="4">
        <f t="shared" si="56"/>
        <v>91</v>
      </c>
      <c r="CU304" s="4">
        <f t="shared" si="57"/>
        <v>2.1854320987654319</v>
      </c>
      <c r="CV304" s="4">
        <v>2</v>
      </c>
    </row>
    <row r="305" spans="1:100" x14ac:dyDescent="0.3">
      <c r="A305" s="8" t="s">
        <v>333</v>
      </c>
      <c r="B305" s="18">
        <v>1</v>
      </c>
      <c r="C305">
        <v>45</v>
      </c>
      <c r="D305">
        <v>1</v>
      </c>
      <c r="E305">
        <v>3</v>
      </c>
      <c r="F305">
        <v>0</v>
      </c>
      <c r="G305">
        <v>0</v>
      </c>
      <c r="H305">
        <v>0</v>
      </c>
      <c r="I305">
        <v>1</v>
      </c>
      <c r="J305">
        <v>36.6</v>
      </c>
      <c r="K305">
        <v>1.518</v>
      </c>
      <c r="L305">
        <f t="shared" si="50"/>
        <v>151.80000000000001</v>
      </c>
      <c r="M305" s="82">
        <v>7.9056000000000006</v>
      </c>
      <c r="N305" s="4">
        <v>27.2</v>
      </c>
      <c r="O305" s="4">
        <v>21.6</v>
      </c>
      <c r="P305" s="39">
        <v>0</v>
      </c>
      <c r="Q305">
        <v>60</v>
      </c>
      <c r="R305" s="40">
        <v>0</v>
      </c>
      <c r="S305">
        <v>86</v>
      </c>
      <c r="T305" s="5">
        <v>0.69767441860465118</v>
      </c>
      <c r="U305" s="39">
        <v>0</v>
      </c>
      <c r="V305" s="4">
        <v>15.883183094044066</v>
      </c>
      <c r="W305" s="37">
        <v>0</v>
      </c>
      <c r="X305" s="4">
        <v>1</v>
      </c>
      <c r="Y305" s="40">
        <v>0</v>
      </c>
      <c r="Z305" s="5">
        <v>10.036</v>
      </c>
      <c r="AA305" s="5">
        <v>1.6592853333333333</v>
      </c>
      <c r="AB305" s="85">
        <v>0</v>
      </c>
      <c r="AC305" s="13">
        <v>3.72</v>
      </c>
      <c r="AD305" s="37">
        <v>0</v>
      </c>
      <c r="AE305" s="21">
        <v>3</v>
      </c>
      <c r="AF305" s="5">
        <v>4.7300000000000004</v>
      </c>
      <c r="AG305" s="37">
        <v>0</v>
      </c>
      <c r="AH305" s="5">
        <v>0.84</v>
      </c>
      <c r="AI305" s="1">
        <v>0</v>
      </c>
      <c r="AJ305" s="13">
        <v>3.21</v>
      </c>
      <c r="AK305" s="1">
        <v>1</v>
      </c>
      <c r="AL305" s="13">
        <v>1.1399999999999999</v>
      </c>
      <c r="AM305" s="1">
        <v>1</v>
      </c>
      <c r="AN305" s="82">
        <f t="shared" si="51"/>
        <v>4.1491228070175445</v>
      </c>
      <c r="AO305" s="1">
        <v>1</v>
      </c>
      <c r="AP305">
        <v>130</v>
      </c>
      <c r="AQ305" s="37">
        <v>1</v>
      </c>
      <c r="AR305">
        <v>85</v>
      </c>
      <c r="AS305" s="37">
        <v>1</v>
      </c>
      <c r="AT305">
        <v>84</v>
      </c>
      <c r="AU305">
        <v>45</v>
      </c>
      <c r="AV305">
        <v>6.9</v>
      </c>
      <c r="AW305">
        <v>1</v>
      </c>
      <c r="AX305">
        <v>1691</v>
      </c>
      <c r="AY305">
        <v>50.1</v>
      </c>
      <c r="AZ305">
        <v>50.6</v>
      </c>
      <c r="BA305">
        <v>275.2</v>
      </c>
      <c r="BB305">
        <v>7.9</v>
      </c>
      <c r="BC305">
        <v>168.1</v>
      </c>
      <c r="BD305">
        <v>82</v>
      </c>
      <c r="BE305">
        <v>68.900000000000006</v>
      </c>
      <c r="BF305">
        <v>126.5</v>
      </c>
      <c r="BG305">
        <v>26.9</v>
      </c>
      <c r="BH305">
        <v>11.9</v>
      </c>
      <c r="BI305">
        <v>61</v>
      </c>
      <c r="BJ305">
        <v>19.8</v>
      </c>
      <c r="BK305">
        <v>15.3</v>
      </c>
      <c r="BL305">
        <v>37.200000000000003</v>
      </c>
      <c r="BM305">
        <v>6</v>
      </c>
      <c r="BN305">
        <v>2.6</v>
      </c>
      <c r="BO305">
        <v>2.2200000000000002</v>
      </c>
      <c r="BP305">
        <v>0.25</v>
      </c>
      <c r="BQ305">
        <v>0.25</v>
      </c>
      <c r="BR305">
        <v>515</v>
      </c>
      <c r="BS305">
        <v>183.4</v>
      </c>
      <c r="BT305">
        <v>2763</v>
      </c>
      <c r="BU305">
        <v>1934</v>
      </c>
      <c r="BV305">
        <v>10.83</v>
      </c>
      <c r="BW305">
        <v>6.95</v>
      </c>
      <c r="BX305">
        <v>1.65</v>
      </c>
      <c r="BY305">
        <v>41.5</v>
      </c>
      <c r="BZ305">
        <v>59.8</v>
      </c>
      <c r="CA305">
        <v>0.51</v>
      </c>
      <c r="CB305">
        <v>0.6</v>
      </c>
      <c r="CC305">
        <v>14.6</v>
      </c>
      <c r="CD305">
        <v>0.74</v>
      </c>
      <c r="CE305">
        <v>1.31</v>
      </c>
      <c r="CF305">
        <v>167.7</v>
      </c>
      <c r="CG305">
        <v>27.7</v>
      </c>
      <c r="CH305">
        <v>304</v>
      </c>
      <c r="CI305">
        <v>1.25</v>
      </c>
      <c r="CJ305">
        <v>1.6</v>
      </c>
      <c r="CK305">
        <v>1</v>
      </c>
      <c r="CL305" s="42" t="str">
        <f t="shared" si="53"/>
        <v>1</v>
      </c>
      <c r="CM305" s="4">
        <v>26.666666666666668</v>
      </c>
      <c r="CN305" s="4">
        <f t="shared" si="52"/>
        <v>2.6066666666666669</v>
      </c>
      <c r="CO305">
        <v>6</v>
      </c>
      <c r="CP305" s="42" t="str">
        <f t="shared" si="54"/>
        <v>1</v>
      </c>
      <c r="CQ305" s="4">
        <v>130.33333333333334</v>
      </c>
      <c r="CR305" s="4">
        <v>3.2753086419753088</v>
      </c>
      <c r="CS305" s="43" t="str">
        <f t="shared" si="55"/>
        <v>2</v>
      </c>
      <c r="CT305" s="4">
        <f t="shared" si="56"/>
        <v>157</v>
      </c>
      <c r="CU305" s="4">
        <f t="shared" si="57"/>
        <v>5.8819753086419757</v>
      </c>
      <c r="CV305" s="4">
        <v>4</v>
      </c>
    </row>
    <row r="306" spans="1:100" x14ac:dyDescent="0.3">
      <c r="A306" s="8" t="s">
        <v>332</v>
      </c>
      <c r="B306" s="18">
        <v>1</v>
      </c>
      <c r="C306">
        <v>30</v>
      </c>
      <c r="D306">
        <v>1</v>
      </c>
      <c r="E306">
        <v>3</v>
      </c>
      <c r="F306">
        <v>0</v>
      </c>
      <c r="G306">
        <v>0</v>
      </c>
      <c r="H306">
        <v>0</v>
      </c>
      <c r="I306">
        <v>1</v>
      </c>
      <c r="J306">
        <v>52</v>
      </c>
      <c r="K306">
        <v>1.5289999999999999</v>
      </c>
      <c r="L306">
        <f t="shared" si="50"/>
        <v>152.89999999999998</v>
      </c>
      <c r="M306" s="82">
        <v>16.432000000000002</v>
      </c>
      <c r="N306" s="4">
        <v>33.6</v>
      </c>
      <c r="O306" s="4">
        <v>31.6</v>
      </c>
      <c r="P306" s="39">
        <v>0</v>
      </c>
      <c r="Q306">
        <v>74</v>
      </c>
      <c r="R306" s="40">
        <v>0</v>
      </c>
      <c r="S306">
        <v>93</v>
      </c>
      <c r="T306" s="5">
        <v>0.79569892473118276</v>
      </c>
      <c r="U306" s="39">
        <v>0</v>
      </c>
      <c r="V306" s="4">
        <v>22.242744480912094</v>
      </c>
      <c r="W306" s="37">
        <v>0</v>
      </c>
      <c r="X306" s="4">
        <v>4</v>
      </c>
      <c r="Y306" s="40">
        <v>0</v>
      </c>
      <c r="Z306" s="5">
        <v>13.789</v>
      </c>
      <c r="AA306" s="5">
        <v>2.9968093333333332</v>
      </c>
      <c r="AB306" s="85">
        <v>1</v>
      </c>
      <c r="AC306" s="5">
        <v>4.8899999999999997</v>
      </c>
      <c r="AD306" s="37">
        <v>0</v>
      </c>
      <c r="AE306">
        <v>34.26</v>
      </c>
      <c r="AF306" s="5">
        <v>7.02</v>
      </c>
      <c r="AG306" s="37">
        <v>1</v>
      </c>
      <c r="AH306" s="5">
        <v>1.88</v>
      </c>
      <c r="AI306" s="1">
        <v>1</v>
      </c>
      <c r="AJ306" s="13">
        <v>4.84</v>
      </c>
      <c r="AK306" s="1">
        <v>0</v>
      </c>
      <c r="AL306" s="13">
        <v>1.32</v>
      </c>
      <c r="AM306" s="1">
        <v>0</v>
      </c>
      <c r="AN306" s="82">
        <f t="shared" si="51"/>
        <v>5.3181818181818175</v>
      </c>
      <c r="AO306" s="1">
        <v>1</v>
      </c>
      <c r="AP306">
        <v>114</v>
      </c>
      <c r="AQ306" s="37">
        <v>0</v>
      </c>
      <c r="AR306">
        <v>77</v>
      </c>
      <c r="AS306" s="37">
        <v>0</v>
      </c>
      <c r="AT306">
        <v>76</v>
      </c>
      <c r="AU306">
        <v>37</v>
      </c>
      <c r="AV306">
        <v>5.2</v>
      </c>
      <c r="AW306">
        <v>1</v>
      </c>
      <c r="AX306">
        <v>1396</v>
      </c>
      <c r="AY306">
        <v>207</v>
      </c>
      <c r="AZ306">
        <v>49.2</v>
      </c>
      <c r="BA306">
        <v>215.1</v>
      </c>
      <c r="BB306">
        <v>8.9</v>
      </c>
      <c r="BC306">
        <v>167.1</v>
      </c>
      <c r="BD306">
        <v>31.2</v>
      </c>
      <c r="BE306">
        <v>25.4</v>
      </c>
      <c r="BF306">
        <v>64.8</v>
      </c>
      <c r="BG306">
        <v>31.7</v>
      </c>
      <c r="BH306">
        <v>59.3</v>
      </c>
      <c r="BI306">
        <v>57.8</v>
      </c>
      <c r="BJ306">
        <v>17.100000000000001</v>
      </c>
      <c r="BK306">
        <v>6.8</v>
      </c>
      <c r="BL306">
        <v>26.5</v>
      </c>
      <c r="BM306">
        <v>5.0999999999999996</v>
      </c>
      <c r="BN306">
        <v>2.5</v>
      </c>
      <c r="BO306">
        <v>1.33</v>
      </c>
      <c r="BP306">
        <v>1.04</v>
      </c>
      <c r="BQ306">
        <v>0.04</v>
      </c>
      <c r="BR306">
        <v>187</v>
      </c>
      <c r="BS306">
        <v>98.3</v>
      </c>
      <c r="BT306">
        <v>2636</v>
      </c>
      <c r="BU306">
        <v>976</v>
      </c>
      <c r="BV306">
        <v>6.31</v>
      </c>
      <c r="BW306">
        <v>2.88</v>
      </c>
      <c r="BX306">
        <v>1.01</v>
      </c>
      <c r="BY306">
        <v>21.8</v>
      </c>
      <c r="BZ306">
        <v>20.399999999999999</v>
      </c>
      <c r="CA306">
        <v>1.38</v>
      </c>
      <c r="CB306">
        <v>2.2400000000000002</v>
      </c>
      <c r="CC306">
        <v>8.1999999999999993</v>
      </c>
      <c r="CD306">
        <v>0.43</v>
      </c>
      <c r="CE306">
        <v>6.25</v>
      </c>
      <c r="CF306">
        <v>105.8</v>
      </c>
      <c r="CG306">
        <v>19.7</v>
      </c>
      <c r="CH306">
        <v>25210</v>
      </c>
      <c r="CI306">
        <v>9.35</v>
      </c>
      <c r="CJ306">
        <v>1.4</v>
      </c>
      <c r="CK306">
        <v>1</v>
      </c>
      <c r="CL306" s="42" t="str">
        <f t="shared" si="53"/>
        <v>1</v>
      </c>
      <c r="CM306" s="4">
        <v>4</v>
      </c>
      <c r="CN306" s="4">
        <f t="shared" si="52"/>
        <v>0.85333333333333328</v>
      </c>
      <c r="CO306">
        <v>3</v>
      </c>
      <c r="CP306" s="42" t="str">
        <f t="shared" si="54"/>
        <v>1</v>
      </c>
      <c r="CQ306" s="4">
        <v>42.666666666666664</v>
      </c>
      <c r="CR306" s="4">
        <v>1.691358024691358</v>
      </c>
      <c r="CS306" s="43" t="str">
        <f t="shared" si="55"/>
        <v>1</v>
      </c>
      <c r="CT306" s="4">
        <f t="shared" si="56"/>
        <v>46.666666666666664</v>
      </c>
      <c r="CU306" s="4">
        <f t="shared" si="57"/>
        <v>2.544691358024691</v>
      </c>
      <c r="CV306" s="4">
        <v>2</v>
      </c>
    </row>
    <row r="307" spans="1:100" x14ac:dyDescent="0.3">
      <c r="A307" s="8" t="s">
        <v>331</v>
      </c>
      <c r="B307" s="18">
        <v>1</v>
      </c>
      <c r="C307">
        <v>32</v>
      </c>
      <c r="D307">
        <v>1</v>
      </c>
      <c r="E307">
        <v>3</v>
      </c>
      <c r="F307">
        <v>0</v>
      </c>
      <c r="G307">
        <v>0</v>
      </c>
      <c r="H307">
        <v>0</v>
      </c>
      <c r="I307">
        <v>1</v>
      </c>
      <c r="J307">
        <v>60.5</v>
      </c>
      <c r="K307">
        <v>1.55</v>
      </c>
      <c r="L307">
        <f t="shared" si="50"/>
        <v>155</v>
      </c>
      <c r="M307" s="82">
        <v>21.961499999999997</v>
      </c>
      <c r="N307" s="4">
        <v>36.5</v>
      </c>
      <c r="O307" s="4">
        <v>36.299999999999997</v>
      </c>
      <c r="P307" s="39">
        <v>1</v>
      </c>
      <c r="Q307">
        <v>99</v>
      </c>
      <c r="R307" s="40">
        <v>1</v>
      </c>
      <c r="S307">
        <v>104</v>
      </c>
      <c r="T307" s="5">
        <v>0.95192307692307687</v>
      </c>
      <c r="U307" s="39">
        <v>1</v>
      </c>
      <c r="V307" s="4">
        <v>25.182101977107177</v>
      </c>
      <c r="W307" s="37">
        <v>1</v>
      </c>
      <c r="X307" s="4">
        <v>6</v>
      </c>
      <c r="Y307" s="40">
        <v>0</v>
      </c>
      <c r="Z307" s="5">
        <v>14.39</v>
      </c>
      <c r="AA307" s="5">
        <v>2.5262444444444445</v>
      </c>
      <c r="AB307" s="85">
        <v>0</v>
      </c>
      <c r="AC307" s="5">
        <v>3.95</v>
      </c>
      <c r="AD307" s="37">
        <v>0</v>
      </c>
      <c r="AE307">
        <v>24.28</v>
      </c>
      <c r="AF307" s="5">
        <v>5.55</v>
      </c>
      <c r="AG307" s="37">
        <v>1</v>
      </c>
      <c r="AH307" s="5">
        <v>0.83</v>
      </c>
      <c r="AI307" s="1">
        <v>1</v>
      </c>
      <c r="AJ307" s="13">
        <v>3.69</v>
      </c>
      <c r="AK307" s="1">
        <v>0</v>
      </c>
      <c r="AL307" s="13">
        <v>1.48</v>
      </c>
      <c r="AM307" s="1">
        <v>0</v>
      </c>
      <c r="AN307" s="82">
        <f t="shared" si="51"/>
        <v>3.75</v>
      </c>
      <c r="AO307" s="1">
        <v>0</v>
      </c>
      <c r="AP307">
        <v>111</v>
      </c>
      <c r="AQ307" s="37">
        <v>0</v>
      </c>
      <c r="AR307">
        <v>69</v>
      </c>
      <c r="AS307" s="37">
        <v>0</v>
      </c>
      <c r="AT307">
        <v>76</v>
      </c>
      <c r="AU307">
        <v>42</v>
      </c>
      <c r="AV307">
        <v>5.3</v>
      </c>
      <c r="AW307">
        <v>1</v>
      </c>
      <c r="AX307">
        <v>2173</v>
      </c>
      <c r="AY307">
        <v>64.2</v>
      </c>
      <c r="AZ307">
        <v>54.7</v>
      </c>
      <c r="BA307">
        <v>378.9</v>
      </c>
      <c r="BB307">
        <v>13.7</v>
      </c>
      <c r="BC307">
        <v>271.3</v>
      </c>
      <c r="BD307">
        <v>94.8</v>
      </c>
      <c r="BE307">
        <v>78.099999999999994</v>
      </c>
      <c r="BF307">
        <v>286.7</v>
      </c>
      <c r="BG307">
        <v>22.7</v>
      </c>
      <c r="BH307">
        <v>11.8</v>
      </c>
      <c r="BI307">
        <v>65.400000000000006</v>
      </c>
      <c r="BJ307">
        <v>14.7</v>
      </c>
      <c r="BK307">
        <v>13.5</v>
      </c>
      <c r="BL307">
        <v>35.4</v>
      </c>
      <c r="BM307">
        <v>6.8</v>
      </c>
      <c r="BN307">
        <v>3.3</v>
      </c>
      <c r="BO307">
        <v>2.88</v>
      </c>
      <c r="BP307">
        <v>0.32</v>
      </c>
      <c r="BQ307">
        <v>0.03</v>
      </c>
      <c r="BR307">
        <v>416</v>
      </c>
      <c r="BS307">
        <v>271.39999999999998</v>
      </c>
      <c r="BT307">
        <v>4141</v>
      </c>
      <c r="BU307">
        <v>2214</v>
      </c>
      <c r="BV307">
        <v>14.77</v>
      </c>
      <c r="BW307">
        <v>7.34</v>
      </c>
      <c r="BX307">
        <v>1.44</v>
      </c>
      <c r="BY307">
        <v>58.4</v>
      </c>
      <c r="BZ307">
        <v>58.4</v>
      </c>
      <c r="CA307">
        <v>22.06</v>
      </c>
      <c r="CB307">
        <v>20.48</v>
      </c>
      <c r="CC307">
        <v>22.1</v>
      </c>
      <c r="CD307">
        <v>1.04</v>
      </c>
      <c r="CE307">
        <v>1.9</v>
      </c>
      <c r="CF307">
        <v>282.89999999999998</v>
      </c>
      <c r="CG307">
        <v>28.8</v>
      </c>
      <c r="CH307">
        <v>490</v>
      </c>
      <c r="CI307">
        <v>4.5599999999999996</v>
      </c>
      <c r="CJ307">
        <v>94.4</v>
      </c>
      <c r="CK307">
        <v>2</v>
      </c>
      <c r="CL307" s="42" t="str">
        <f t="shared" si="53"/>
        <v>1</v>
      </c>
      <c r="CM307" s="4">
        <v>76</v>
      </c>
      <c r="CN307" s="4">
        <f t="shared" si="52"/>
        <v>1.6866666666666665</v>
      </c>
      <c r="CO307">
        <v>3</v>
      </c>
      <c r="CP307" s="42" t="str">
        <f t="shared" si="54"/>
        <v>1</v>
      </c>
      <c r="CQ307" s="4">
        <v>84.333333333333329</v>
      </c>
      <c r="CR307" s="4">
        <v>3.2925925925925927</v>
      </c>
      <c r="CS307" s="43" t="str">
        <f t="shared" si="55"/>
        <v>2</v>
      </c>
      <c r="CT307" s="4">
        <f t="shared" si="56"/>
        <v>160.33333333333331</v>
      </c>
      <c r="CU307" s="4">
        <f t="shared" si="57"/>
        <v>4.9792592592592593</v>
      </c>
      <c r="CV307" s="4">
        <v>4</v>
      </c>
    </row>
    <row r="308" spans="1:100" x14ac:dyDescent="0.3">
      <c r="A308" s="8" t="s">
        <v>330</v>
      </c>
      <c r="B308" s="18">
        <v>1</v>
      </c>
      <c r="C308">
        <v>57</v>
      </c>
      <c r="D308">
        <v>3</v>
      </c>
      <c r="E308">
        <v>1</v>
      </c>
      <c r="F308">
        <v>0</v>
      </c>
      <c r="G308">
        <v>0</v>
      </c>
      <c r="H308">
        <v>0</v>
      </c>
      <c r="I308">
        <v>1</v>
      </c>
      <c r="J308">
        <v>62</v>
      </c>
      <c r="K308">
        <v>1.536</v>
      </c>
      <c r="L308">
        <f t="shared" si="50"/>
        <v>153.6</v>
      </c>
      <c r="M308" s="82">
        <v>24.242000000000004</v>
      </c>
      <c r="N308" s="4">
        <v>35.700000000000003</v>
      </c>
      <c r="O308" s="4">
        <v>39.1</v>
      </c>
      <c r="P308" s="39">
        <v>1</v>
      </c>
      <c r="Q308">
        <v>97</v>
      </c>
      <c r="R308" s="40">
        <v>1</v>
      </c>
      <c r="S308">
        <v>106</v>
      </c>
      <c r="T308" s="5">
        <v>0.91509433962264153</v>
      </c>
      <c r="U308" s="39">
        <v>1</v>
      </c>
      <c r="V308" s="4">
        <v>26.279025607638889</v>
      </c>
      <c r="W308" s="37">
        <v>1</v>
      </c>
      <c r="X308" s="4">
        <v>8</v>
      </c>
      <c r="Y308" s="40">
        <v>0</v>
      </c>
      <c r="Z308" s="5">
        <v>7.508</v>
      </c>
      <c r="AA308" s="5">
        <v>1.3414293333333331</v>
      </c>
      <c r="AB308" s="85">
        <v>0</v>
      </c>
      <c r="AC308" s="5">
        <v>4.0199999999999996</v>
      </c>
      <c r="AD308" s="37">
        <v>0</v>
      </c>
      <c r="AE308" s="21">
        <v>3</v>
      </c>
      <c r="AF308" s="5">
        <v>6.9</v>
      </c>
      <c r="AG308" s="37">
        <v>1</v>
      </c>
      <c r="AH308" s="5">
        <v>0.9</v>
      </c>
      <c r="AI308" s="1">
        <v>1</v>
      </c>
      <c r="AJ308" s="13">
        <v>4.91</v>
      </c>
      <c r="AK308" s="1">
        <v>0</v>
      </c>
      <c r="AL308" s="13">
        <v>1.58</v>
      </c>
      <c r="AM308" s="1">
        <v>0</v>
      </c>
      <c r="AN308" s="82">
        <f t="shared" si="51"/>
        <v>4.3670886075949369</v>
      </c>
      <c r="AO308" s="1">
        <v>1</v>
      </c>
      <c r="AP308">
        <v>129</v>
      </c>
      <c r="AQ308" s="37">
        <v>0</v>
      </c>
      <c r="AR308">
        <v>75</v>
      </c>
      <c r="AS308" s="37">
        <v>0</v>
      </c>
      <c r="AT308">
        <v>83</v>
      </c>
      <c r="AU308">
        <v>54</v>
      </c>
      <c r="AV308">
        <v>8.3000000000000007</v>
      </c>
      <c r="AW308">
        <v>1</v>
      </c>
      <c r="AX308">
        <v>1443</v>
      </c>
      <c r="AY308">
        <v>44</v>
      </c>
      <c r="AZ308">
        <v>44</v>
      </c>
      <c r="BA308">
        <v>231.2</v>
      </c>
      <c r="BB308">
        <v>11.9</v>
      </c>
      <c r="BC308">
        <v>170.3</v>
      </c>
      <c r="BD308">
        <v>50.6</v>
      </c>
      <c r="BE308">
        <v>35</v>
      </c>
      <c r="BF308">
        <v>95</v>
      </c>
      <c r="BG308">
        <v>27.5</v>
      </c>
      <c r="BH308">
        <v>12.2</v>
      </c>
      <c r="BI308">
        <v>60.1</v>
      </c>
      <c r="BJ308">
        <v>19.600000000000001</v>
      </c>
      <c r="BK308">
        <v>9.1</v>
      </c>
      <c r="BL308">
        <v>31.4</v>
      </c>
      <c r="BM308">
        <v>3.6</v>
      </c>
      <c r="BN308">
        <v>1.5</v>
      </c>
      <c r="BO308">
        <v>0.98</v>
      </c>
      <c r="BP308">
        <v>0.06</v>
      </c>
      <c r="BQ308">
        <v>0.05</v>
      </c>
      <c r="BR308">
        <v>288</v>
      </c>
      <c r="BS308">
        <v>147.30000000000001</v>
      </c>
      <c r="BT308">
        <v>3318</v>
      </c>
      <c r="BU308">
        <v>1317</v>
      </c>
      <c r="BV308">
        <v>6.57</v>
      </c>
      <c r="BW308">
        <v>3.4</v>
      </c>
      <c r="BX308">
        <v>0.91</v>
      </c>
      <c r="BY308">
        <v>37.200000000000003</v>
      </c>
      <c r="BZ308">
        <v>36</v>
      </c>
      <c r="CA308">
        <v>4.2</v>
      </c>
      <c r="CB308">
        <v>4.4000000000000004</v>
      </c>
      <c r="CC308">
        <v>9.5</v>
      </c>
      <c r="CD308">
        <v>0.62</v>
      </c>
      <c r="CE308">
        <v>2.17</v>
      </c>
      <c r="CF308">
        <v>117.6</v>
      </c>
      <c r="CG308">
        <v>9.5</v>
      </c>
      <c r="CH308">
        <v>173</v>
      </c>
      <c r="CI308">
        <v>1.45</v>
      </c>
      <c r="CJ308">
        <v>16.7</v>
      </c>
      <c r="CK308">
        <v>0</v>
      </c>
      <c r="CL308" s="42" t="str">
        <f t="shared" si="53"/>
        <v>1</v>
      </c>
      <c r="CM308" s="4">
        <v>0</v>
      </c>
      <c r="CN308" s="4">
        <f t="shared" si="52"/>
        <v>1.4066666666666665</v>
      </c>
      <c r="CO308">
        <v>4</v>
      </c>
      <c r="CP308" s="42" t="str">
        <f t="shared" si="54"/>
        <v>1</v>
      </c>
      <c r="CQ308" s="4">
        <v>70.333333333333329</v>
      </c>
      <c r="CR308" s="4">
        <v>1.2740740740740741</v>
      </c>
      <c r="CS308" s="43" t="str">
        <f t="shared" si="55"/>
        <v>1</v>
      </c>
      <c r="CT308" s="4">
        <f t="shared" si="56"/>
        <v>70.333333333333329</v>
      </c>
      <c r="CU308" s="4">
        <f t="shared" si="57"/>
        <v>2.6807407407407409</v>
      </c>
      <c r="CV308" s="4">
        <v>2</v>
      </c>
    </row>
    <row r="309" spans="1:100" x14ac:dyDescent="0.3">
      <c r="A309" s="8" t="s">
        <v>329</v>
      </c>
      <c r="B309" s="18">
        <v>1</v>
      </c>
      <c r="C309">
        <v>60</v>
      </c>
      <c r="D309">
        <v>3</v>
      </c>
      <c r="E309">
        <v>1</v>
      </c>
      <c r="F309">
        <v>0</v>
      </c>
      <c r="G309">
        <v>0</v>
      </c>
      <c r="H309">
        <v>0</v>
      </c>
      <c r="I309">
        <v>1</v>
      </c>
      <c r="J309">
        <v>47.8</v>
      </c>
      <c r="K309">
        <v>1.494</v>
      </c>
      <c r="L309">
        <f t="shared" si="50"/>
        <v>149.4</v>
      </c>
      <c r="M309" s="82">
        <v>14.626800000000001</v>
      </c>
      <c r="N309" s="4">
        <v>31.4</v>
      </c>
      <c r="O309" s="4">
        <v>30.6</v>
      </c>
      <c r="P309" s="39">
        <v>0</v>
      </c>
      <c r="Q309">
        <v>70</v>
      </c>
      <c r="R309" s="40">
        <v>0</v>
      </c>
      <c r="S309">
        <v>80</v>
      </c>
      <c r="T309" s="5">
        <v>0.875</v>
      </c>
      <c r="U309" s="39">
        <v>0</v>
      </c>
      <c r="V309" s="4">
        <v>21.415425199235138</v>
      </c>
      <c r="W309" s="37">
        <v>0</v>
      </c>
      <c r="X309" s="4">
        <v>6</v>
      </c>
      <c r="Y309" s="40">
        <v>0</v>
      </c>
      <c r="Z309" s="5">
        <v>15.987</v>
      </c>
      <c r="AA309" s="5">
        <v>3.3181906666666667</v>
      </c>
      <c r="AB309" s="85">
        <v>1</v>
      </c>
      <c r="AC309" s="5">
        <v>4.67</v>
      </c>
      <c r="AD309" s="37">
        <v>0</v>
      </c>
      <c r="AE309">
        <v>18.89</v>
      </c>
      <c r="AF309" s="5">
        <v>5.86</v>
      </c>
      <c r="AG309" s="37">
        <v>1</v>
      </c>
      <c r="AH309" s="5">
        <v>1.72</v>
      </c>
      <c r="AI309" s="1">
        <v>1</v>
      </c>
      <c r="AJ309" s="13">
        <v>4</v>
      </c>
      <c r="AK309" s="1">
        <v>1</v>
      </c>
      <c r="AL309" s="13">
        <v>1.08</v>
      </c>
      <c r="AM309" s="1">
        <v>1</v>
      </c>
      <c r="AN309" s="82">
        <f t="shared" si="51"/>
        <v>5.4259259259259256</v>
      </c>
      <c r="AO309" s="1">
        <v>1</v>
      </c>
      <c r="AP309">
        <v>163</v>
      </c>
      <c r="AQ309" s="37">
        <v>1</v>
      </c>
      <c r="AR309">
        <v>101</v>
      </c>
      <c r="AS309" s="37">
        <v>1</v>
      </c>
      <c r="AT309">
        <v>83</v>
      </c>
      <c r="AU309">
        <v>62</v>
      </c>
      <c r="AV309">
        <v>9.8000000000000007</v>
      </c>
      <c r="AW309">
        <v>0</v>
      </c>
      <c r="AX309">
        <v>996</v>
      </c>
      <c r="AY309">
        <v>25.9</v>
      </c>
      <c r="AZ309">
        <v>29.9</v>
      </c>
      <c r="BA309">
        <v>165.8</v>
      </c>
      <c r="BB309">
        <v>5.5</v>
      </c>
      <c r="BC309">
        <v>122.3</v>
      </c>
      <c r="BD309">
        <v>33.9</v>
      </c>
      <c r="BE309">
        <v>21.6</v>
      </c>
      <c r="BF309">
        <v>31.9</v>
      </c>
      <c r="BG309">
        <v>27</v>
      </c>
      <c r="BH309">
        <v>10.4</v>
      </c>
      <c r="BI309">
        <v>62.4</v>
      </c>
      <c r="BJ309">
        <v>20.5</v>
      </c>
      <c r="BK309">
        <v>8.1</v>
      </c>
      <c r="BL309">
        <v>22.7</v>
      </c>
      <c r="BM309">
        <v>3.4</v>
      </c>
      <c r="BN309">
        <v>1.2</v>
      </c>
      <c r="BO309">
        <v>1.01</v>
      </c>
      <c r="BP309">
        <v>7.0000000000000007E-2</v>
      </c>
      <c r="BQ309">
        <v>0.23</v>
      </c>
      <c r="BR309">
        <v>322</v>
      </c>
      <c r="BS309">
        <v>109.1</v>
      </c>
      <c r="BT309">
        <v>1808</v>
      </c>
      <c r="BU309">
        <v>1089</v>
      </c>
      <c r="BV309">
        <v>4.92</v>
      </c>
      <c r="BW309">
        <v>3.84</v>
      </c>
      <c r="BX309">
        <v>0.89</v>
      </c>
      <c r="BY309">
        <v>23.2</v>
      </c>
      <c r="BZ309">
        <v>39.700000000000003</v>
      </c>
      <c r="CA309">
        <v>0.27</v>
      </c>
      <c r="CB309">
        <v>0.42</v>
      </c>
      <c r="CC309">
        <v>8.3000000000000007</v>
      </c>
      <c r="CD309">
        <v>0.5</v>
      </c>
      <c r="CE309">
        <v>0.81</v>
      </c>
      <c r="CF309">
        <v>90</v>
      </c>
      <c r="CG309">
        <v>9.6999999999999993</v>
      </c>
      <c r="CH309">
        <v>130</v>
      </c>
      <c r="CI309">
        <v>0.23</v>
      </c>
      <c r="CJ309">
        <v>0.8</v>
      </c>
      <c r="CK309">
        <v>1</v>
      </c>
      <c r="CL309" s="42" t="str">
        <f t="shared" si="53"/>
        <v>1</v>
      </c>
      <c r="CM309" s="4">
        <v>13</v>
      </c>
      <c r="CN309" s="4">
        <f t="shared" si="52"/>
        <v>1.1533333333333333</v>
      </c>
      <c r="CO309">
        <v>3</v>
      </c>
      <c r="CP309" s="42" t="str">
        <f t="shared" si="54"/>
        <v>1</v>
      </c>
      <c r="CQ309" s="4">
        <v>57.666666666666664</v>
      </c>
      <c r="CR309" s="4">
        <v>1.8888888888888888</v>
      </c>
      <c r="CS309" s="43" t="str">
        <f t="shared" si="55"/>
        <v>1</v>
      </c>
      <c r="CT309" s="4">
        <f t="shared" si="56"/>
        <v>70.666666666666657</v>
      </c>
      <c r="CU309" s="4">
        <f t="shared" si="57"/>
        <v>3.0422222222222222</v>
      </c>
      <c r="CV309" s="4">
        <v>3</v>
      </c>
    </row>
    <row r="310" spans="1:100" x14ac:dyDescent="0.3">
      <c r="A310" s="8" t="s">
        <v>328</v>
      </c>
      <c r="B310" s="18">
        <v>1</v>
      </c>
      <c r="C310">
        <v>40</v>
      </c>
      <c r="D310">
        <v>0</v>
      </c>
      <c r="E310">
        <v>2</v>
      </c>
      <c r="F310">
        <v>0</v>
      </c>
      <c r="G310">
        <v>0</v>
      </c>
      <c r="H310">
        <v>0</v>
      </c>
      <c r="I310">
        <v>1</v>
      </c>
      <c r="J310">
        <v>64.7</v>
      </c>
      <c r="K310">
        <v>1.5549999999999999</v>
      </c>
      <c r="L310">
        <f t="shared" si="50"/>
        <v>155.5</v>
      </c>
      <c r="M310" s="82">
        <v>25.6859</v>
      </c>
      <c r="N310" s="4">
        <v>36.700000000000003</v>
      </c>
      <c r="O310" s="4">
        <v>39.700000000000003</v>
      </c>
      <c r="P310" s="39">
        <v>1</v>
      </c>
      <c r="Q310">
        <v>91</v>
      </c>
      <c r="R310" s="40">
        <v>1</v>
      </c>
      <c r="S310">
        <v>99</v>
      </c>
      <c r="T310" s="5">
        <v>0.91919191919191923</v>
      </c>
      <c r="U310" s="39">
        <v>1</v>
      </c>
      <c r="V310" s="4">
        <v>26.757374303408778</v>
      </c>
      <c r="W310" s="37">
        <v>1</v>
      </c>
      <c r="X310" s="4">
        <v>8</v>
      </c>
      <c r="Y310" s="40">
        <v>0</v>
      </c>
      <c r="Z310" s="5">
        <v>55.401000000000003</v>
      </c>
      <c r="AA310" s="5">
        <v>10.563124</v>
      </c>
      <c r="AB310" s="85">
        <v>1</v>
      </c>
      <c r="AC310" s="5">
        <v>4.29</v>
      </c>
      <c r="AD310" s="37">
        <v>0</v>
      </c>
      <c r="AE310">
        <v>27.42</v>
      </c>
      <c r="AF310" s="5">
        <v>6.51</v>
      </c>
      <c r="AG310" s="37">
        <v>1</v>
      </c>
      <c r="AH310" s="5">
        <v>1.32</v>
      </c>
      <c r="AI310" s="1">
        <v>1</v>
      </c>
      <c r="AJ310" s="13">
        <v>4.3099999999999996</v>
      </c>
      <c r="AK310" s="1">
        <v>0</v>
      </c>
      <c r="AL310" s="13">
        <v>1.6</v>
      </c>
      <c r="AM310" s="1">
        <v>0</v>
      </c>
      <c r="AN310" s="82">
        <f t="shared" si="51"/>
        <v>4.0687499999999996</v>
      </c>
      <c r="AO310" s="1">
        <v>1</v>
      </c>
      <c r="AP310">
        <v>104</v>
      </c>
      <c r="AQ310" s="37">
        <v>0</v>
      </c>
      <c r="AR310">
        <v>68</v>
      </c>
      <c r="AS310" s="37">
        <v>0</v>
      </c>
      <c r="AT310">
        <v>69</v>
      </c>
      <c r="AU310">
        <v>36</v>
      </c>
      <c r="AV310">
        <v>5.6</v>
      </c>
      <c r="AW310">
        <v>1</v>
      </c>
      <c r="AX310">
        <v>2398</v>
      </c>
      <c r="AY310">
        <v>70.2</v>
      </c>
      <c r="AZ310">
        <v>77.5</v>
      </c>
      <c r="BA310">
        <v>377.8</v>
      </c>
      <c r="BB310">
        <v>17.7</v>
      </c>
      <c r="BC310">
        <v>269.89999999999998</v>
      </c>
      <c r="BD310">
        <v>86.9</v>
      </c>
      <c r="BE310">
        <v>67</v>
      </c>
      <c r="BF310">
        <v>69.599999999999994</v>
      </c>
      <c r="BG310">
        <v>29.1</v>
      </c>
      <c r="BH310">
        <v>11.7</v>
      </c>
      <c r="BI310">
        <v>59.1</v>
      </c>
      <c r="BJ310">
        <v>16.600000000000001</v>
      </c>
      <c r="BK310">
        <v>10.5</v>
      </c>
      <c r="BL310">
        <v>44.1</v>
      </c>
      <c r="BM310">
        <v>9</v>
      </c>
      <c r="BN310">
        <v>3.8</v>
      </c>
      <c r="BO310">
        <v>3.08</v>
      </c>
      <c r="BP310">
        <v>0.17</v>
      </c>
      <c r="BQ310">
        <v>0.14000000000000001</v>
      </c>
      <c r="BR310">
        <v>570</v>
      </c>
      <c r="BS310">
        <v>246.3</v>
      </c>
      <c r="BT310">
        <v>4931</v>
      </c>
      <c r="BU310">
        <v>2094</v>
      </c>
      <c r="BV310">
        <v>12.86</v>
      </c>
      <c r="BW310">
        <v>5.67</v>
      </c>
      <c r="BX310">
        <v>1.84</v>
      </c>
      <c r="BY310">
        <v>74.8</v>
      </c>
      <c r="BZ310">
        <v>33.700000000000003</v>
      </c>
      <c r="CA310">
        <v>1.87</v>
      </c>
      <c r="CB310">
        <v>2.37</v>
      </c>
      <c r="CC310">
        <v>14</v>
      </c>
      <c r="CD310">
        <v>0.77</v>
      </c>
      <c r="CE310">
        <v>2.87</v>
      </c>
      <c r="CF310">
        <v>207.2</v>
      </c>
      <c r="CG310">
        <v>15.6</v>
      </c>
      <c r="CH310">
        <v>207</v>
      </c>
      <c r="CI310">
        <v>5.53</v>
      </c>
      <c r="CJ310">
        <v>2.9</v>
      </c>
      <c r="CK310">
        <v>1</v>
      </c>
      <c r="CL310" s="42" t="str">
        <f t="shared" si="53"/>
        <v>1</v>
      </c>
      <c r="CM310" s="4">
        <v>13</v>
      </c>
      <c r="CN310" s="4">
        <f t="shared" si="52"/>
        <v>2.5133333333333336</v>
      </c>
      <c r="CO310">
        <v>4</v>
      </c>
      <c r="CP310" s="42" t="str">
        <f t="shared" si="54"/>
        <v>1</v>
      </c>
      <c r="CQ310" s="4">
        <v>125.66666666666667</v>
      </c>
      <c r="CR310" s="4">
        <v>2.3271604938271606</v>
      </c>
      <c r="CS310" s="43" t="str">
        <f t="shared" si="55"/>
        <v>1</v>
      </c>
      <c r="CT310" s="4">
        <f t="shared" si="56"/>
        <v>138.66666666666669</v>
      </c>
      <c r="CU310" s="4">
        <f t="shared" si="57"/>
        <v>4.8404938271604943</v>
      </c>
      <c r="CV310" s="4">
        <v>4</v>
      </c>
    </row>
    <row r="311" spans="1:100" x14ac:dyDescent="0.3">
      <c r="A311" s="8" t="s">
        <v>327</v>
      </c>
      <c r="B311" s="18">
        <v>1</v>
      </c>
      <c r="C311">
        <v>35</v>
      </c>
      <c r="D311">
        <v>1</v>
      </c>
      <c r="E311">
        <v>3</v>
      </c>
      <c r="F311">
        <v>1</v>
      </c>
      <c r="G311">
        <v>0</v>
      </c>
      <c r="H311">
        <v>0</v>
      </c>
      <c r="I311">
        <v>1</v>
      </c>
      <c r="J311">
        <v>70.900000000000006</v>
      </c>
      <c r="K311">
        <v>1.6919999999999999</v>
      </c>
      <c r="L311">
        <f t="shared" si="50"/>
        <v>169.2</v>
      </c>
      <c r="M311" s="82">
        <v>26.6584</v>
      </c>
      <c r="N311" s="4">
        <v>41.5</v>
      </c>
      <c r="O311" s="4">
        <v>37.6</v>
      </c>
      <c r="P311" s="39">
        <v>1</v>
      </c>
      <c r="Q311">
        <v>85</v>
      </c>
      <c r="R311" s="40">
        <v>1</v>
      </c>
      <c r="S311">
        <v>99</v>
      </c>
      <c r="T311" s="5">
        <v>0.85858585858585856</v>
      </c>
      <c r="U311" s="39">
        <v>0</v>
      </c>
      <c r="V311" s="4">
        <v>24.765409743529563</v>
      </c>
      <c r="W311" s="37">
        <v>1</v>
      </c>
      <c r="X311" s="4">
        <v>8</v>
      </c>
      <c r="Y311" s="40">
        <v>0</v>
      </c>
      <c r="Z311" s="5">
        <v>12.164999999999999</v>
      </c>
      <c r="AA311" s="5">
        <v>2.8276866666666667</v>
      </c>
      <c r="AB311" s="85">
        <v>0</v>
      </c>
      <c r="AC311" s="5">
        <v>5.23</v>
      </c>
      <c r="AD311" s="37">
        <v>0</v>
      </c>
      <c r="AE311">
        <v>20.48</v>
      </c>
      <c r="AF311" s="5">
        <v>6.63</v>
      </c>
      <c r="AG311" s="37">
        <v>1</v>
      </c>
      <c r="AH311" s="5">
        <v>1</v>
      </c>
      <c r="AI311" s="1">
        <v>1</v>
      </c>
      <c r="AJ311" s="13">
        <v>4.71</v>
      </c>
      <c r="AK311" s="1">
        <v>0</v>
      </c>
      <c r="AL311" s="13">
        <v>1.46</v>
      </c>
      <c r="AM311" s="1">
        <v>0</v>
      </c>
      <c r="AN311" s="82">
        <f t="shared" si="51"/>
        <v>4.5410958904109586</v>
      </c>
      <c r="AO311" s="1">
        <v>1</v>
      </c>
      <c r="AP311">
        <v>125</v>
      </c>
      <c r="AQ311" s="37">
        <v>0</v>
      </c>
      <c r="AR311">
        <v>63</v>
      </c>
      <c r="AS311" s="37">
        <v>0</v>
      </c>
      <c r="AT311">
        <v>66</v>
      </c>
      <c r="AU311">
        <v>62</v>
      </c>
      <c r="AV311">
        <v>5.9</v>
      </c>
      <c r="AW311">
        <v>1</v>
      </c>
      <c r="AX311">
        <v>1318</v>
      </c>
      <c r="AY311">
        <v>34.1</v>
      </c>
      <c r="AZ311">
        <v>40</v>
      </c>
      <c r="BA311">
        <v>218.6</v>
      </c>
      <c r="BB311">
        <v>8.3000000000000007</v>
      </c>
      <c r="BC311">
        <v>148.5</v>
      </c>
      <c r="BD311">
        <v>30.2</v>
      </c>
      <c r="BE311">
        <v>24.7</v>
      </c>
      <c r="BF311">
        <v>29.7</v>
      </c>
      <c r="BG311">
        <v>27.3</v>
      </c>
      <c r="BH311">
        <v>10.4</v>
      </c>
      <c r="BI311">
        <v>62.2</v>
      </c>
      <c r="BJ311">
        <v>21</v>
      </c>
      <c r="BK311">
        <v>7</v>
      </c>
      <c r="BL311">
        <v>30.8</v>
      </c>
      <c r="BM311">
        <v>2.8</v>
      </c>
      <c r="BN311">
        <v>1.7</v>
      </c>
      <c r="BO311">
        <v>1.45</v>
      </c>
      <c r="BP311">
        <v>0.11</v>
      </c>
      <c r="BQ311">
        <v>0</v>
      </c>
      <c r="BR311">
        <v>290</v>
      </c>
      <c r="BS311">
        <v>194.4</v>
      </c>
      <c r="BT311">
        <v>2842</v>
      </c>
      <c r="BU311">
        <v>1212</v>
      </c>
      <c r="BV311">
        <v>9.32</v>
      </c>
      <c r="BW311">
        <v>4.3099999999999996</v>
      </c>
      <c r="BX311">
        <v>1.34</v>
      </c>
      <c r="BY311">
        <v>44.5</v>
      </c>
      <c r="BZ311">
        <v>18.100000000000001</v>
      </c>
      <c r="CA311">
        <v>0.43</v>
      </c>
      <c r="CB311">
        <v>0.3</v>
      </c>
      <c r="CC311">
        <v>11.2</v>
      </c>
      <c r="CD311">
        <v>0.51</v>
      </c>
      <c r="CE311">
        <v>0.42</v>
      </c>
      <c r="CF311">
        <v>107.6</v>
      </c>
      <c r="CG311">
        <v>15.2</v>
      </c>
      <c r="CH311">
        <v>101</v>
      </c>
      <c r="CI311">
        <v>0.82</v>
      </c>
      <c r="CJ311">
        <v>1</v>
      </c>
      <c r="CK311">
        <v>1</v>
      </c>
      <c r="CL311" s="42" t="str">
        <f t="shared" si="53"/>
        <v>2</v>
      </c>
      <c r="CM311" s="4">
        <v>116.33333333333333</v>
      </c>
      <c r="CN311" s="4">
        <f t="shared" si="52"/>
        <v>1.3066666666666666</v>
      </c>
      <c r="CO311">
        <v>2</v>
      </c>
      <c r="CP311" s="42" t="str">
        <f t="shared" si="54"/>
        <v>1</v>
      </c>
      <c r="CQ311" s="4">
        <v>65.333333333333329</v>
      </c>
      <c r="CR311" s="4">
        <v>2.9333333333333331</v>
      </c>
      <c r="CS311" s="43" t="str">
        <f t="shared" si="55"/>
        <v>2</v>
      </c>
      <c r="CT311" s="4">
        <f t="shared" si="56"/>
        <v>181.66666666666666</v>
      </c>
      <c r="CU311" s="4">
        <f t="shared" si="57"/>
        <v>4.24</v>
      </c>
      <c r="CV311" s="4">
        <v>4</v>
      </c>
    </row>
    <row r="312" spans="1:100" x14ac:dyDescent="0.3">
      <c r="A312" s="8" t="s">
        <v>326</v>
      </c>
      <c r="B312" s="18">
        <v>1</v>
      </c>
      <c r="C312">
        <v>40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1</v>
      </c>
      <c r="J312">
        <v>76.099999999999994</v>
      </c>
      <c r="K312">
        <v>1.5549999999999999</v>
      </c>
      <c r="L312">
        <f t="shared" ref="L312:L375" si="58">K312*100</f>
        <v>155.5</v>
      </c>
      <c r="M312" s="82">
        <v>33.560099999999998</v>
      </c>
      <c r="N312" s="4">
        <v>40</v>
      </c>
      <c r="O312" s="4">
        <v>44.1</v>
      </c>
      <c r="P312" s="39">
        <v>1</v>
      </c>
      <c r="Q312">
        <v>97</v>
      </c>
      <c r="R312" s="40">
        <v>1</v>
      </c>
      <c r="S312">
        <v>110</v>
      </c>
      <c r="T312" s="5">
        <v>0.88181818181818183</v>
      </c>
      <c r="U312" s="39">
        <v>1</v>
      </c>
      <c r="V312" s="4">
        <v>31.471965757177863</v>
      </c>
      <c r="W312" s="37">
        <v>1</v>
      </c>
      <c r="X312" s="4">
        <v>12</v>
      </c>
      <c r="Y312" s="40">
        <v>1</v>
      </c>
      <c r="Z312" s="5">
        <v>9.7059999999999995</v>
      </c>
      <c r="AA312" s="5">
        <v>1.7945315555555554</v>
      </c>
      <c r="AB312" s="85">
        <v>0</v>
      </c>
      <c r="AC312" s="5">
        <v>4.16</v>
      </c>
      <c r="AD312" s="37">
        <v>0</v>
      </c>
      <c r="AE312">
        <v>17.14</v>
      </c>
      <c r="AF312" s="5">
        <v>5.07</v>
      </c>
      <c r="AG312" s="37">
        <v>1</v>
      </c>
      <c r="AH312" s="5">
        <v>1.59</v>
      </c>
      <c r="AI312" s="1">
        <v>0</v>
      </c>
      <c r="AJ312" s="13">
        <v>3.37</v>
      </c>
      <c r="AK312" s="1">
        <v>1</v>
      </c>
      <c r="AL312" s="13">
        <v>0.98</v>
      </c>
      <c r="AM312" s="1">
        <v>1</v>
      </c>
      <c r="AN312" s="82">
        <f t="shared" ref="AN312:AN375" si="59">AF312/AL312</f>
        <v>5.1734693877551026</v>
      </c>
      <c r="AO312" s="1">
        <v>1</v>
      </c>
      <c r="AP312">
        <v>147</v>
      </c>
      <c r="AQ312" s="37">
        <v>1</v>
      </c>
      <c r="AR312">
        <v>94</v>
      </c>
      <c r="AS312" s="37">
        <v>1</v>
      </c>
      <c r="AT312">
        <v>60</v>
      </c>
      <c r="AU312">
        <v>53</v>
      </c>
      <c r="AV312">
        <v>7.1</v>
      </c>
      <c r="AW312">
        <v>0</v>
      </c>
      <c r="AX312">
        <v>975</v>
      </c>
      <c r="AY312">
        <v>40</v>
      </c>
      <c r="AZ312">
        <v>28.6</v>
      </c>
      <c r="BA312">
        <v>148.69999999999999</v>
      </c>
      <c r="BB312">
        <v>10.6</v>
      </c>
      <c r="BC312">
        <v>134.69999999999999</v>
      </c>
      <c r="BD312">
        <v>6.1</v>
      </c>
      <c r="BE312">
        <v>0.1</v>
      </c>
      <c r="BF312">
        <v>36.700000000000003</v>
      </c>
      <c r="BG312">
        <v>26.4</v>
      </c>
      <c r="BH312">
        <v>16.399999999999999</v>
      </c>
      <c r="BI312">
        <v>57.2</v>
      </c>
      <c r="BJ312">
        <v>18.3</v>
      </c>
      <c r="BK312">
        <v>0</v>
      </c>
      <c r="BL312">
        <v>19.8</v>
      </c>
      <c r="BM312">
        <v>2.4</v>
      </c>
      <c r="BN312">
        <v>1.2</v>
      </c>
      <c r="BO312">
        <v>1.03</v>
      </c>
      <c r="BP312">
        <v>0.05</v>
      </c>
      <c r="BQ312">
        <v>0</v>
      </c>
      <c r="BR312">
        <v>251</v>
      </c>
      <c r="BS312">
        <v>161.5</v>
      </c>
      <c r="BT312">
        <v>3710</v>
      </c>
      <c r="BU312">
        <v>1414</v>
      </c>
      <c r="BV312">
        <v>7.67</v>
      </c>
      <c r="BW312">
        <v>3.34</v>
      </c>
      <c r="BX312">
        <v>0.92</v>
      </c>
      <c r="BY312">
        <v>21.4</v>
      </c>
      <c r="BZ312">
        <v>13.5</v>
      </c>
      <c r="CA312">
        <v>7.73</v>
      </c>
      <c r="CB312">
        <v>7.28</v>
      </c>
      <c r="CC312">
        <v>14.1</v>
      </c>
      <c r="CD312">
        <v>0.66</v>
      </c>
      <c r="CE312">
        <v>0.7</v>
      </c>
      <c r="CF312">
        <v>135.6</v>
      </c>
      <c r="CG312">
        <v>6.6</v>
      </c>
      <c r="CH312">
        <v>181</v>
      </c>
      <c r="CI312">
        <v>1.29</v>
      </c>
      <c r="CJ312">
        <v>32.200000000000003</v>
      </c>
      <c r="CK312">
        <v>0</v>
      </c>
      <c r="CL312" s="42" t="str">
        <f t="shared" si="53"/>
        <v>1</v>
      </c>
      <c r="CM312" s="4">
        <v>0</v>
      </c>
      <c r="CN312" s="4">
        <f t="shared" ref="CN312:CN375" si="60">CQ312/50</f>
        <v>1.4266666666666665</v>
      </c>
      <c r="CO312">
        <v>4</v>
      </c>
      <c r="CP312" s="42" t="str">
        <f t="shared" si="54"/>
        <v>1</v>
      </c>
      <c r="CQ312" s="4">
        <v>71.333333333333329</v>
      </c>
      <c r="CR312" s="4">
        <v>2.4493827160493828</v>
      </c>
      <c r="CS312" s="43" t="str">
        <f t="shared" si="55"/>
        <v>1</v>
      </c>
      <c r="CT312" s="4">
        <f t="shared" si="56"/>
        <v>71.333333333333329</v>
      </c>
      <c r="CU312" s="4">
        <f t="shared" si="57"/>
        <v>3.8760493827160492</v>
      </c>
      <c r="CV312" s="4">
        <v>3</v>
      </c>
    </row>
    <row r="313" spans="1:100" x14ac:dyDescent="0.3">
      <c r="A313" s="8" t="s">
        <v>325</v>
      </c>
      <c r="B313" s="18">
        <v>1</v>
      </c>
      <c r="C313">
        <v>33</v>
      </c>
      <c r="D313">
        <v>0</v>
      </c>
      <c r="E313">
        <v>2</v>
      </c>
      <c r="F313">
        <v>0</v>
      </c>
      <c r="G313">
        <v>0</v>
      </c>
      <c r="H313">
        <v>0</v>
      </c>
      <c r="I313">
        <v>1</v>
      </c>
      <c r="J313">
        <v>45.9</v>
      </c>
      <c r="K313">
        <v>1.524</v>
      </c>
      <c r="L313">
        <f t="shared" si="58"/>
        <v>152.4</v>
      </c>
      <c r="M313" s="82">
        <v>13.861799999999999</v>
      </c>
      <c r="N313" s="4">
        <v>30.4</v>
      </c>
      <c r="O313" s="4">
        <v>30.2</v>
      </c>
      <c r="P313" s="39">
        <v>0</v>
      </c>
      <c r="Q313">
        <v>65</v>
      </c>
      <c r="R313" s="40">
        <v>0</v>
      </c>
      <c r="S313">
        <v>90</v>
      </c>
      <c r="T313" s="5">
        <v>0.72222222222222221</v>
      </c>
      <c r="U313" s="39">
        <v>0</v>
      </c>
      <c r="V313" s="4">
        <v>19.762539525079049</v>
      </c>
      <c r="W313" s="37">
        <v>0</v>
      </c>
      <c r="X313" s="4">
        <v>3</v>
      </c>
      <c r="Y313" s="40">
        <v>0</v>
      </c>
      <c r="Z313" s="5">
        <v>21.06</v>
      </c>
      <c r="AA313" s="5">
        <v>4.3430399999999993</v>
      </c>
      <c r="AB313" s="85">
        <v>1</v>
      </c>
      <c r="AC313" s="5">
        <v>4.6399999999999997</v>
      </c>
      <c r="AD313" s="37">
        <v>0</v>
      </c>
      <c r="AE313">
        <v>64.78</v>
      </c>
      <c r="AF313" s="5">
        <v>5.36</v>
      </c>
      <c r="AG313" s="37">
        <v>1</v>
      </c>
      <c r="AH313" s="5">
        <v>0.75</v>
      </c>
      <c r="AI313" s="1">
        <v>1</v>
      </c>
      <c r="AJ313" s="13">
        <v>3.62</v>
      </c>
      <c r="AK313" s="1">
        <v>0</v>
      </c>
      <c r="AL313" s="13">
        <v>1.41</v>
      </c>
      <c r="AM313" s="1">
        <v>0</v>
      </c>
      <c r="AN313" s="82">
        <f t="shared" si="59"/>
        <v>3.8014184397163127</v>
      </c>
      <c r="AO313" s="1">
        <v>0</v>
      </c>
      <c r="AP313">
        <v>118</v>
      </c>
      <c r="AQ313" s="37">
        <v>0</v>
      </c>
      <c r="AR313">
        <v>85</v>
      </c>
      <c r="AS313" s="37">
        <v>1</v>
      </c>
      <c r="AT313">
        <v>87</v>
      </c>
      <c r="AU313">
        <v>33</v>
      </c>
      <c r="AV313">
        <v>5.4</v>
      </c>
      <c r="AW313">
        <v>1</v>
      </c>
      <c r="AX313">
        <v>2265</v>
      </c>
      <c r="AY313">
        <v>57.9</v>
      </c>
      <c r="AZ313">
        <v>75.400000000000006</v>
      </c>
      <c r="BA313">
        <v>360.1</v>
      </c>
      <c r="BB313">
        <v>14.1</v>
      </c>
      <c r="BC313">
        <v>193.1</v>
      </c>
      <c r="BD313">
        <v>124.2</v>
      </c>
      <c r="BE313">
        <v>103.4</v>
      </c>
      <c r="BF313">
        <v>162.69999999999999</v>
      </c>
      <c r="BG313">
        <v>30</v>
      </c>
      <c r="BH313">
        <v>10.199999999999999</v>
      </c>
      <c r="BI313">
        <v>59.6</v>
      </c>
      <c r="BJ313">
        <v>15.4</v>
      </c>
      <c r="BK313">
        <v>17.100000000000001</v>
      </c>
      <c r="BL313">
        <v>38.6</v>
      </c>
      <c r="BM313">
        <v>17</v>
      </c>
      <c r="BN313">
        <v>9.9</v>
      </c>
      <c r="BO313">
        <v>8.83</v>
      </c>
      <c r="BP313">
        <v>0.54</v>
      </c>
      <c r="BQ313">
        <v>0.04</v>
      </c>
      <c r="BR313">
        <v>385</v>
      </c>
      <c r="BS313">
        <v>263.2</v>
      </c>
      <c r="BT313">
        <v>3256</v>
      </c>
      <c r="BU313">
        <v>1713</v>
      </c>
      <c r="BV313">
        <v>13.49</v>
      </c>
      <c r="BW313">
        <v>6.1</v>
      </c>
      <c r="BX313">
        <v>1.75</v>
      </c>
      <c r="BY313">
        <v>48.1</v>
      </c>
      <c r="BZ313">
        <v>44.8</v>
      </c>
      <c r="CA313">
        <v>11.41</v>
      </c>
      <c r="CB313">
        <v>10.32</v>
      </c>
      <c r="CC313">
        <v>18.7</v>
      </c>
      <c r="CD313">
        <v>1.48</v>
      </c>
      <c r="CE313">
        <v>1.49</v>
      </c>
      <c r="CF313">
        <v>194.9</v>
      </c>
      <c r="CG313">
        <v>36.6</v>
      </c>
      <c r="CH313">
        <v>305</v>
      </c>
      <c r="CI313">
        <v>15.51</v>
      </c>
      <c r="CJ313">
        <v>52.7</v>
      </c>
      <c r="CK313">
        <v>5</v>
      </c>
      <c r="CL313" s="42" t="str">
        <f t="shared" si="53"/>
        <v>1</v>
      </c>
      <c r="CM313" s="4">
        <v>73</v>
      </c>
      <c r="CN313" s="4">
        <f t="shared" si="60"/>
        <v>2.0333333333333332</v>
      </c>
      <c r="CO313">
        <v>8</v>
      </c>
      <c r="CP313" s="42" t="str">
        <f t="shared" si="54"/>
        <v>1</v>
      </c>
      <c r="CQ313" s="4">
        <v>101.66666666666667</v>
      </c>
      <c r="CR313" s="4">
        <v>3.0012345679012347</v>
      </c>
      <c r="CS313" s="43" t="str">
        <f t="shared" si="55"/>
        <v>2</v>
      </c>
      <c r="CT313" s="4">
        <f t="shared" si="56"/>
        <v>174.66666666666669</v>
      </c>
      <c r="CU313" s="4">
        <f t="shared" si="57"/>
        <v>5.0345679012345679</v>
      </c>
      <c r="CV313" s="4">
        <v>4</v>
      </c>
    </row>
    <row r="314" spans="1:100" x14ac:dyDescent="0.3">
      <c r="A314" s="8" t="s">
        <v>324</v>
      </c>
      <c r="B314" s="18">
        <v>1</v>
      </c>
      <c r="C314">
        <v>42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1</v>
      </c>
      <c r="J314">
        <v>65.2</v>
      </c>
      <c r="K314">
        <v>1.427</v>
      </c>
      <c r="L314">
        <f t="shared" si="58"/>
        <v>142.70000000000002</v>
      </c>
      <c r="M314" s="82">
        <v>29.34</v>
      </c>
      <c r="N314" s="4">
        <v>33.9</v>
      </c>
      <c r="O314" s="4">
        <v>45</v>
      </c>
      <c r="P314" s="39">
        <v>1</v>
      </c>
      <c r="Q314">
        <v>91</v>
      </c>
      <c r="R314" s="40">
        <v>1</v>
      </c>
      <c r="S314">
        <v>105</v>
      </c>
      <c r="T314" s="5">
        <v>0.8666666666666667</v>
      </c>
      <c r="U314" s="39">
        <v>0</v>
      </c>
      <c r="V314" s="4">
        <v>32.018401741565334</v>
      </c>
      <c r="W314" s="37">
        <v>1</v>
      </c>
      <c r="X314" s="4">
        <v>11</v>
      </c>
      <c r="Y314" s="40">
        <v>1</v>
      </c>
      <c r="Z314" s="5">
        <v>14.875</v>
      </c>
      <c r="AA314" s="5">
        <v>3.1865555555555556</v>
      </c>
      <c r="AB314" s="85">
        <v>1</v>
      </c>
      <c r="AC314" s="5">
        <v>4.82</v>
      </c>
      <c r="AD314" s="37">
        <v>0</v>
      </c>
      <c r="AE314">
        <v>16.649999999999999</v>
      </c>
      <c r="AF314" s="5">
        <v>4.45</v>
      </c>
      <c r="AG314" s="37">
        <v>0</v>
      </c>
      <c r="AH314" s="5">
        <v>1.04</v>
      </c>
      <c r="AI314" s="1">
        <v>0</v>
      </c>
      <c r="AJ314" s="13">
        <v>2.9</v>
      </c>
      <c r="AK314" s="1">
        <v>1</v>
      </c>
      <c r="AL314" s="13">
        <v>1.08</v>
      </c>
      <c r="AM314" s="1">
        <v>1</v>
      </c>
      <c r="AN314" s="82">
        <f t="shared" si="59"/>
        <v>4.1203703703703702</v>
      </c>
      <c r="AO314" s="1">
        <v>1</v>
      </c>
      <c r="AP314">
        <v>105</v>
      </c>
      <c r="AQ314" s="37">
        <v>0</v>
      </c>
      <c r="AR314">
        <v>63</v>
      </c>
      <c r="AS314" s="37">
        <v>0</v>
      </c>
      <c r="AT314">
        <v>56</v>
      </c>
      <c r="AU314">
        <v>42</v>
      </c>
      <c r="AV314">
        <v>5.6</v>
      </c>
      <c r="AW314">
        <v>1</v>
      </c>
      <c r="AX314">
        <v>1451</v>
      </c>
      <c r="AY314">
        <v>39.9</v>
      </c>
      <c r="AZ314">
        <v>45.8</v>
      </c>
      <c r="BA314">
        <v>233.6</v>
      </c>
      <c r="BB314">
        <v>8.5</v>
      </c>
      <c r="BC314">
        <v>201.6</v>
      </c>
      <c r="BD314">
        <v>18</v>
      </c>
      <c r="BE314">
        <v>8.9</v>
      </c>
      <c r="BF314">
        <v>125.1</v>
      </c>
      <c r="BG314">
        <v>28.4</v>
      </c>
      <c r="BH314">
        <v>11</v>
      </c>
      <c r="BI314">
        <v>60.4</v>
      </c>
      <c r="BJ314">
        <v>17.2</v>
      </c>
      <c r="BK314">
        <v>2.2999999999999998</v>
      </c>
      <c r="BL314">
        <v>27.7</v>
      </c>
      <c r="BM314">
        <v>6.1</v>
      </c>
      <c r="BN314">
        <v>3.6</v>
      </c>
      <c r="BO314">
        <v>3.26</v>
      </c>
      <c r="BP314">
        <v>0.2</v>
      </c>
      <c r="BQ314">
        <v>0.06</v>
      </c>
      <c r="BR314">
        <v>162</v>
      </c>
      <c r="BS314">
        <v>151.9</v>
      </c>
      <c r="BT314">
        <v>2493</v>
      </c>
      <c r="BU314">
        <v>1475</v>
      </c>
      <c r="BV314">
        <v>7.78</v>
      </c>
      <c r="BW314">
        <v>5.5</v>
      </c>
      <c r="BX314">
        <v>1.21</v>
      </c>
      <c r="BY314">
        <v>29.2</v>
      </c>
      <c r="BZ314">
        <v>46.2</v>
      </c>
      <c r="CA314">
        <v>0.43</v>
      </c>
      <c r="CB314">
        <v>0.36</v>
      </c>
      <c r="CC314">
        <v>14.7</v>
      </c>
      <c r="CD314">
        <v>0.89</v>
      </c>
      <c r="CE314">
        <v>1.1599999999999999</v>
      </c>
      <c r="CF314">
        <v>161</v>
      </c>
      <c r="CG314">
        <v>21.7</v>
      </c>
      <c r="CH314">
        <v>429</v>
      </c>
      <c r="CI314">
        <v>1.33</v>
      </c>
      <c r="CJ314">
        <v>2.2000000000000002</v>
      </c>
      <c r="CK314">
        <v>1</v>
      </c>
      <c r="CL314" s="42" t="str">
        <f t="shared" si="53"/>
        <v>1</v>
      </c>
      <c r="CM314" s="4">
        <v>27.333333333333332</v>
      </c>
      <c r="CN314" s="4">
        <f t="shared" si="60"/>
        <v>1.3666666666666665</v>
      </c>
      <c r="CO314">
        <v>4</v>
      </c>
      <c r="CP314" s="42" t="str">
        <f t="shared" si="54"/>
        <v>1</v>
      </c>
      <c r="CQ314" s="4">
        <v>68.333333333333329</v>
      </c>
      <c r="CR314" s="4">
        <v>0.93209876543209869</v>
      </c>
      <c r="CS314" s="43" t="str">
        <f t="shared" si="55"/>
        <v>1</v>
      </c>
      <c r="CT314" s="4">
        <f t="shared" si="56"/>
        <v>95.666666666666657</v>
      </c>
      <c r="CU314" s="4">
        <f t="shared" si="57"/>
        <v>2.2987654320987652</v>
      </c>
      <c r="CV314" s="4">
        <v>2</v>
      </c>
    </row>
    <row r="315" spans="1:100" x14ac:dyDescent="0.3">
      <c r="A315" s="8" t="s">
        <v>323</v>
      </c>
      <c r="B315" s="18">
        <v>1</v>
      </c>
      <c r="C315">
        <v>48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1</v>
      </c>
      <c r="J315">
        <v>60.8</v>
      </c>
      <c r="K315">
        <v>1.512</v>
      </c>
      <c r="L315">
        <f t="shared" si="58"/>
        <v>151.19999999999999</v>
      </c>
      <c r="M315" s="82">
        <v>24.7456</v>
      </c>
      <c r="N315" s="4">
        <v>34.1</v>
      </c>
      <c r="O315" s="4">
        <v>40.700000000000003</v>
      </c>
      <c r="P315" s="39">
        <v>1</v>
      </c>
      <c r="Q315">
        <v>90</v>
      </c>
      <c r="R315" s="40">
        <v>1</v>
      </c>
      <c r="S315">
        <v>103</v>
      </c>
      <c r="T315" s="5">
        <v>0.87378640776699024</v>
      </c>
      <c r="U315" s="39">
        <v>0</v>
      </c>
      <c r="V315" s="4">
        <v>26.595000139973681</v>
      </c>
      <c r="W315" s="37">
        <v>1</v>
      </c>
      <c r="X315" s="4">
        <v>8</v>
      </c>
      <c r="Y315" s="40">
        <v>0</v>
      </c>
      <c r="Z315" s="5">
        <v>18.393000000000001</v>
      </c>
      <c r="AA315" s="5">
        <v>4.0628093333333331</v>
      </c>
      <c r="AB315" s="85">
        <v>1</v>
      </c>
      <c r="AC315" s="5">
        <v>4.97</v>
      </c>
      <c r="AD315" s="37">
        <v>0</v>
      </c>
      <c r="AE315" s="21">
        <v>3</v>
      </c>
      <c r="AF315" s="5">
        <v>5.01</v>
      </c>
      <c r="AG315" s="37">
        <v>1</v>
      </c>
      <c r="AH315" s="5">
        <v>3.09</v>
      </c>
      <c r="AI315" s="1">
        <v>0</v>
      </c>
      <c r="AJ315" s="13">
        <v>2.5499999999999998</v>
      </c>
      <c r="AK315" s="1">
        <v>1</v>
      </c>
      <c r="AL315" s="13">
        <v>1.06</v>
      </c>
      <c r="AM315" s="1">
        <v>1</v>
      </c>
      <c r="AN315" s="82">
        <f t="shared" si="59"/>
        <v>4.7264150943396226</v>
      </c>
      <c r="AO315" s="1">
        <v>1</v>
      </c>
      <c r="AP315">
        <v>132</v>
      </c>
      <c r="AQ315" s="37">
        <v>1</v>
      </c>
      <c r="AR315">
        <v>90</v>
      </c>
      <c r="AS315" s="37">
        <v>1</v>
      </c>
      <c r="AT315">
        <v>74</v>
      </c>
      <c r="AU315">
        <v>42</v>
      </c>
      <c r="AV315">
        <v>7.3</v>
      </c>
      <c r="AW315">
        <v>1</v>
      </c>
      <c r="AX315">
        <v>1254</v>
      </c>
      <c r="AY315">
        <v>40.4</v>
      </c>
      <c r="AZ315">
        <v>35.299999999999997</v>
      </c>
      <c r="BA315">
        <v>206.4</v>
      </c>
      <c r="BB315">
        <v>6.5</v>
      </c>
      <c r="BC315">
        <v>140.80000000000001</v>
      </c>
      <c r="BD315">
        <v>57.6</v>
      </c>
      <c r="BE315">
        <v>42.1</v>
      </c>
      <c r="BF315">
        <v>76.8</v>
      </c>
      <c r="BG315">
        <v>25.3</v>
      </c>
      <c r="BH315">
        <v>12.9</v>
      </c>
      <c r="BI315">
        <v>61.7</v>
      </c>
      <c r="BJ315">
        <v>16.100000000000001</v>
      </c>
      <c r="BK315">
        <v>12.6</v>
      </c>
      <c r="BL315">
        <v>22.4</v>
      </c>
      <c r="BM315">
        <v>5</v>
      </c>
      <c r="BN315">
        <v>1.5</v>
      </c>
      <c r="BO315">
        <v>0.96</v>
      </c>
      <c r="BP315">
        <v>0.42</v>
      </c>
      <c r="BQ315">
        <v>0.38</v>
      </c>
      <c r="BR315">
        <v>495</v>
      </c>
      <c r="BS315">
        <v>125</v>
      </c>
      <c r="BT315">
        <v>2246</v>
      </c>
      <c r="BU315">
        <v>1218</v>
      </c>
      <c r="BV315">
        <v>5.17</v>
      </c>
      <c r="BW315">
        <v>3.61</v>
      </c>
      <c r="BX315">
        <v>0.85</v>
      </c>
      <c r="BY315">
        <v>27.6</v>
      </c>
      <c r="BZ315">
        <v>61.3</v>
      </c>
      <c r="CA315">
        <v>0.77</v>
      </c>
      <c r="CB315">
        <v>1.42</v>
      </c>
      <c r="CC315">
        <v>11</v>
      </c>
      <c r="CD315">
        <v>0.59</v>
      </c>
      <c r="CE315">
        <v>2.97</v>
      </c>
      <c r="CF315">
        <v>106.2</v>
      </c>
      <c r="CG315">
        <v>14.1</v>
      </c>
      <c r="CH315">
        <v>237</v>
      </c>
      <c r="CI315">
        <v>4.4800000000000004</v>
      </c>
      <c r="CJ315">
        <v>0.9</v>
      </c>
      <c r="CK315">
        <v>1</v>
      </c>
      <c r="CL315" s="42" t="str">
        <f t="shared" si="53"/>
        <v>1</v>
      </c>
      <c r="CM315" s="4">
        <v>13.333333333333334</v>
      </c>
      <c r="CN315" s="4">
        <f t="shared" si="60"/>
        <v>1.1133333333333333</v>
      </c>
      <c r="CO315">
        <v>4</v>
      </c>
      <c r="CP315" s="42" t="str">
        <f t="shared" si="54"/>
        <v>1</v>
      </c>
      <c r="CQ315" s="4">
        <v>55.666666666666664</v>
      </c>
      <c r="CR315" s="4">
        <v>2.1790123456790123</v>
      </c>
      <c r="CS315" s="43" t="str">
        <f t="shared" si="55"/>
        <v>1</v>
      </c>
      <c r="CT315" s="4">
        <f t="shared" si="56"/>
        <v>69</v>
      </c>
      <c r="CU315" s="4">
        <f t="shared" si="57"/>
        <v>3.2923456790123455</v>
      </c>
      <c r="CV315" s="4">
        <v>3</v>
      </c>
    </row>
    <row r="316" spans="1:100" x14ac:dyDescent="0.3">
      <c r="A316" s="8" t="s">
        <v>322</v>
      </c>
      <c r="B316" s="18">
        <v>1</v>
      </c>
      <c r="C316">
        <v>40</v>
      </c>
      <c r="D316">
        <v>0</v>
      </c>
      <c r="E316">
        <v>2</v>
      </c>
      <c r="F316">
        <v>0</v>
      </c>
      <c r="G316">
        <v>0</v>
      </c>
      <c r="H316">
        <v>0</v>
      </c>
      <c r="I316">
        <v>1</v>
      </c>
      <c r="J316">
        <v>53.9</v>
      </c>
      <c r="K316">
        <v>1.595</v>
      </c>
      <c r="L316">
        <f t="shared" si="58"/>
        <v>159.5</v>
      </c>
      <c r="M316" s="82">
        <v>16.709</v>
      </c>
      <c r="N316" s="4">
        <v>35.1</v>
      </c>
      <c r="O316" s="4">
        <v>31</v>
      </c>
      <c r="P316" s="39">
        <v>0</v>
      </c>
      <c r="Q316">
        <v>77</v>
      </c>
      <c r="R316" s="40">
        <v>0</v>
      </c>
      <c r="S316">
        <v>91</v>
      </c>
      <c r="T316" s="5">
        <v>0.84615384615384615</v>
      </c>
      <c r="U316" s="39">
        <v>0</v>
      </c>
      <c r="V316" s="4">
        <v>21.186898713652578</v>
      </c>
      <c r="W316" s="37">
        <v>0</v>
      </c>
      <c r="X316" s="4">
        <v>4</v>
      </c>
      <c r="Y316" s="40">
        <v>0</v>
      </c>
      <c r="Z316" s="5">
        <v>7.5609999999999999</v>
      </c>
      <c r="AA316" s="5">
        <v>1.4113866666666666</v>
      </c>
      <c r="AB316" s="85">
        <v>0</v>
      </c>
      <c r="AC316" s="5">
        <v>4.2</v>
      </c>
      <c r="AD316" s="37">
        <v>0</v>
      </c>
      <c r="AE316" s="21">
        <v>3</v>
      </c>
      <c r="AF316" s="5">
        <v>5.47</v>
      </c>
      <c r="AG316" s="37">
        <v>1</v>
      </c>
      <c r="AH316" s="5">
        <v>0.7</v>
      </c>
      <c r="AI316" s="1">
        <v>1</v>
      </c>
      <c r="AJ316" s="13">
        <v>3.52</v>
      </c>
      <c r="AK316" s="1">
        <v>0</v>
      </c>
      <c r="AL316" s="13">
        <v>1.64</v>
      </c>
      <c r="AM316" s="1">
        <v>0</v>
      </c>
      <c r="AN316" s="82">
        <f t="shared" si="59"/>
        <v>3.3353658536585367</v>
      </c>
      <c r="AO316" s="1">
        <v>0</v>
      </c>
      <c r="AP316">
        <v>106</v>
      </c>
      <c r="AQ316" s="37">
        <v>0</v>
      </c>
      <c r="AR316">
        <v>65</v>
      </c>
      <c r="AS316" s="37">
        <v>0</v>
      </c>
      <c r="AT316">
        <v>60</v>
      </c>
      <c r="AU316">
        <v>41</v>
      </c>
      <c r="AV316">
        <v>5.6</v>
      </c>
      <c r="AW316">
        <v>1</v>
      </c>
      <c r="AX316">
        <v>1904</v>
      </c>
      <c r="AY316">
        <v>102.8</v>
      </c>
      <c r="AZ316">
        <v>61</v>
      </c>
      <c r="BA316">
        <v>309.7</v>
      </c>
      <c r="BB316">
        <v>13.8</v>
      </c>
      <c r="BC316">
        <v>245.5</v>
      </c>
      <c r="BD316">
        <v>38.9</v>
      </c>
      <c r="BE316">
        <v>34.299999999999997</v>
      </c>
      <c r="BF316">
        <v>69.599999999999994</v>
      </c>
      <c r="BG316">
        <v>28.8</v>
      </c>
      <c r="BH316">
        <v>21.6</v>
      </c>
      <c r="BI316">
        <v>61</v>
      </c>
      <c r="BJ316">
        <v>17.399999999999999</v>
      </c>
      <c r="BK316">
        <v>6.8</v>
      </c>
      <c r="BL316">
        <v>36.799999999999997</v>
      </c>
      <c r="BM316">
        <v>8.9</v>
      </c>
      <c r="BN316">
        <v>2.8</v>
      </c>
      <c r="BO316">
        <v>1.65</v>
      </c>
      <c r="BP316">
        <v>0.95</v>
      </c>
      <c r="BQ316">
        <v>0.04</v>
      </c>
      <c r="BR316">
        <v>339</v>
      </c>
      <c r="BS316">
        <v>172</v>
      </c>
      <c r="BT316">
        <v>2377</v>
      </c>
      <c r="BU316">
        <v>1513</v>
      </c>
      <c r="BV316">
        <v>10.54</v>
      </c>
      <c r="BW316">
        <v>5.74</v>
      </c>
      <c r="BX316">
        <v>1.63</v>
      </c>
      <c r="BY316">
        <v>21.8</v>
      </c>
      <c r="BZ316">
        <v>28.2</v>
      </c>
      <c r="CA316">
        <v>0.92</v>
      </c>
      <c r="CB316">
        <v>1.59</v>
      </c>
      <c r="CC316">
        <v>7.8</v>
      </c>
      <c r="CD316">
        <v>0.48</v>
      </c>
      <c r="CE316">
        <v>5.03</v>
      </c>
      <c r="CF316">
        <v>151</v>
      </c>
      <c r="CG316">
        <v>26.7</v>
      </c>
      <c r="CH316">
        <v>220</v>
      </c>
      <c r="CI316">
        <v>9.77</v>
      </c>
      <c r="CJ316">
        <v>2.1</v>
      </c>
      <c r="CK316">
        <v>2</v>
      </c>
      <c r="CL316" s="42" t="str">
        <f t="shared" si="53"/>
        <v>1</v>
      </c>
      <c r="CM316" s="4">
        <v>65.333333333333329</v>
      </c>
      <c r="CN316" s="4">
        <f t="shared" si="60"/>
        <v>2.04</v>
      </c>
      <c r="CO316">
        <v>5</v>
      </c>
      <c r="CP316" s="42" t="str">
        <f t="shared" si="54"/>
        <v>1</v>
      </c>
      <c r="CQ316" s="4">
        <v>102</v>
      </c>
      <c r="CR316" s="4">
        <v>3.2222222222222223</v>
      </c>
      <c r="CS316" s="43" t="str">
        <f t="shared" si="55"/>
        <v>2</v>
      </c>
      <c r="CT316" s="4">
        <f t="shared" si="56"/>
        <v>167.33333333333331</v>
      </c>
      <c r="CU316" s="4">
        <f t="shared" si="57"/>
        <v>5.2622222222222224</v>
      </c>
      <c r="CV316" s="4">
        <v>4</v>
      </c>
    </row>
    <row r="317" spans="1:100" x14ac:dyDescent="0.3">
      <c r="A317" s="8" t="s">
        <v>321</v>
      </c>
      <c r="B317" s="18">
        <v>1</v>
      </c>
      <c r="C317">
        <v>44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1</v>
      </c>
      <c r="J317">
        <v>67.3</v>
      </c>
      <c r="K317">
        <v>1.5489999999999999</v>
      </c>
      <c r="L317">
        <f t="shared" si="58"/>
        <v>154.9</v>
      </c>
      <c r="M317" s="82">
        <v>28.333299999999998</v>
      </c>
      <c r="N317" s="4">
        <v>36.700000000000003</v>
      </c>
      <c r="O317" s="4">
        <v>42.1</v>
      </c>
      <c r="P317" s="39">
        <v>1</v>
      </c>
      <c r="Q317">
        <v>94</v>
      </c>
      <c r="R317" s="40">
        <v>1</v>
      </c>
      <c r="S317">
        <v>102</v>
      </c>
      <c r="T317" s="5">
        <v>0.92156862745098034</v>
      </c>
      <c r="U317" s="39">
        <v>1</v>
      </c>
      <c r="V317" s="4">
        <v>28.048667146508652</v>
      </c>
      <c r="W317" s="37">
        <v>1</v>
      </c>
      <c r="X317" s="4">
        <v>10</v>
      </c>
      <c r="Y317" s="40">
        <v>1</v>
      </c>
      <c r="Z317" s="5">
        <v>17.983000000000001</v>
      </c>
      <c r="AA317" s="5">
        <v>3.7324715555555557</v>
      </c>
      <c r="AB317" s="85">
        <v>1</v>
      </c>
      <c r="AC317" s="5">
        <v>4.67</v>
      </c>
      <c r="AD317" s="37">
        <v>0</v>
      </c>
      <c r="AE317">
        <v>18.329999999999998</v>
      </c>
      <c r="AF317" s="5">
        <v>6.13</v>
      </c>
      <c r="AG317" s="37">
        <v>1</v>
      </c>
      <c r="AH317" s="5">
        <v>1.68</v>
      </c>
      <c r="AI317" s="1">
        <v>1</v>
      </c>
      <c r="AJ317" s="13">
        <v>3.83</v>
      </c>
      <c r="AK317" s="1">
        <v>0</v>
      </c>
      <c r="AL317" s="13">
        <v>1.51</v>
      </c>
      <c r="AM317" s="1">
        <v>0</v>
      </c>
      <c r="AN317" s="82">
        <f t="shared" si="59"/>
        <v>4.0596026490066226</v>
      </c>
      <c r="AO317" s="1">
        <v>1</v>
      </c>
      <c r="AP317">
        <v>121</v>
      </c>
      <c r="AQ317" s="37">
        <v>0</v>
      </c>
      <c r="AR317">
        <v>84</v>
      </c>
      <c r="AS317" s="37">
        <v>0</v>
      </c>
      <c r="AT317">
        <v>75</v>
      </c>
      <c r="AU317">
        <v>38</v>
      </c>
      <c r="AV317">
        <v>6.5</v>
      </c>
      <c r="AW317">
        <v>1</v>
      </c>
      <c r="AX317">
        <v>1331</v>
      </c>
      <c r="AY317">
        <v>38.299999999999997</v>
      </c>
      <c r="AZ317">
        <v>41.1</v>
      </c>
      <c r="BA317">
        <v>215</v>
      </c>
      <c r="BB317">
        <v>7.2</v>
      </c>
      <c r="BC317">
        <v>149.1</v>
      </c>
      <c r="BD317">
        <v>56.3</v>
      </c>
      <c r="BE317">
        <v>42</v>
      </c>
      <c r="BF317">
        <v>53.6</v>
      </c>
      <c r="BG317">
        <v>27.8</v>
      </c>
      <c r="BH317">
        <v>11.5</v>
      </c>
      <c r="BI317">
        <v>60.6</v>
      </c>
      <c r="BJ317">
        <v>19.5</v>
      </c>
      <c r="BK317">
        <v>11.8</v>
      </c>
      <c r="BL317">
        <v>28.9</v>
      </c>
      <c r="BM317">
        <v>4.7</v>
      </c>
      <c r="BN317">
        <v>1.4</v>
      </c>
      <c r="BO317">
        <v>1.1000000000000001</v>
      </c>
      <c r="BP317">
        <v>0.14000000000000001</v>
      </c>
      <c r="BQ317">
        <v>0.27</v>
      </c>
      <c r="BR317">
        <v>428</v>
      </c>
      <c r="BS317">
        <v>153.5</v>
      </c>
      <c r="BT317">
        <v>2691</v>
      </c>
      <c r="BU317">
        <v>1391</v>
      </c>
      <c r="BV317">
        <v>7.91</v>
      </c>
      <c r="BW317">
        <v>3.87</v>
      </c>
      <c r="BX317">
        <v>1.05</v>
      </c>
      <c r="BY317">
        <v>22.6</v>
      </c>
      <c r="BZ317">
        <v>47.1</v>
      </c>
      <c r="CA317">
        <v>4.4800000000000004</v>
      </c>
      <c r="CB317">
        <v>4.5999999999999996</v>
      </c>
      <c r="CC317">
        <v>8.9</v>
      </c>
      <c r="CD317">
        <v>0.49</v>
      </c>
      <c r="CE317">
        <v>1.1299999999999999</v>
      </c>
      <c r="CF317">
        <v>167.3</v>
      </c>
      <c r="CG317">
        <v>11</v>
      </c>
      <c r="CH317">
        <v>200</v>
      </c>
      <c r="CI317">
        <v>0.96</v>
      </c>
      <c r="CJ317">
        <v>16.2</v>
      </c>
      <c r="CK317">
        <v>0</v>
      </c>
      <c r="CL317" s="42" t="str">
        <f t="shared" si="53"/>
        <v>1</v>
      </c>
      <c r="CM317" s="4">
        <v>0</v>
      </c>
      <c r="CN317" s="4">
        <f t="shared" si="60"/>
        <v>1.74</v>
      </c>
      <c r="CO317">
        <v>6</v>
      </c>
      <c r="CP317" s="42" t="str">
        <f t="shared" si="54"/>
        <v>1</v>
      </c>
      <c r="CQ317" s="4">
        <v>87</v>
      </c>
      <c r="CR317" s="4">
        <v>1.5456790123456789</v>
      </c>
      <c r="CS317" s="43" t="str">
        <f t="shared" si="55"/>
        <v>1</v>
      </c>
      <c r="CT317" s="4">
        <f t="shared" si="56"/>
        <v>87</v>
      </c>
      <c r="CU317" s="4">
        <f t="shared" si="57"/>
        <v>3.2856790123456792</v>
      </c>
      <c r="CV317" s="4">
        <v>3</v>
      </c>
    </row>
    <row r="318" spans="1:100" x14ac:dyDescent="0.3">
      <c r="A318" s="8" t="s">
        <v>320</v>
      </c>
      <c r="B318" s="18">
        <v>1</v>
      </c>
      <c r="C318">
        <v>37</v>
      </c>
      <c r="D318">
        <v>4</v>
      </c>
      <c r="E318">
        <v>3</v>
      </c>
      <c r="F318">
        <v>0</v>
      </c>
      <c r="G318">
        <v>0</v>
      </c>
      <c r="H318">
        <v>0</v>
      </c>
      <c r="I318">
        <v>1</v>
      </c>
      <c r="J318">
        <v>58.4</v>
      </c>
      <c r="K318">
        <v>1.4950000000000001</v>
      </c>
      <c r="L318">
        <f t="shared" si="58"/>
        <v>149.5</v>
      </c>
      <c r="M318" s="82">
        <v>22.659199999999995</v>
      </c>
      <c r="N318" s="4">
        <v>33.700000000000003</v>
      </c>
      <c r="O318" s="4">
        <v>38.799999999999997</v>
      </c>
      <c r="P318" s="39">
        <v>1</v>
      </c>
      <c r="Q318">
        <v>84</v>
      </c>
      <c r="R318" s="40">
        <v>1</v>
      </c>
      <c r="S318">
        <v>105</v>
      </c>
      <c r="T318" s="5">
        <v>0.8</v>
      </c>
      <c r="U318" s="39">
        <v>0</v>
      </c>
      <c r="V318" s="4">
        <v>26.129461639131549</v>
      </c>
      <c r="W318" s="37">
        <v>1</v>
      </c>
      <c r="X318" s="4">
        <v>7</v>
      </c>
      <c r="Y318" s="40">
        <v>0</v>
      </c>
      <c r="Z318" s="5">
        <v>27.436</v>
      </c>
      <c r="AA318" s="5">
        <v>6.3651519999999993</v>
      </c>
      <c r="AB318" s="85">
        <v>1</v>
      </c>
      <c r="AC318" s="5">
        <v>5.22</v>
      </c>
      <c r="AD318" s="37">
        <v>0</v>
      </c>
      <c r="AE318" s="21">
        <v>3</v>
      </c>
      <c r="AF318" s="5">
        <v>5.83</v>
      </c>
      <c r="AG318" s="37">
        <v>1</v>
      </c>
      <c r="AH318" s="5">
        <v>0.73</v>
      </c>
      <c r="AI318" s="1">
        <v>1</v>
      </c>
      <c r="AJ318" s="13">
        <v>5.33</v>
      </c>
      <c r="AK318" s="1">
        <v>1</v>
      </c>
      <c r="AL318" s="13">
        <v>0.14000000000000001</v>
      </c>
      <c r="AM318" s="1">
        <v>1</v>
      </c>
      <c r="AN318" s="82">
        <f t="shared" si="59"/>
        <v>41.642857142857139</v>
      </c>
      <c r="AO318" s="1">
        <v>1</v>
      </c>
      <c r="AP318">
        <v>118</v>
      </c>
      <c r="AQ318" s="37">
        <v>0</v>
      </c>
      <c r="AR318">
        <v>78</v>
      </c>
      <c r="AS318" s="37">
        <v>0</v>
      </c>
      <c r="AT318">
        <v>78</v>
      </c>
      <c r="AU318">
        <v>40</v>
      </c>
      <c r="AV318">
        <v>5.7</v>
      </c>
      <c r="AW318">
        <v>1</v>
      </c>
      <c r="AX318">
        <v>1197</v>
      </c>
      <c r="AY318">
        <v>74</v>
      </c>
      <c r="AZ318">
        <v>38.700000000000003</v>
      </c>
      <c r="BA318">
        <v>181.8</v>
      </c>
      <c r="BB318">
        <v>4.7</v>
      </c>
      <c r="BC318">
        <v>119.2</v>
      </c>
      <c r="BD318">
        <v>49.5</v>
      </c>
      <c r="BE318">
        <v>11.9</v>
      </c>
      <c r="BF318">
        <v>132.30000000000001</v>
      </c>
      <c r="BG318">
        <v>29.1</v>
      </c>
      <c r="BH318">
        <v>24.7</v>
      </c>
      <c r="BI318">
        <v>56.9</v>
      </c>
      <c r="BJ318">
        <v>14.8</v>
      </c>
      <c r="BK318">
        <v>3.7</v>
      </c>
      <c r="BL318">
        <v>19.7</v>
      </c>
      <c r="BM318">
        <v>7.2</v>
      </c>
      <c r="BN318">
        <v>2.6</v>
      </c>
      <c r="BO318">
        <v>1.08</v>
      </c>
      <c r="BP318">
        <v>0.94</v>
      </c>
      <c r="BQ318">
        <v>0.64</v>
      </c>
      <c r="BR318">
        <v>689</v>
      </c>
      <c r="BS318">
        <v>138.4</v>
      </c>
      <c r="BT318">
        <v>1649</v>
      </c>
      <c r="BU318">
        <v>1380</v>
      </c>
      <c r="BV318">
        <v>4.55</v>
      </c>
      <c r="BW318">
        <v>3.68</v>
      </c>
      <c r="BX318">
        <v>0.43</v>
      </c>
      <c r="BY318">
        <v>42.6</v>
      </c>
      <c r="BZ318">
        <v>77.599999999999994</v>
      </c>
      <c r="CA318">
        <v>7.87</v>
      </c>
      <c r="CB318">
        <v>8.25</v>
      </c>
      <c r="CC318">
        <v>12.4</v>
      </c>
      <c r="CD318">
        <v>0.71</v>
      </c>
      <c r="CE318">
        <v>6.59</v>
      </c>
      <c r="CF318">
        <v>93.6</v>
      </c>
      <c r="CG318">
        <v>8.3000000000000007</v>
      </c>
      <c r="CH318">
        <v>338</v>
      </c>
      <c r="CI318">
        <v>8.9600000000000009</v>
      </c>
      <c r="CJ318">
        <v>31.7</v>
      </c>
      <c r="CK318">
        <v>0</v>
      </c>
      <c r="CL318" s="42" t="str">
        <f t="shared" si="53"/>
        <v>1</v>
      </c>
      <c r="CM318" s="4">
        <v>0</v>
      </c>
      <c r="CN318" s="4">
        <f t="shared" si="60"/>
        <v>0.84666666666666668</v>
      </c>
      <c r="CO318">
        <v>4</v>
      </c>
      <c r="CP318" s="42" t="str">
        <f t="shared" si="54"/>
        <v>1</v>
      </c>
      <c r="CQ318" s="4">
        <v>42.333333333333336</v>
      </c>
      <c r="CR318" s="4">
        <v>1.6530864197530866</v>
      </c>
      <c r="CS318" s="43" t="str">
        <f t="shared" si="55"/>
        <v>1</v>
      </c>
      <c r="CT318" s="4">
        <f t="shared" si="56"/>
        <v>42.333333333333336</v>
      </c>
      <c r="CU318" s="4">
        <f t="shared" si="57"/>
        <v>2.4997530864197532</v>
      </c>
      <c r="CV318" s="4">
        <v>2</v>
      </c>
    </row>
    <row r="319" spans="1:100" x14ac:dyDescent="0.3">
      <c r="A319" s="8" t="s">
        <v>319</v>
      </c>
      <c r="B319" s="18">
        <v>1</v>
      </c>
      <c r="C319">
        <v>44</v>
      </c>
      <c r="D319">
        <v>1</v>
      </c>
      <c r="E319">
        <v>2</v>
      </c>
      <c r="F319">
        <v>0</v>
      </c>
      <c r="G319">
        <v>0</v>
      </c>
      <c r="H319">
        <v>0</v>
      </c>
      <c r="I319">
        <v>1</v>
      </c>
      <c r="J319">
        <v>46.4</v>
      </c>
      <c r="K319">
        <v>1.5329999999999999</v>
      </c>
      <c r="L319">
        <f t="shared" si="58"/>
        <v>153.29999999999998</v>
      </c>
      <c r="M319" s="82">
        <v>13.8736</v>
      </c>
      <c r="N319" s="4">
        <v>30.8</v>
      </c>
      <c r="O319" s="4">
        <v>29.9</v>
      </c>
      <c r="P319" s="39">
        <v>0</v>
      </c>
      <c r="Q319">
        <v>73</v>
      </c>
      <c r="R319" s="40">
        <v>0</v>
      </c>
      <c r="S319">
        <v>88</v>
      </c>
      <c r="T319" s="5">
        <v>0.82954545454545459</v>
      </c>
      <c r="U319" s="39">
        <v>0</v>
      </c>
      <c r="V319" s="4">
        <v>19.743933102108048</v>
      </c>
      <c r="W319" s="37">
        <v>0</v>
      </c>
      <c r="X319" s="4">
        <v>4</v>
      </c>
      <c r="Y319" s="40">
        <v>0</v>
      </c>
      <c r="Z319" s="5">
        <v>7.38</v>
      </c>
      <c r="AA319" s="5">
        <v>1.3612000000000002</v>
      </c>
      <c r="AB319" s="85">
        <v>0</v>
      </c>
      <c r="AC319" s="5">
        <v>4.1500000000000004</v>
      </c>
      <c r="AD319" s="37">
        <v>0</v>
      </c>
      <c r="AE319">
        <v>18.829999999999998</v>
      </c>
      <c r="AF319" s="5">
        <v>4.6500000000000004</v>
      </c>
      <c r="AG319" s="37">
        <v>0</v>
      </c>
      <c r="AH319" s="5">
        <v>0.56000000000000005</v>
      </c>
      <c r="AI319" s="1">
        <v>0</v>
      </c>
      <c r="AJ319" s="13">
        <v>3.18</v>
      </c>
      <c r="AK319" s="1">
        <v>1</v>
      </c>
      <c r="AL319" s="13">
        <v>1.22</v>
      </c>
      <c r="AM319" s="1">
        <v>1</v>
      </c>
      <c r="AN319" s="82">
        <f t="shared" si="59"/>
        <v>3.8114754098360661</v>
      </c>
      <c r="AO319" s="1">
        <v>0</v>
      </c>
      <c r="AP319">
        <v>104</v>
      </c>
      <c r="AQ319" s="37">
        <v>0</v>
      </c>
      <c r="AR319">
        <v>65</v>
      </c>
      <c r="AS319" s="37">
        <v>0</v>
      </c>
      <c r="AT319">
        <v>75</v>
      </c>
      <c r="AU319">
        <v>39</v>
      </c>
      <c r="AV319">
        <v>6</v>
      </c>
      <c r="AW319">
        <v>1</v>
      </c>
      <c r="AX319">
        <v>3001</v>
      </c>
      <c r="AY319">
        <v>68.400000000000006</v>
      </c>
      <c r="AZ319">
        <v>84.8</v>
      </c>
      <c r="BA319">
        <v>523.20000000000005</v>
      </c>
      <c r="BB319">
        <v>24</v>
      </c>
      <c r="BC319">
        <v>446.1</v>
      </c>
      <c r="BD319">
        <v>57.6</v>
      </c>
      <c r="BE319">
        <v>48</v>
      </c>
      <c r="BF319">
        <v>164.6</v>
      </c>
      <c r="BG319">
        <v>25.4</v>
      </c>
      <c r="BH319">
        <v>9.1</v>
      </c>
      <c r="BI319">
        <v>65.400000000000006</v>
      </c>
      <c r="BJ319">
        <v>16</v>
      </c>
      <c r="BK319">
        <v>6</v>
      </c>
      <c r="BL319">
        <v>53.2</v>
      </c>
      <c r="BM319">
        <v>8.9</v>
      </c>
      <c r="BN319">
        <v>3.6</v>
      </c>
      <c r="BO319">
        <v>3.08</v>
      </c>
      <c r="BP319">
        <v>0.23</v>
      </c>
      <c r="BQ319">
        <v>0.17</v>
      </c>
      <c r="BR319">
        <v>253</v>
      </c>
      <c r="BS319">
        <v>218.3</v>
      </c>
      <c r="BT319">
        <v>4188</v>
      </c>
      <c r="BU319">
        <v>1753</v>
      </c>
      <c r="BV319">
        <v>12.79</v>
      </c>
      <c r="BW319">
        <v>6.68</v>
      </c>
      <c r="BX319">
        <v>1.42</v>
      </c>
      <c r="BY319">
        <v>16.5</v>
      </c>
      <c r="BZ319">
        <v>47.9</v>
      </c>
      <c r="CA319">
        <v>1.39</v>
      </c>
      <c r="CB319">
        <v>2.74</v>
      </c>
      <c r="CC319">
        <v>12.5</v>
      </c>
      <c r="CD319">
        <v>0.66</v>
      </c>
      <c r="CE319">
        <v>1.1200000000000001</v>
      </c>
      <c r="CF319">
        <v>171.4</v>
      </c>
      <c r="CG319">
        <v>15.6</v>
      </c>
      <c r="CH319">
        <v>234</v>
      </c>
      <c r="CI319">
        <v>22.83</v>
      </c>
      <c r="CJ319">
        <v>2.7</v>
      </c>
      <c r="CK319">
        <v>3</v>
      </c>
      <c r="CL319" s="42" t="str">
        <f t="shared" si="53"/>
        <v>1</v>
      </c>
      <c r="CM319" s="4">
        <v>43.333333333333336</v>
      </c>
      <c r="CN319" s="4">
        <f t="shared" si="60"/>
        <v>3.2333333333333329</v>
      </c>
      <c r="CO319">
        <v>4</v>
      </c>
      <c r="CP319" s="42" t="str">
        <f t="shared" si="54"/>
        <v>2</v>
      </c>
      <c r="CQ319" s="4">
        <v>161.66666666666666</v>
      </c>
      <c r="CR319" s="4">
        <v>1.5123456790123457</v>
      </c>
      <c r="CS319" s="43" t="str">
        <f t="shared" si="55"/>
        <v>2</v>
      </c>
      <c r="CT319" s="4">
        <f t="shared" si="56"/>
        <v>205</v>
      </c>
      <c r="CU319" s="4">
        <f t="shared" si="57"/>
        <v>4.7456790123456791</v>
      </c>
      <c r="CV319" s="4">
        <v>4</v>
      </c>
    </row>
    <row r="320" spans="1:100" x14ac:dyDescent="0.3">
      <c r="A320" s="8" t="s">
        <v>318</v>
      </c>
      <c r="B320" s="18">
        <v>1</v>
      </c>
      <c r="C320">
        <v>37</v>
      </c>
      <c r="D320">
        <v>1</v>
      </c>
      <c r="E320">
        <v>3</v>
      </c>
      <c r="F320">
        <v>0</v>
      </c>
      <c r="G320">
        <v>0</v>
      </c>
      <c r="H320">
        <v>0</v>
      </c>
      <c r="I320">
        <v>0</v>
      </c>
      <c r="J320">
        <v>67</v>
      </c>
      <c r="K320">
        <v>1.5449999999999999</v>
      </c>
      <c r="L320">
        <f t="shared" si="58"/>
        <v>154.5</v>
      </c>
      <c r="M320" s="82">
        <v>27.202000000000002</v>
      </c>
      <c r="N320" s="4">
        <v>37.5</v>
      </c>
      <c r="O320" s="4">
        <v>40.6</v>
      </c>
      <c r="P320" s="39">
        <v>1</v>
      </c>
      <c r="Q320">
        <v>94</v>
      </c>
      <c r="R320" s="40">
        <v>1</v>
      </c>
      <c r="S320">
        <v>102</v>
      </c>
      <c r="T320" s="5">
        <v>0.92156862745098034</v>
      </c>
      <c r="U320" s="39">
        <v>1</v>
      </c>
      <c r="V320" s="4">
        <v>28.068411516427354</v>
      </c>
      <c r="W320" s="37">
        <v>1</v>
      </c>
      <c r="X320" s="4">
        <v>8</v>
      </c>
      <c r="Y320" s="40">
        <v>0</v>
      </c>
      <c r="Z320" s="5">
        <v>9.1549999999999994</v>
      </c>
      <c r="AA320" s="5">
        <v>1.8187933333333333</v>
      </c>
      <c r="AB320" s="85">
        <v>0</v>
      </c>
      <c r="AC320" s="5">
        <v>4.47</v>
      </c>
      <c r="AD320" s="37">
        <v>0</v>
      </c>
      <c r="AE320" s="21">
        <v>3</v>
      </c>
      <c r="AF320" s="5">
        <v>5.1100000000000003</v>
      </c>
      <c r="AG320" s="37">
        <v>1</v>
      </c>
      <c r="AH320" s="5">
        <v>0.86</v>
      </c>
      <c r="AI320" s="1">
        <v>1</v>
      </c>
      <c r="AJ320" s="13">
        <v>3.62</v>
      </c>
      <c r="AK320" s="1">
        <v>1</v>
      </c>
      <c r="AL320" s="13">
        <v>1.1000000000000001</v>
      </c>
      <c r="AM320" s="1">
        <v>1</v>
      </c>
      <c r="AN320" s="82">
        <f t="shared" si="59"/>
        <v>4.6454545454545455</v>
      </c>
      <c r="AO320" s="1">
        <v>1</v>
      </c>
      <c r="AP320">
        <v>111</v>
      </c>
      <c r="AQ320" s="37">
        <v>0</v>
      </c>
      <c r="AR320">
        <v>68</v>
      </c>
      <c r="AS320" s="37">
        <v>0</v>
      </c>
      <c r="AT320">
        <v>84</v>
      </c>
      <c r="AU320">
        <v>43</v>
      </c>
      <c r="AV320">
        <v>5.6</v>
      </c>
      <c r="AW320">
        <v>1</v>
      </c>
      <c r="AX320">
        <v>1218</v>
      </c>
      <c r="AY320">
        <v>39.799999999999997</v>
      </c>
      <c r="AZ320">
        <v>46.6</v>
      </c>
      <c r="BA320">
        <v>169.7</v>
      </c>
      <c r="BB320">
        <v>6.7</v>
      </c>
      <c r="BC320">
        <v>83.9</v>
      </c>
      <c r="BD320">
        <v>66.8</v>
      </c>
      <c r="BE320">
        <v>59.1</v>
      </c>
      <c r="BF320">
        <v>74.8</v>
      </c>
      <c r="BG320">
        <v>34.5</v>
      </c>
      <c r="BH320">
        <v>13.1</v>
      </c>
      <c r="BI320">
        <v>52.3</v>
      </c>
      <c r="BJ320">
        <v>24.1</v>
      </c>
      <c r="BK320">
        <v>18.2</v>
      </c>
      <c r="BL320">
        <v>32.6</v>
      </c>
      <c r="BM320">
        <v>5.5</v>
      </c>
      <c r="BN320">
        <v>2.6</v>
      </c>
      <c r="BO320">
        <v>2.0299999999999998</v>
      </c>
      <c r="BP320">
        <v>0.16</v>
      </c>
      <c r="BQ320">
        <v>0.08</v>
      </c>
      <c r="BR320">
        <v>284</v>
      </c>
      <c r="BS320">
        <v>172.8</v>
      </c>
      <c r="BT320">
        <v>4307</v>
      </c>
      <c r="BU320">
        <v>1482</v>
      </c>
      <c r="BV320">
        <v>9.1300000000000008</v>
      </c>
      <c r="BW320">
        <v>3.8</v>
      </c>
      <c r="BX320">
        <v>1.24</v>
      </c>
      <c r="BY320">
        <v>24.3</v>
      </c>
      <c r="BZ320">
        <v>12.5</v>
      </c>
      <c r="CA320">
        <v>14.49</v>
      </c>
      <c r="CB320">
        <v>13.44</v>
      </c>
      <c r="CC320">
        <v>8.5</v>
      </c>
      <c r="CD320">
        <v>0.54</v>
      </c>
      <c r="CE320">
        <v>2.0499999999999998</v>
      </c>
      <c r="CF320">
        <v>133.1</v>
      </c>
      <c r="CG320">
        <v>11.9</v>
      </c>
      <c r="CH320">
        <v>361</v>
      </c>
      <c r="CI320">
        <v>2.96</v>
      </c>
      <c r="CJ320">
        <v>63.9</v>
      </c>
      <c r="CK320">
        <v>1</v>
      </c>
      <c r="CL320" s="42" t="str">
        <f t="shared" si="53"/>
        <v>1</v>
      </c>
      <c r="CM320" s="4">
        <v>26.666666666666668</v>
      </c>
      <c r="CN320" s="4">
        <f t="shared" si="60"/>
        <v>1.2266666666666668</v>
      </c>
      <c r="CO320">
        <v>3</v>
      </c>
      <c r="CP320" s="42" t="str">
        <f t="shared" si="54"/>
        <v>1</v>
      </c>
      <c r="CQ320" s="4">
        <v>61.333333333333336</v>
      </c>
      <c r="CR320" s="4">
        <v>3.6888888888888891</v>
      </c>
      <c r="CS320" s="43" t="str">
        <f t="shared" si="55"/>
        <v>1</v>
      </c>
      <c r="CT320" s="4">
        <f t="shared" si="56"/>
        <v>88</v>
      </c>
      <c r="CU320" s="4">
        <f t="shared" si="57"/>
        <v>4.9155555555555557</v>
      </c>
      <c r="CV320" s="4">
        <v>4</v>
      </c>
    </row>
    <row r="321" spans="1:100" x14ac:dyDescent="0.3">
      <c r="A321" s="8" t="s">
        <v>317</v>
      </c>
      <c r="B321" s="18">
        <v>1</v>
      </c>
      <c r="C321">
        <v>30</v>
      </c>
      <c r="D321">
        <v>1</v>
      </c>
      <c r="E321">
        <v>2</v>
      </c>
      <c r="F321">
        <v>0</v>
      </c>
      <c r="G321">
        <v>0</v>
      </c>
      <c r="H321">
        <v>0</v>
      </c>
      <c r="I321">
        <v>0</v>
      </c>
      <c r="J321">
        <v>62.8</v>
      </c>
      <c r="K321">
        <v>1.617</v>
      </c>
      <c r="L321">
        <f t="shared" si="58"/>
        <v>161.69999999999999</v>
      </c>
      <c r="M321" s="82">
        <v>22.607999999999997</v>
      </c>
      <c r="N321" s="4">
        <v>37.799999999999997</v>
      </c>
      <c r="O321" s="4">
        <v>36</v>
      </c>
      <c r="P321" s="39">
        <v>1</v>
      </c>
      <c r="Q321">
        <v>80</v>
      </c>
      <c r="R321" s="40">
        <v>0</v>
      </c>
      <c r="S321">
        <v>108</v>
      </c>
      <c r="T321" s="5">
        <v>0.7407407407407407</v>
      </c>
      <c r="U321" s="39">
        <v>0</v>
      </c>
      <c r="V321" s="4">
        <v>24.018152828118374</v>
      </c>
      <c r="W321" s="37">
        <v>1</v>
      </c>
      <c r="X321" s="4">
        <v>5</v>
      </c>
      <c r="Y321" s="40">
        <v>0</v>
      </c>
      <c r="Z321" s="5">
        <v>7.1109999999999998</v>
      </c>
      <c r="AA321" s="5">
        <v>0.97341688888888878</v>
      </c>
      <c r="AB321" s="85">
        <v>0</v>
      </c>
      <c r="AC321" s="5">
        <v>3.08</v>
      </c>
      <c r="AD321" s="37">
        <v>0</v>
      </c>
      <c r="AE321" s="21">
        <v>3</v>
      </c>
      <c r="AF321" s="5">
        <v>7.11</v>
      </c>
      <c r="AG321" s="37">
        <v>1</v>
      </c>
      <c r="AH321" s="5">
        <v>1.45</v>
      </c>
      <c r="AI321" s="1">
        <v>1</v>
      </c>
      <c r="AJ321" s="13">
        <v>5.44</v>
      </c>
      <c r="AK321" s="1">
        <v>1</v>
      </c>
      <c r="AL321" s="13">
        <v>1.01</v>
      </c>
      <c r="AM321" s="1">
        <v>1</v>
      </c>
      <c r="AN321" s="82">
        <f t="shared" si="59"/>
        <v>7.0396039603960396</v>
      </c>
      <c r="AO321" s="1">
        <v>1</v>
      </c>
      <c r="AP321">
        <v>115</v>
      </c>
      <c r="AQ321" s="37">
        <v>0</v>
      </c>
      <c r="AR321">
        <v>66</v>
      </c>
      <c r="AS321" s="37">
        <v>0</v>
      </c>
      <c r="AT321">
        <v>73</v>
      </c>
      <c r="AU321">
        <v>49</v>
      </c>
      <c r="AV321">
        <v>5.3</v>
      </c>
      <c r="AW321">
        <v>1</v>
      </c>
      <c r="AX321">
        <v>1571</v>
      </c>
      <c r="AY321">
        <v>37.4</v>
      </c>
      <c r="AZ321">
        <v>50.4</v>
      </c>
      <c r="BA321">
        <v>257.39999999999998</v>
      </c>
      <c r="BB321">
        <v>9.8000000000000007</v>
      </c>
      <c r="BC321">
        <v>172.1</v>
      </c>
      <c r="BD321">
        <v>73.400000000000006</v>
      </c>
      <c r="BE321">
        <v>57.3</v>
      </c>
      <c r="BF321">
        <v>54.4</v>
      </c>
      <c r="BG321">
        <v>28.9</v>
      </c>
      <c r="BH321">
        <v>9.5</v>
      </c>
      <c r="BI321">
        <v>61.4</v>
      </c>
      <c r="BJ321">
        <v>19.399999999999999</v>
      </c>
      <c r="BK321">
        <v>13.7</v>
      </c>
      <c r="BL321">
        <v>33.799999999999997</v>
      </c>
      <c r="BM321">
        <v>6.4</v>
      </c>
      <c r="BN321">
        <v>2.2000000000000002</v>
      </c>
      <c r="BO321">
        <v>1.81</v>
      </c>
      <c r="BP321">
        <v>0.13</v>
      </c>
      <c r="BQ321">
        <v>0.16</v>
      </c>
      <c r="BR321">
        <v>314</v>
      </c>
      <c r="BS321">
        <v>177.6</v>
      </c>
      <c r="BT321">
        <v>3016</v>
      </c>
      <c r="BU321">
        <v>1506</v>
      </c>
      <c r="BV321">
        <v>7.61</v>
      </c>
      <c r="BW321">
        <v>4.24</v>
      </c>
      <c r="BX321">
        <v>1.19</v>
      </c>
      <c r="BY321">
        <v>31.1</v>
      </c>
      <c r="BZ321">
        <v>28.7</v>
      </c>
      <c r="CA321">
        <v>0.56000000000000005</v>
      </c>
      <c r="CB321">
        <v>0.9</v>
      </c>
      <c r="CC321">
        <v>7.1</v>
      </c>
      <c r="CD321">
        <v>0.5</v>
      </c>
      <c r="CE321">
        <v>1.98</v>
      </c>
      <c r="CF321">
        <v>95.3</v>
      </c>
      <c r="CG321">
        <v>20.6</v>
      </c>
      <c r="CH321">
        <v>465</v>
      </c>
      <c r="CI321">
        <v>2.44</v>
      </c>
      <c r="CJ321">
        <v>4.3</v>
      </c>
      <c r="CK321">
        <v>1</v>
      </c>
      <c r="CL321" s="42" t="str">
        <f t="shared" si="53"/>
        <v>1</v>
      </c>
      <c r="CM321" s="4">
        <v>13</v>
      </c>
      <c r="CN321" s="4">
        <f t="shared" si="60"/>
        <v>2.4933333333333336</v>
      </c>
      <c r="CO321">
        <v>4</v>
      </c>
      <c r="CP321" s="42" t="str">
        <f t="shared" si="54"/>
        <v>1</v>
      </c>
      <c r="CQ321" s="4">
        <v>124.66666666666667</v>
      </c>
      <c r="CR321" s="4">
        <v>0.75308641975308632</v>
      </c>
      <c r="CS321" s="43" t="str">
        <f t="shared" si="55"/>
        <v>1</v>
      </c>
      <c r="CT321" s="4">
        <f t="shared" si="56"/>
        <v>137.66666666666669</v>
      </c>
      <c r="CU321" s="4">
        <f t="shared" si="57"/>
        <v>3.2464197530864198</v>
      </c>
      <c r="CV321" s="4">
        <v>3</v>
      </c>
    </row>
    <row r="322" spans="1:100" x14ac:dyDescent="0.3">
      <c r="A322" s="8" t="s">
        <v>316</v>
      </c>
      <c r="B322" s="18">
        <v>1</v>
      </c>
      <c r="C322">
        <v>46</v>
      </c>
      <c r="D322">
        <v>3</v>
      </c>
      <c r="E322">
        <v>1</v>
      </c>
      <c r="F322">
        <v>0</v>
      </c>
      <c r="G322">
        <v>0</v>
      </c>
      <c r="H322">
        <v>0</v>
      </c>
      <c r="I322">
        <v>1</v>
      </c>
      <c r="J322">
        <v>55.2</v>
      </c>
      <c r="K322">
        <v>1.45</v>
      </c>
      <c r="L322">
        <f t="shared" si="58"/>
        <v>145</v>
      </c>
      <c r="M322" s="82">
        <v>20.7</v>
      </c>
      <c r="N322" s="4">
        <v>32.6</v>
      </c>
      <c r="O322" s="4">
        <v>37.5</v>
      </c>
      <c r="P322" s="39">
        <v>1</v>
      </c>
      <c r="Q322">
        <v>92</v>
      </c>
      <c r="R322" s="40">
        <v>1</v>
      </c>
      <c r="S322">
        <v>92</v>
      </c>
      <c r="T322" s="5">
        <v>1</v>
      </c>
      <c r="U322" s="39">
        <v>1</v>
      </c>
      <c r="V322" s="4">
        <v>26.25445897740785</v>
      </c>
      <c r="W322" s="37">
        <v>1</v>
      </c>
      <c r="X322" s="4">
        <v>7</v>
      </c>
      <c r="Y322" s="40">
        <v>0</v>
      </c>
      <c r="Z322" s="5">
        <v>13.233000000000001</v>
      </c>
      <c r="AA322" s="5">
        <v>2.1819746666666666</v>
      </c>
      <c r="AB322" s="85">
        <v>0</v>
      </c>
      <c r="AC322" s="5">
        <v>3.71</v>
      </c>
      <c r="AD322" s="37">
        <v>0</v>
      </c>
      <c r="AE322">
        <v>24.81</v>
      </c>
      <c r="AF322" s="5">
        <v>5.31</v>
      </c>
      <c r="AG322" s="37">
        <v>1</v>
      </c>
      <c r="AH322" s="5">
        <v>1.05</v>
      </c>
      <c r="AI322" s="1">
        <v>1</v>
      </c>
      <c r="AJ322" s="13">
        <v>3.57</v>
      </c>
      <c r="AK322" s="1">
        <v>1</v>
      </c>
      <c r="AL322" s="13">
        <v>1.26</v>
      </c>
      <c r="AM322" s="1">
        <v>1</v>
      </c>
      <c r="AN322" s="82">
        <f t="shared" si="59"/>
        <v>4.2142857142857135</v>
      </c>
      <c r="AO322" s="1">
        <v>1</v>
      </c>
      <c r="AP322">
        <v>108</v>
      </c>
      <c r="AQ322" s="37">
        <v>0</v>
      </c>
      <c r="AR322">
        <v>72</v>
      </c>
      <c r="AS322" s="37">
        <v>0</v>
      </c>
      <c r="AT322">
        <v>92</v>
      </c>
      <c r="AU322">
        <v>36</v>
      </c>
      <c r="AV322">
        <v>6.2</v>
      </c>
      <c r="AW322">
        <v>1</v>
      </c>
      <c r="AX322">
        <v>992</v>
      </c>
      <c r="AY322">
        <v>30.2</v>
      </c>
      <c r="AZ322">
        <v>16.7</v>
      </c>
      <c r="BA322">
        <v>191.5</v>
      </c>
      <c r="BB322">
        <v>4.3</v>
      </c>
      <c r="BC322">
        <v>164.4</v>
      </c>
      <c r="BD322">
        <v>21.1</v>
      </c>
      <c r="BE322">
        <v>14</v>
      </c>
      <c r="BF322">
        <v>31.6</v>
      </c>
      <c r="BG322">
        <v>15.2</v>
      </c>
      <c r="BH322">
        <v>12.2</v>
      </c>
      <c r="BI322">
        <v>72.400000000000006</v>
      </c>
      <c r="BJ322">
        <v>10.5</v>
      </c>
      <c r="BK322">
        <v>5.3</v>
      </c>
      <c r="BL322">
        <v>11.5</v>
      </c>
      <c r="BM322">
        <v>1.9</v>
      </c>
      <c r="BN322">
        <v>1.2</v>
      </c>
      <c r="BO322">
        <v>1.08</v>
      </c>
      <c r="BP322">
        <v>0.06</v>
      </c>
      <c r="BQ322">
        <v>0.15</v>
      </c>
      <c r="BR322">
        <v>283</v>
      </c>
      <c r="BS322">
        <v>100.7</v>
      </c>
      <c r="BT322">
        <v>1649</v>
      </c>
      <c r="BU322">
        <v>866</v>
      </c>
      <c r="BV322">
        <v>4.3099999999999996</v>
      </c>
      <c r="BW322">
        <v>3.98</v>
      </c>
      <c r="BX322">
        <v>0.73</v>
      </c>
      <c r="BY322">
        <v>29.3</v>
      </c>
      <c r="BZ322">
        <v>40.1</v>
      </c>
      <c r="CA322">
        <v>0.25</v>
      </c>
      <c r="CB322">
        <v>0.34</v>
      </c>
      <c r="CC322">
        <v>11.2</v>
      </c>
      <c r="CD322">
        <v>0.61</v>
      </c>
      <c r="CE322">
        <v>0.83</v>
      </c>
      <c r="CF322">
        <v>67.5</v>
      </c>
      <c r="CG322">
        <v>6.5</v>
      </c>
      <c r="CH322">
        <v>145</v>
      </c>
      <c r="CI322">
        <v>0.37</v>
      </c>
      <c r="CJ322">
        <v>0.4</v>
      </c>
      <c r="CK322">
        <v>0</v>
      </c>
      <c r="CL322" s="42" t="str">
        <f t="shared" si="53"/>
        <v>1</v>
      </c>
      <c r="CM322" s="4">
        <v>0</v>
      </c>
      <c r="CN322" s="4">
        <f t="shared" si="60"/>
        <v>1.5333333333333334</v>
      </c>
      <c r="CO322">
        <v>4</v>
      </c>
      <c r="CP322" s="42" t="str">
        <f t="shared" si="54"/>
        <v>1</v>
      </c>
      <c r="CQ322" s="4">
        <v>76.666666666666671</v>
      </c>
      <c r="CR322" s="4">
        <v>2.9444444444444442</v>
      </c>
      <c r="CS322" s="43" t="str">
        <f t="shared" si="55"/>
        <v>1</v>
      </c>
      <c r="CT322" s="4">
        <f t="shared" si="56"/>
        <v>76.666666666666671</v>
      </c>
      <c r="CU322" s="4">
        <f t="shared" si="57"/>
        <v>4.4777777777777779</v>
      </c>
      <c r="CV322" s="4">
        <v>4</v>
      </c>
    </row>
    <row r="323" spans="1:100" x14ac:dyDescent="0.3">
      <c r="A323" s="8" t="s">
        <v>315</v>
      </c>
      <c r="B323" s="18">
        <v>1</v>
      </c>
      <c r="C323">
        <v>35</v>
      </c>
      <c r="D323">
        <v>3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67</v>
      </c>
      <c r="K323">
        <v>1.53</v>
      </c>
      <c r="L323">
        <f t="shared" si="58"/>
        <v>153</v>
      </c>
      <c r="M323" s="82">
        <v>25.995999999999999</v>
      </c>
      <c r="N323" s="4">
        <v>38.6</v>
      </c>
      <c r="O323" s="4">
        <v>38.799999999999997</v>
      </c>
      <c r="P323" s="39">
        <v>1</v>
      </c>
      <c r="Q323">
        <v>83</v>
      </c>
      <c r="R323" s="40">
        <v>1</v>
      </c>
      <c r="S323">
        <v>105</v>
      </c>
      <c r="T323" s="5">
        <v>0.79047619047619044</v>
      </c>
      <c r="U323" s="39">
        <v>0</v>
      </c>
      <c r="V323" s="4">
        <v>28.621470374642232</v>
      </c>
      <c r="W323" s="37">
        <v>1</v>
      </c>
      <c r="X323" s="4">
        <v>8</v>
      </c>
      <c r="Y323" s="40">
        <v>0</v>
      </c>
      <c r="Z323" s="5">
        <v>7.7859999999999996</v>
      </c>
      <c r="AA323" s="5">
        <v>1.487991111111111</v>
      </c>
      <c r="AB323" s="85">
        <v>0</v>
      </c>
      <c r="AC323" s="5">
        <v>4.3</v>
      </c>
      <c r="AD323" s="37">
        <v>0</v>
      </c>
      <c r="AE323">
        <v>20.59</v>
      </c>
      <c r="AF323" s="5">
        <v>6.57</v>
      </c>
      <c r="AG323" s="37">
        <v>1</v>
      </c>
      <c r="AH323" s="5">
        <v>0.69</v>
      </c>
      <c r="AI323" s="1">
        <v>1</v>
      </c>
      <c r="AJ323" s="13">
        <v>4.26</v>
      </c>
      <c r="AK323" s="1">
        <v>0</v>
      </c>
      <c r="AL323" s="13">
        <v>2</v>
      </c>
      <c r="AM323" s="1">
        <v>0</v>
      </c>
      <c r="AN323" s="82">
        <f t="shared" si="59"/>
        <v>3.2850000000000001</v>
      </c>
      <c r="AO323" s="1">
        <v>0</v>
      </c>
      <c r="AP323">
        <v>126</v>
      </c>
      <c r="AQ323" s="37">
        <v>0</v>
      </c>
      <c r="AR323">
        <v>80</v>
      </c>
      <c r="AS323" s="37">
        <v>0</v>
      </c>
      <c r="AT323">
        <v>86</v>
      </c>
      <c r="AU323">
        <v>46</v>
      </c>
      <c r="AV323">
        <v>5.8</v>
      </c>
      <c r="AW323">
        <v>1</v>
      </c>
      <c r="AX323">
        <v>1319</v>
      </c>
      <c r="AY323">
        <v>38.5</v>
      </c>
      <c r="AZ323">
        <v>34.799999999999997</v>
      </c>
      <c r="BA323">
        <v>226.2</v>
      </c>
      <c r="BB323">
        <v>6.5</v>
      </c>
      <c r="BC323">
        <v>182.5</v>
      </c>
      <c r="BD323">
        <v>35</v>
      </c>
      <c r="BE323">
        <v>31</v>
      </c>
      <c r="BF323">
        <v>163.1</v>
      </c>
      <c r="BG323">
        <v>23.8</v>
      </c>
      <c r="BH323">
        <v>11.7</v>
      </c>
      <c r="BI323">
        <v>64.3</v>
      </c>
      <c r="BJ323">
        <v>16.399999999999999</v>
      </c>
      <c r="BK323">
        <v>8.8000000000000007</v>
      </c>
      <c r="BL323">
        <v>24</v>
      </c>
      <c r="BM323">
        <v>4.8</v>
      </c>
      <c r="BN323">
        <v>2.4</v>
      </c>
      <c r="BO323">
        <v>2.2000000000000002</v>
      </c>
      <c r="BP323">
        <v>0.14000000000000001</v>
      </c>
      <c r="BQ323">
        <v>0.04</v>
      </c>
      <c r="BR323">
        <v>255</v>
      </c>
      <c r="BS323">
        <v>141.30000000000001</v>
      </c>
      <c r="BT323">
        <v>1954</v>
      </c>
      <c r="BU323">
        <v>1151</v>
      </c>
      <c r="BV323">
        <v>8.39</v>
      </c>
      <c r="BW323">
        <v>5.27</v>
      </c>
      <c r="BX323">
        <v>1.05</v>
      </c>
      <c r="BY323">
        <v>41.4</v>
      </c>
      <c r="BZ323">
        <v>45.5</v>
      </c>
      <c r="CA323">
        <v>7.22</v>
      </c>
      <c r="CB323">
        <v>6.52</v>
      </c>
      <c r="CC323">
        <v>12.9</v>
      </c>
      <c r="CD323">
        <v>0.56000000000000005</v>
      </c>
      <c r="CE323">
        <v>0.67</v>
      </c>
      <c r="CF323">
        <v>115.8</v>
      </c>
      <c r="CG323">
        <v>8.6999999999999993</v>
      </c>
      <c r="CH323">
        <v>262</v>
      </c>
      <c r="CI323">
        <v>1.78</v>
      </c>
      <c r="CJ323">
        <v>32.1</v>
      </c>
      <c r="CK323">
        <v>0</v>
      </c>
      <c r="CL323" s="42" t="str">
        <f t="shared" si="53"/>
        <v>1</v>
      </c>
      <c r="CM323" s="4">
        <v>0</v>
      </c>
      <c r="CN323" s="4">
        <f t="shared" si="60"/>
        <v>1</v>
      </c>
      <c r="CO323">
        <v>3</v>
      </c>
      <c r="CP323" s="42" t="str">
        <f t="shared" si="54"/>
        <v>1</v>
      </c>
      <c r="CQ323" s="4">
        <v>50</v>
      </c>
      <c r="CR323" s="4">
        <v>3.3135802469135807</v>
      </c>
      <c r="CS323" s="43" t="str">
        <f t="shared" si="55"/>
        <v>1</v>
      </c>
      <c r="CT323" s="4">
        <f t="shared" si="56"/>
        <v>50</v>
      </c>
      <c r="CU323" s="4">
        <f t="shared" si="57"/>
        <v>4.3135802469135811</v>
      </c>
      <c r="CV323" s="4">
        <v>4</v>
      </c>
    </row>
    <row r="324" spans="1:100" x14ac:dyDescent="0.3">
      <c r="A324" s="8" t="s">
        <v>314</v>
      </c>
      <c r="B324" s="18">
        <v>1</v>
      </c>
      <c r="C324">
        <v>42</v>
      </c>
      <c r="D324">
        <v>2</v>
      </c>
      <c r="E324">
        <v>2</v>
      </c>
      <c r="F324">
        <v>0</v>
      </c>
      <c r="G324">
        <v>0</v>
      </c>
      <c r="H324">
        <v>0</v>
      </c>
      <c r="I324">
        <v>1</v>
      </c>
      <c r="J324">
        <v>63</v>
      </c>
      <c r="K324">
        <v>1.49</v>
      </c>
      <c r="L324">
        <f t="shared" si="58"/>
        <v>149</v>
      </c>
      <c r="M324" s="82">
        <v>24.758999999999997</v>
      </c>
      <c r="N324" s="4">
        <v>36</v>
      </c>
      <c r="O324" s="4">
        <v>39.299999999999997</v>
      </c>
      <c r="P324" s="39">
        <v>1</v>
      </c>
      <c r="Q324">
        <v>90</v>
      </c>
      <c r="R324" s="40">
        <v>1</v>
      </c>
      <c r="S324">
        <v>101</v>
      </c>
      <c r="T324" s="5">
        <v>0.8910891089108911</v>
      </c>
      <c r="U324" s="39">
        <v>1</v>
      </c>
      <c r="V324" s="4">
        <v>28.377100130624747</v>
      </c>
      <c r="W324" s="37">
        <v>1</v>
      </c>
      <c r="X324" s="4">
        <v>8</v>
      </c>
      <c r="Y324" s="40">
        <v>0</v>
      </c>
      <c r="Z324" s="5">
        <v>13.919</v>
      </c>
      <c r="AA324" s="5">
        <v>2.6538893333333333</v>
      </c>
      <c r="AB324" s="85">
        <v>0</v>
      </c>
      <c r="AC324" s="5">
        <v>4.29</v>
      </c>
      <c r="AD324" s="37">
        <v>0</v>
      </c>
      <c r="AE324">
        <v>15.25</v>
      </c>
      <c r="AF324" s="5">
        <v>7.25</v>
      </c>
      <c r="AG324" s="37">
        <v>1</v>
      </c>
      <c r="AH324" s="5">
        <v>1.65</v>
      </c>
      <c r="AI324" s="1">
        <v>1</v>
      </c>
      <c r="AJ324" s="13">
        <v>4.8099999999999996</v>
      </c>
      <c r="AK324" s="1">
        <v>0</v>
      </c>
      <c r="AL324" s="13">
        <v>1.68</v>
      </c>
      <c r="AM324" s="1">
        <v>0</v>
      </c>
      <c r="AN324" s="82">
        <f t="shared" si="59"/>
        <v>4.3154761904761907</v>
      </c>
      <c r="AO324" s="1">
        <v>1</v>
      </c>
      <c r="AP324">
        <v>119</v>
      </c>
      <c r="AQ324" s="37">
        <v>0</v>
      </c>
      <c r="AR324">
        <v>76</v>
      </c>
      <c r="AS324" s="37">
        <v>0</v>
      </c>
      <c r="AT324">
        <v>75</v>
      </c>
      <c r="AU324">
        <v>28.3</v>
      </c>
      <c r="AV324">
        <v>6.3</v>
      </c>
      <c r="AW324">
        <v>1</v>
      </c>
      <c r="AX324">
        <v>997</v>
      </c>
      <c r="AY324">
        <v>19.399999999999999</v>
      </c>
      <c r="AZ324">
        <v>33</v>
      </c>
      <c r="BA324">
        <v>165.1</v>
      </c>
      <c r="BB324">
        <v>3.1</v>
      </c>
      <c r="BC324">
        <v>131.1</v>
      </c>
      <c r="BD324">
        <v>28.6</v>
      </c>
      <c r="BE324">
        <v>21</v>
      </c>
      <c r="BF324">
        <v>67.8</v>
      </c>
      <c r="BG324">
        <v>29.8</v>
      </c>
      <c r="BH324">
        <v>7.8</v>
      </c>
      <c r="BI324">
        <v>62.1</v>
      </c>
      <c r="BJ324">
        <v>19</v>
      </c>
      <c r="BK324">
        <v>7.9</v>
      </c>
      <c r="BL324">
        <v>21</v>
      </c>
      <c r="BM324">
        <v>5.7</v>
      </c>
      <c r="BN324">
        <v>3</v>
      </c>
      <c r="BO324">
        <v>2.78</v>
      </c>
      <c r="BP324">
        <v>0.17</v>
      </c>
      <c r="BQ324">
        <v>0.28999999999999998</v>
      </c>
      <c r="BR324">
        <v>184</v>
      </c>
      <c r="BS324">
        <v>84</v>
      </c>
      <c r="BT324">
        <v>1117</v>
      </c>
      <c r="BU324">
        <v>743</v>
      </c>
      <c r="BV324">
        <v>3.84</v>
      </c>
      <c r="BW324">
        <v>3.36</v>
      </c>
      <c r="BX324">
        <v>0.68</v>
      </c>
      <c r="BY324">
        <v>21.3</v>
      </c>
      <c r="BZ324">
        <v>40.799999999999997</v>
      </c>
      <c r="CA324">
        <v>0.21</v>
      </c>
      <c r="CB324">
        <v>0.26</v>
      </c>
      <c r="CC324">
        <v>6.6</v>
      </c>
      <c r="CD324">
        <v>0.4</v>
      </c>
      <c r="CE324">
        <v>0.94</v>
      </c>
      <c r="CF324">
        <v>69.099999999999994</v>
      </c>
      <c r="CG324">
        <v>12.8</v>
      </c>
      <c r="CH324">
        <v>146</v>
      </c>
      <c r="CI324">
        <v>2.74</v>
      </c>
      <c r="CJ324">
        <v>1.5</v>
      </c>
      <c r="CK324">
        <v>1</v>
      </c>
      <c r="CL324" s="42" t="str">
        <f t="shared" si="53"/>
        <v>1</v>
      </c>
      <c r="CM324" s="4">
        <v>13.333333333333334</v>
      </c>
      <c r="CN324" s="4">
        <f t="shared" si="60"/>
        <v>1.4133333333333333</v>
      </c>
      <c r="CO324">
        <v>6</v>
      </c>
      <c r="CP324" s="42" t="str">
        <f t="shared" si="54"/>
        <v>1</v>
      </c>
      <c r="CQ324" s="4">
        <v>70.666666666666671</v>
      </c>
      <c r="CR324" s="4">
        <v>0.88888888888888884</v>
      </c>
      <c r="CS324" s="43" t="str">
        <f t="shared" si="55"/>
        <v>1</v>
      </c>
      <c r="CT324" s="4">
        <f t="shared" si="56"/>
        <v>84</v>
      </c>
      <c r="CU324" s="4">
        <f t="shared" si="57"/>
        <v>2.3022222222222224</v>
      </c>
      <c r="CV324" s="4">
        <v>2</v>
      </c>
    </row>
    <row r="325" spans="1:100" x14ac:dyDescent="0.3">
      <c r="A325" s="8" t="s">
        <v>313</v>
      </c>
      <c r="B325" s="18">
        <v>1</v>
      </c>
      <c r="C325">
        <v>46</v>
      </c>
      <c r="D325">
        <v>3</v>
      </c>
      <c r="E325">
        <v>1</v>
      </c>
      <c r="F325">
        <v>0</v>
      </c>
      <c r="G325">
        <v>0</v>
      </c>
      <c r="H325">
        <v>0</v>
      </c>
      <c r="I325">
        <v>1</v>
      </c>
      <c r="J325">
        <v>61</v>
      </c>
      <c r="K325">
        <v>1.54</v>
      </c>
      <c r="L325">
        <f t="shared" si="58"/>
        <v>154</v>
      </c>
      <c r="M325" s="82">
        <v>23.057999999999996</v>
      </c>
      <c r="N325" s="4">
        <v>35.700000000000003</v>
      </c>
      <c r="O325" s="4">
        <v>37.799999999999997</v>
      </c>
      <c r="P325" s="39">
        <v>1</v>
      </c>
      <c r="Q325">
        <v>85</v>
      </c>
      <c r="R325" s="40">
        <v>1</v>
      </c>
      <c r="S325">
        <v>99</v>
      </c>
      <c r="T325" s="5">
        <v>0.85858585858585856</v>
      </c>
      <c r="U325" s="39">
        <v>0</v>
      </c>
      <c r="V325" s="4">
        <v>25.72103221453871</v>
      </c>
      <c r="W325" s="37">
        <v>1</v>
      </c>
      <c r="X325" s="4">
        <v>7</v>
      </c>
      <c r="Y325" s="40">
        <v>0</v>
      </c>
      <c r="Z325" s="5">
        <v>7.8319999999999999</v>
      </c>
      <c r="AA325" s="5">
        <v>1.2600817777777777</v>
      </c>
      <c r="AB325" s="85">
        <v>0</v>
      </c>
      <c r="AC325" s="5">
        <v>3.62</v>
      </c>
      <c r="AD325" s="37">
        <v>0</v>
      </c>
      <c r="AE325">
        <v>7.91</v>
      </c>
      <c r="AF325" s="5">
        <v>5.46</v>
      </c>
      <c r="AG325" s="37">
        <v>1</v>
      </c>
      <c r="AH325" s="5">
        <v>0.84</v>
      </c>
      <c r="AI325" s="1">
        <v>1</v>
      </c>
      <c r="AJ325" s="13">
        <v>3.63</v>
      </c>
      <c r="AK325" s="1">
        <v>0</v>
      </c>
      <c r="AL325" s="13">
        <v>1.45</v>
      </c>
      <c r="AM325" s="1">
        <v>0</v>
      </c>
      <c r="AN325" s="82">
        <f t="shared" si="59"/>
        <v>3.7655172413793103</v>
      </c>
      <c r="AO325" s="1">
        <v>0</v>
      </c>
      <c r="AP325">
        <v>115</v>
      </c>
      <c r="AQ325" s="37">
        <v>0</v>
      </c>
      <c r="AR325">
        <v>75</v>
      </c>
      <c r="AS325" s="37">
        <v>0</v>
      </c>
      <c r="AT325">
        <v>62</v>
      </c>
      <c r="AU325">
        <v>41</v>
      </c>
      <c r="AV325">
        <v>6.4</v>
      </c>
      <c r="AW325">
        <v>1</v>
      </c>
      <c r="AX325">
        <v>1716</v>
      </c>
      <c r="AY325">
        <v>46.7</v>
      </c>
      <c r="AZ325">
        <v>52</v>
      </c>
      <c r="BA325">
        <v>282.5</v>
      </c>
      <c r="BB325">
        <v>11.5</v>
      </c>
      <c r="BC325">
        <v>227</v>
      </c>
      <c r="BD325">
        <v>42.4</v>
      </c>
      <c r="BE325">
        <v>27.5</v>
      </c>
      <c r="BF325">
        <v>53.3</v>
      </c>
      <c r="BG325">
        <v>27.3</v>
      </c>
      <c r="BH325">
        <v>10.9</v>
      </c>
      <c r="BI325">
        <v>61.7</v>
      </c>
      <c r="BJ325">
        <v>19</v>
      </c>
      <c r="BK325">
        <v>6</v>
      </c>
      <c r="BL325">
        <v>36.299999999999997</v>
      </c>
      <c r="BM325">
        <v>7.1</v>
      </c>
      <c r="BN325">
        <v>3.2</v>
      </c>
      <c r="BO325">
        <v>2.73</v>
      </c>
      <c r="BP325">
        <v>0.36</v>
      </c>
      <c r="BQ325">
        <v>0</v>
      </c>
      <c r="BR325">
        <v>391</v>
      </c>
      <c r="BS325">
        <v>159.6</v>
      </c>
      <c r="BT325">
        <v>3311</v>
      </c>
      <c r="BU325">
        <v>1418</v>
      </c>
      <c r="BV325">
        <v>9.25</v>
      </c>
      <c r="BW325">
        <v>4.93</v>
      </c>
      <c r="BX325">
        <v>1.01</v>
      </c>
      <c r="BY325">
        <v>68.7</v>
      </c>
      <c r="BZ325">
        <v>31.1</v>
      </c>
      <c r="CA325">
        <v>7.71</v>
      </c>
      <c r="CB325">
        <v>6.96</v>
      </c>
      <c r="CC325">
        <v>17.100000000000001</v>
      </c>
      <c r="CD325">
        <v>0.75</v>
      </c>
      <c r="CE325">
        <v>1.86</v>
      </c>
      <c r="CF325">
        <v>189.6</v>
      </c>
      <c r="CG325">
        <v>30.1</v>
      </c>
      <c r="CH325">
        <v>587</v>
      </c>
      <c r="CI325">
        <v>2.5</v>
      </c>
      <c r="CJ325">
        <v>32.700000000000003</v>
      </c>
      <c r="CK325">
        <v>1</v>
      </c>
      <c r="CL325" s="42" t="str">
        <f t="shared" ref="CL325:CL388" si="61">IF(CM325&lt;=99,"1",IF(CM325&lt;=199,"2",IF(CM325&lt;=299,"3","4")))</f>
        <v>1</v>
      </c>
      <c r="CM325" s="4">
        <v>26.666666666666668</v>
      </c>
      <c r="CN325" s="4">
        <f t="shared" si="60"/>
        <v>1.2066666666666668</v>
      </c>
      <c r="CO325">
        <v>4</v>
      </c>
      <c r="CP325" s="42" t="str">
        <f t="shared" ref="CP325:CP388" si="62">IF(CQ325&lt;=149,"1",IF(CQ325&lt;=299,"2",IF(CQ325&lt;=399,"3","4")))</f>
        <v>1</v>
      </c>
      <c r="CQ325" s="4">
        <v>60.333333333333336</v>
      </c>
      <c r="CR325" s="4">
        <v>2.0407407407407407</v>
      </c>
      <c r="CS325" s="43" t="str">
        <f t="shared" ref="CS325:CS388" si="63">IF(CT325&lt;=149,"1",IF(CT325&lt;=299,"2",IF(CT325&lt;=399,"3","4")))</f>
        <v>1</v>
      </c>
      <c r="CT325" s="4">
        <f t="shared" ref="CT325:CT388" si="64">(CM325+CQ325)</f>
        <v>87</v>
      </c>
      <c r="CU325" s="4">
        <f t="shared" ref="CU325:CU388" si="65">(CN325+CR325)</f>
        <v>3.2474074074074073</v>
      </c>
      <c r="CV325" s="4">
        <v>3</v>
      </c>
    </row>
    <row r="326" spans="1:100" x14ac:dyDescent="0.3">
      <c r="A326" s="8" t="s">
        <v>312</v>
      </c>
      <c r="B326" s="18">
        <v>1</v>
      </c>
      <c r="C326">
        <v>39</v>
      </c>
      <c r="D326">
        <v>3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53.2</v>
      </c>
      <c r="K326">
        <v>1.51</v>
      </c>
      <c r="L326">
        <f t="shared" si="58"/>
        <v>151</v>
      </c>
      <c r="M326" s="82">
        <v>17.502800000000001</v>
      </c>
      <c r="N326" s="4">
        <v>33.700000000000003</v>
      </c>
      <c r="O326" s="4">
        <v>32.9</v>
      </c>
      <c r="P326" s="39">
        <v>1</v>
      </c>
      <c r="Q326">
        <v>75</v>
      </c>
      <c r="R326" s="40">
        <v>0</v>
      </c>
      <c r="S326">
        <v>91</v>
      </c>
      <c r="T326" s="5">
        <v>0.82417582417582413</v>
      </c>
      <c r="U326" s="39">
        <v>0</v>
      </c>
      <c r="V326" s="4">
        <v>23.332309986404105</v>
      </c>
      <c r="W326" s="37">
        <v>1</v>
      </c>
      <c r="X326" s="4">
        <v>6</v>
      </c>
      <c r="Y326" s="40">
        <v>0</v>
      </c>
      <c r="Z326" s="5">
        <v>6.3739999999999997</v>
      </c>
      <c r="AA326" s="5">
        <v>1.2606355555555555</v>
      </c>
      <c r="AB326" s="85">
        <v>0</v>
      </c>
      <c r="AC326" s="5">
        <v>4.45</v>
      </c>
      <c r="AD326" s="37">
        <v>0</v>
      </c>
      <c r="AE326">
        <v>3</v>
      </c>
      <c r="AF326" s="5">
        <v>4.08</v>
      </c>
      <c r="AG326" s="37">
        <v>0</v>
      </c>
      <c r="AH326" s="5">
        <v>0.75</v>
      </c>
      <c r="AI326" s="1">
        <v>0</v>
      </c>
      <c r="AJ326" s="13">
        <v>2.5</v>
      </c>
      <c r="AK326" s="1">
        <v>1</v>
      </c>
      <c r="AL326" s="13">
        <v>1.25</v>
      </c>
      <c r="AM326" s="1">
        <v>1</v>
      </c>
      <c r="AN326" s="82">
        <f t="shared" si="59"/>
        <v>3.2640000000000002</v>
      </c>
      <c r="AO326" s="1">
        <v>0</v>
      </c>
      <c r="AP326">
        <v>110</v>
      </c>
      <c r="AQ326" s="37">
        <v>0</v>
      </c>
      <c r="AR326">
        <v>72</v>
      </c>
      <c r="AS326" s="37">
        <v>0</v>
      </c>
      <c r="AT326">
        <v>81</v>
      </c>
      <c r="AU326">
        <v>38</v>
      </c>
      <c r="AV326">
        <v>6.1</v>
      </c>
      <c r="AW326">
        <v>1</v>
      </c>
      <c r="AX326">
        <v>922</v>
      </c>
      <c r="AY326">
        <v>23.3</v>
      </c>
      <c r="AZ326">
        <v>22.1</v>
      </c>
      <c r="BA326">
        <v>167.7</v>
      </c>
      <c r="BB326">
        <v>6.8</v>
      </c>
      <c r="BC326">
        <v>129</v>
      </c>
      <c r="BD326">
        <v>35.4</v>
      </c>
      <c r="BE326">
        <v>33.6</v>
      </c>
      <c r="BF326">
        <v>97.9</v>
      </c>
      <c r="BG326">
        <v>21.6</v>
      </c>
      <c r="BH326">
        <v>10.1</v>
      </c>
      <c r="BI326">
        <v>68.2</v>
      </c>
      <c r="BJ326">
        <v>12.3</v>
      </c>
      <c r="BK326">
        <v>13.7</v>
      </c>
      <c r="BL326">
        <v>12.6</v>
      </c>
      <c r="BM326">
        <v>2.2999999999999998</v>
      </c>
      <c r="BN326">
        <v>0.8</v>
      </c>
      <c r="BO326">
        <v>0.56000000000000005</v>
      </c>
      <c r="BP326">
        <v>0.2</v>
      </c>
      <c r="BQ326">
        <v>0</v>
      </c>
      <c r="BR326">
        <v>65</v>
      </c>
      <c r="BS326">
        <v>65.599999999999994</v>
      </c>
      <c r="BT326">
        <v>847</v>
      </c>
      <c r="BU326">
        <v>519</v>
      </c>
      <c r="BV326">
        <v>3.29</v>
      </c>
      <c r="BW326">
        <v>1.46</v>
      </c>
      <c r="BX326">
        <v>0.42</v>
      </c>
      <c r="BY326">
        <v>5.7</v>
      </c>
      <c r="BZ326">
        <v>16.2</v>
      </c>
      <c r="CA326">
        <v>0.75</v>
      </c>
      <c r="CB326">
        <v>1.45</v>
      </c>
      <c r="CC326">
        <v>3.4</v>
      </c>
      <c r="CD326">
        <v>0.12</v>
      </c>
      <c r="CE326">
        <v>1.39</v>
      </c>
      <c r="CF326">
        <v>42.4</v>
      </c>
      <c r="CG326">
        <v>1.5</v>
      </c>
      <c r="CH326">
        <v>84</v>
      </c>
      <c r="CI326">
        <v>1.79</v>
      </c>
      <c r="CJ326">
        <v>0.6</v>
      </c>
      <c r="CK326">
        <v>0</v>
      </c>
      <c r="CL326" s="42" t="str">
        <f t="shared" si="61"/>
        <v>1</v>
      </c>
      <c r="CM326" s="4">
        <v>0</v>
      </c>
      <c r="CN326" s="4">
        <f t="shared" si="60"/>
        <v>0.45</v>
      </c>
      <c r="CO326">
        <v>1</v>
      </c>
      <c r="CP326" s="42" t="str">
        <f t="shared" si="62"/>
        <v>1</v>
      </c>
      <c r="CQ326" s="4">
        <v>22.5</v>
      </c>
      <c r="CR326" s="4">
        <v>0.27777777777777779</v>
      </c>
      <c r="CS326" s="43" t="str">
        <f t="shared" si="63"/>
        <v>1</v>
      </c>
      <c r="CT326" s="4">
        <f t="shared" si="64"/>
        <v>22.5</v>
      </c>
      <c r="CU326" s="4">
        <f t="shared" si="65"/>
        <v>0.72777777777777786</v>
      </c>
      <c r="CV326" s="4">
        <v>1</v>
      </c>
    </row>
    <row r="327" spans="1:100" x14ac:dyDescent="0.3">
      <c r="A327" s="8" t="s">
        <v>311</v>
      </c>
      <c r="B327" s="18">
        <v>1</v>
      </c>
      <c r="C327">
        <v>59</v>
      </c>
      <c r="D327">
        <v>3</v>
      </c>
      <c r="E327">
        <v>2</v>
      </c>
      <c r="F327">
        <v>0</v>
      </c>
      <c r="G327">
        <v>0</v>
      </c>
      <c r="H327">
        <v>0</v>
      </c>
      <c r="I327">
        <v>1</v>
      </c>
      <c r="J327">
        <v>42.7</v>
      </c>
      <c r="K327">
        <v>1.5</v>
      </c>
      <c r="L327">
        <f t="shared" si="58"/>
        <v>150</v>
      </c>
      <c r="M327" s="82">
        <v>12.383000000000003</v>
      </c>
      <c r="N327" s="4">
        <v>28.8</v>
      </c>
      <c r="O327" s="4">
        <v>29</v>
      </c>
      <c r="P327" s="39">
        <v>0</v>
      </c>
      <c r="Q327">
        <v>68</v>
      </c>
      <c r="R327" s="40">
        <v>0</v>
      </c>
      <c r="S327">
        <v>84.5</v>
      </c>
      <c r="T327" s="5">
        <v>0.80473372781065089</v>
      </c>
      <c r="U327" s="39">
        <v>0</v>
      </c>
      <c r="V327" s="4">
        <v>18.977777777777778</v>
      </c>
      <c r="W327" s="37">
        <v>0</v>
      </c>
      <c r="X327" s="4">
        <v>4</v>
      </c>
      <c r="Y327" s="40">
        <v>0</v>
      </c>
      <c r="Z327" s="5">
        <v>6.2089999999999996</v>
      </c>
      <c r="AA327" s="5">
        <v>1.1231391111111111</v>
      </c>
      <c r="AB327" s="85">
        <v>0</v>
      </c>
      <c r="AC327" s="5">
        <v>4.07</v>
      </c>
      <c r="AD327" s="37">
        <v>0</v>
      </c>
      <c r="AE327">
        <v>20</v>
      </c>
      <c r="AF327" s="5">
        <v>6.48</v>
      </c>
      <c r="AG327" s="37">
        <v>1</v>
      </c>
      <c r="AH327" s="5">
        <v>1.03</v>
      </c>
      <c r="AI327" s="1">
        <v>1</v>
      </c>
      <c r="AJ327" s="13">
        <v>4.42</v>
      </c>
      <c r="AK327" s="1">
        <v>0</v>
      </c>
      <c r="AL327" s="13">
        <v>1.59</v>
      </c>
      <c r="AM327" s="1">
        <v>0</v>
      </c>
      <c r="AN327" s="82">
        <f t="shared" si="59"/>
        <v>4.0754716981132075</v>
      </c>
      <c r="AO327" s="1">
        <v>1</v>
      </c>
      <c r="AP327">
        <v>100</v>
      </c>
      <c r="AQ327" s="37">
        <v>0</v>
      </c>
      <c r="AR327">
        <v>69</v>
      </c>
      <c r="AS327" s="37">
        <v>0</v>
      </c>
      <c r="AT327">
        <v>83</v>
      </c>
      <c r="AU327">
        <v>31</v>
      </c>
      <c r="AV327">
        <v>7.5</v>
      </c>
      <c r="AW327">
        <v>1</v>
      </c>
      <c r="AX327">
        <v>1671</v>
      </c>
      <c r="AY327">
        <v>49.7</v>
      </c>
      <c r="AZ327">
        <v>43.9</v>
      </c>
      <c r="BA327">
        <v>286.2</v>
      </c>
      <c r="BB327">
        <v>4.7</v>
      </c>
      <c r="BC327">
        <v>247.4</v>
      </c>
      <c r="BD327">
        <v>8</v>
      </c>
      <c r="BE327">
        <v>3.1</v>
      </c>
      <c r="BF327">
        <v>49.5</v>
      </c>
      <c r="BG327">
        <v>23.6</v>
      </c>
      <c r="BH327">
        <v>11.9</v>
      </c>
      <c r="BI327">
        <v>64.2</v>
      </c>
      <c r="BJ327">
        <v>14.9</v>
      </c>
      <c r="BK327">
        <v>0.7</v>
      </c>
      <c r="BL327">
        <v>27.7</v>
      </c>
      <c r="BM327">
        <v>3.1</v>
      </c>
      <c r="BN327">
        <v>1.9</v>
      </c>
      <c r="BO327">
        <v>1.39</v>
      </c>
      <c r="BP327">
        <v>0.1</v>
      </c>
      <c r="BQ327">
        <v>0</v>
      </c>
      <c r="BR327">
        <v>260</v>
      </c>
      <c r="BS327">
        <v>226.4</v>
      </c>
      <c r="BT327">
        <v>4371</v>
      </c>
      <c r="BU327">
        <v>1938</v>
      </c>
      <c r="BV327">
        <v>8.25</v>
      </c>
      <c r="BW327">
        <v>5.46</v>
      </c>
      <c r="BX327">
        <v>0.94</v>
      </c>
      <c r="BY327">
        <v>68.099999999999994</v>
      </c>
      <c r="BZ327">
        <v>4</v>
      </c>
      <c r="CA327">
        <v>0.54</v>
      </c>
      <c r="CB327">
        <v>0.36</v>
      </c>
      <c r="CC327">
        <v>12.2</v>
      </c>
      <c r="CD327">
        <v>0.51</v>
      </c>
      <c r="CE327">
        <v>2.85</v>
      </c>
      <c r="CF327">
        <v>201.2</v>
      </c>
      <c r="CG327">
        <v>21.8</v>
      </c>
      <c r="CH327">
        <v>157</v>
      </c>
      <c r="CI327">
        <v>3.26</v>
      </c>
      <c r="CJ327">
        <v>1.7</v>
      </c>
      <c r="CK327">
        <v>2</v>
      </c>
      <c r="CL327" s="42" t="str">
        <f t="shared" si="61"/>
        <v>1</v>
      </c>
      <c r="CM327" s="4">
        <v>54</v>
      </c>
      <c r="CN327" s="4">
        <f t="shared" si="60"/>
        <v>2.86</v>
      </c>
      <c r="CO327">
        <v>4</v>
      </c>
      <c r="CP327" s="42" t="str">
        <f t="shared" si="62"/>
        <v>1</v>
      </c>
      <c r="CQ327" s="4">
        <v>143</v>
      </c>
      <c r="CR327" s="4">
        <v>1.5185185185185186</v>
      </c>
      <c r="CS327" s="43" t="str">
        <f t="shared" si="63"/>
        <v>2</v>
      </c>
      <c r="CT327" s="4">
        <f t="shared" si="64"/>
        <v>197</v>
      </c>
      <c r="CU327" s="4">
        <f t="shared" si="65"/>
        <v>4.3785185185185185</v>
      </c>
      <c r="CV327" s="4">
        <v>4</v>
      </c>
    </row>
    <row r="328" spans="1:100" x14ac:dyDescent="0.3">
      <c r="A328" s="8" t="s">
        <v>310</v>
      </c>
      <c r="B328" s="18">
        <v>1</v>
      </c>
      <c r="C328">
        <v>52</v>
      </c>
      <c r="D328">
        <v>3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53.6</v>
      </c>
      <c r="K328">
        <v>1.56</v>
      </c>
      <c r="L328">
        <f t="shared" si="58"/>
        <v>156</v>
      </c>
      <c r="M328" s="82">
        <v>15.972799999999999</v>
      </c>
      <c r="N328" s="4">
        <v>35.5</v>
      </c>
      <c r="O328" s="4">
        <v>29.8</v>
      </c>
      <c r="P328" s="39">
        <v>0</v>
      </c>
      <c r="Q328">
        <v>79</v>
      </c>
      <c r="R328" s="40">
        <v>0</v>
      </c>
      <c r="S328">
        <v>93</v>
      </c>
      <c r="T328" s="5">
        <v>0.84946236559139787</v>
      </c>
      <c r="U328" s="39">
        <v>0</v>
      </c>
      <c r="V328" s="4">
        <v>22.024983563445101</v>
      </c>
      <c r="W328" s="37">
        <v>0</v>
      </c>
      <c r="X328" s="4">
        <v>5</v>
      </c>
      <c r="Y328" s="40">
        <v>0</v>
      </c>
      <c r="Z328" s="5">
        <v>6.8419999999999996</v>
      </c>
      <c r="AA328" s="5">
        <v>1.3562364444444444</v>
      </c>
      <c r="AB328" s="85">
        <v>0</v>
      </c>
      <c r="AC328" s="5">
        <v>4.46</v>
      </c>
      <c r="AD328" s="37">
        <v>0</v>
      </c>
      <c r="AE328">
        <v>11.7</v>
      </c>
      <c r="AF328" s="5">
        <v>5.16</v>
      </c>
      <c r="AG328" s="37">
        <v>1</v>
      </c>
      <c r="AH328" s="5">
        <v>0.72</v>
      </c>
      <c r="AI328" s="1">
        <v>1</v>
      </c>
      <c r="AJ328" s="13">
        <v>3.43</v>
      </c>
      <c r="AK328" s="1">
        <v>0</v>
      </c>
      <c r="AL328" s="13">
        <v>1.4</v>
      </c>
      <c r="AM328" s="1">
        <v>0</v>
      </c>
      <c r="AN328" s="82">
        <f t="shared" si="59"/>
        <v>3.6857142857142859</v>
      </c>
      <c r="AO328" s="1">
        <v>0</v>
      </c>
      <c r="AP328">
        <v>105</v>
      </c>
      <c r="AQ328" s="37">
        <v>0</v>
      </c>
      <c r="AR328">
        <v>71</v>
      </c>
      <c r="AS328" s="37">
        <v>0</v>
      </c>
      <c r="AT328">
        <v>81</v>
      </c>
      <c r="AU328">
        <v>34</v>
      </c>
      <c r="AV328">
        <v>6.7</v>
      </c>
      <c r="AW328">
        <v>1</v>
      </c>
      <c r="AX328">
        <v>1046</v>
      </c>
      <c r="AY328">
        <v>30.8</v>
      </c>
      <c r="AZ328">
        <v>24.3</v>
      </c>
      <c r="BA328">
        <v>187.2</v>
      </c>
      <c r="BB328">
        <v>5.0999999999999996</v>
      </c>
      <c r="BC328">
        <v>135.4</v>
      </c>
      <c r="BD328">
        <v>41.9</v>
      </c>
      <c r="BE328">
        <v>33.299999999999997</v>
      </c>
      <c r="BF328">
        <v>79.7</v>
      </c>
      <c r="BG328">
        <v>20.9</v>
      </c>
      <c r="BH328">
        <v>11.8</v>
      </c>
      <c r="BI328">
        <v>67.2</v>
      </c>
      <c r="BJ328">
        <v>14.4</v>
      </c>
      <c r="BK328">
        <v>11.9</v>
      </c>
      <c r="BL328">
        <v>16.8</v>
      </c>
      <c r="BM328">
        <v>2.7</v>
      </c>
      <c r="BN328">
        <v>1.1000000000000001</v>
      </c>
      <c r="BO328">
        <v>0.92</v>
      </c>
      <c r="BP328">
        <v>0.1</v>
      </c>
      <c r="BQ328">
        <v>0.18</v>
      </c>
      <c r="BR328">
        <v>299</v>
      </c>
      <c r="BS328">
        <v>93</v>
      </c>
      <c r="BT328">
        <v>1923</v>
      </c>
      <c r="BU328">
        <v>908</v>
      </c>
      <c r="BV328">
        <v>5</v>
      </c>
      <c r="BW328">
        <v>3.5</v>
      </c>
      <c r="BX328">
        <v>0.88</v>
      </c>
      <c r="BY328">
        <v>21.4</v>
      </c>
      <c r="BZ328">
        <v>39.1</v>
      </c>
      <c r="CA328">
        <v>0.56000000000000005</v>
      </c>
      <c r="CB328">
        <v>0.85</v>
      </c>
      <c r="CC328">
        <v>8.3000000000000007</v>
      </c>
      <c r="CD328">
        <v>0.42</v>
      </c>
      <c r="CE328">
        <v>0.91</v>
      </c>
      <c r="CF328">
        <v>98.5</v>
      </c>
      <c r="CG328">
        <v>4.9000000000000004</v>
      </c>
      <c r="CH328">
        <v>146</v>
      </c>
      <c r="CI328">
        <v>0.43</v>
      </c>
      <c r="CJ328">
        <v>0.6</v>
      </c>
      <c r="CK328">
        <v>0</v>
      </c>
      <c r="CL328" s="42" t="str">
        <f t="shared" si="61"/>
        <v>1</v>
      </c>
      <c r="CM328" s="4">
        <v>0</v>
      </c>
      <c r="CN328" s="4">
        <f t="shared" si="60"/>
        <v>0.76666666666666672</v>
      </c>
      <c r="CO328">
        <v>3</v>
      </c>
      <c r="CP328" s="42" t="str">
        <f t="shared" si="62"/>
        <v>1</v>
      </c>
      <c r="CQ328" s="4">
        <v>38.333333333333336</v>
      </c>
      <c r="CR328" s="4">
        <v>2.0679012345679011</v>
      </c>
      <c r="CS328" s="43" t="str">
        <f t="shared" si="63"/>
        <v>1</v>
      </c>
      <c r="CT328" s="4">
        <f t="shared" si="64"/>
        <v>38.333333333333336</v>
      </c>
      <c r="CU328" s="4">
        <f t="shared" si="65"/>
        <v>2.8345679012345677</v>
      </c>
      <c r="CV328" s="4">
        <v>2</v>
      </c>
    </row>
    <row r="329" spans="1:100" x14ac:dyDescent="0.3">
      <c r="A329" s="8" t="s">
        <v>257</v>
      </c>
      <c r="B329" s="18">
        <v>1</v>
      </c>
      <c r="C329">
        <v>48</v>
      </c>
      <c r="D329">
        <v>3</v>
      </c>
      <c r="E329">
        <v>1</v>
      </c>
      <c r="F329">
        <v>0</v>
      </c>
      <c r="G329">
        <v>0</v>
      </c>
      <c r="H329">
        <v>0</v>
      </c>
      <c r="I329">
        <v>1</v>
      </c>
      <c r="J329">
        <v>39.4</v>
      </c>
      <c r="K329">
        <v>1.57</v>
      </c>
      <c r="L329">
        <f t="shared" si="58"/>
        <v>157</v>
      </c>
      <c r="M329" s="82">
        <v>8.9832000000000001</v>
      </c>
      <c r="N329" s="4">
        <v>28.9</v>
      </c>
      <c r="O329" s="4">
        <v>22.8</v>
      </c>
      <c r="P329" s="39">
        <v>0</v>
      </c>
      <c r="Q329">
        <v>65</v>
      </c>
      <c r="R329" s="40">
        <v>0</v>
      </c>
      <c r="S329">
        <v>82</v>
      </c>
      <c r="T329" s="5">
        <v>0.79268292682926833</v>
      </c>
      <c r="U329" s="39">
        <v>0</v>
      </c>
      <c r="V329" s="4">
        <v>15.984421274696741</v>
      </c>
      <c r="W329" s="37">
        <v>0</v>
      </c>
      <c r="X329" s="4">
        <v>1</v>
      </c>
      <c r="Y329" s="40">
        <v>0</v>
      </c>
      <c r="Z329" s="5">
        <v>6.0019999999999998</v>
      </c>
      <c r="AA329" s="5">
        <v>1.181727111111111</v>
      </c>
      <c r="AB329" s="85">
        <v>0</v>
      </c>
      <c r="AC329" s="5">
        <v>4.43</v>
      </c>
      <c r="AD329" s="37">
        <v>0</v>
      </c>
      <c r="AE329">
        <v>15.46</v>
      </c>
      <c r="AF329" s="5">
        <v>5.12</v>
      </c>
      <c r="AG329" s="37">
        <v>1</v>
      </c>
      <c r="AH329" s="5">
        <v>0.57999999999999996</v>
      </c>
      <c r="AI329" s="1">
        <v>1</v>
      </c>
      <c r="AJ329" s="13">
        <v>3.62</v>
      </c>
      <c r="AK329" s="1">
        <v>1</v>
      </c>
      <c r="AL329" s="13">
        <v>1.23</v>
      </c>
      <c r="AM329" s="1">
        <v>1</v>
      </c>
      <c r="AN329" s="82">
        <f t="shared" si="59"/>
        <v>4.1626016260162606</v>
      </c>
      <c r="AO329" s="1">
        <v>1</v>
      </c>
      <c r="AP329">
        <v>124</v>
      </c>
      <c r="AQ329" s="37">
        <v>0</v>
      </c>
      <c r="AR329">
        <v>77</v>
      </c>
      <c r="AS329" s="37">
        <v>0</v>
      </c>
      <c r="AT329">
        <v>81</v>
      </c>
      <c r="AU329">
        <v>47</v>
      </c>
      <c r="AV329">
        <v>6.9</v>
      </c>
      <c r="AW329">
        <v>1</v>
      </c>
      <c r="AX329">
        <v>1381</v>
      </c>
      <c r="AY329">
        <v>38.9</v>
      </c>
      <c r="AZ329">
        <v>39.5</v>
      </c>
      <c r="BA329">
        <v>231.7</v>
      </c>
      <c r="BB329">
        <v>6.7</v>
      </c>
      <c r="BC329">
        <v>174.2</v>
      </c>
      <c r="BD329">
        <v>47.2</v>
      </c>
      <c r="BE329">
        <v>38.700000000000003</v>
      </c>
      <c r="BF329">
        <v>64.099999999999994</v>
      </c>
      <c r="BG329">
        <v>25.7</v>
      </c>
      <c r="BH329">
        <v>11.3</v>
      </c>
      <c r="BI329">
        <v>62.9</v>
      </c>
      <c r="BJ329">
        <v>17.7</v>
      </c>
      <c r="BK329">
        <v>10.5</v>
      </c>
      <c r="BL329">
        <v>27.1</v>
      </c>
      <c r="BM329">
        <v>5.4</v>
      </c>
      <c r="BN329">
        <v>2.9</v>
      </c>
      <c r="BO329">
        <v>2.4900000000000002</v>
      </c>
      <c r="BP329">
        <v>0.17</v>
      </c>
      <c r="BQ329">
        <v>7.0000000000000007E-2</v>
      </c>
      <c r="BR329">
        <v>280</v>
      </c>
      <c r="BS329">
        <v>127.8</v>
      </c>
      <c r="BT329">
        <v>2999</v>
      </c>
      <c r="BU329">
        <v>1167</v>
      </c>
      <c r="BV329">
        <v>6.84</v>
      </c>
      <c r="BW329">
        <v>3.88</v>
      </c>
      <c r="BX329">
        <v>0.97</v>
      </c>
      <c r="BY329">
        <v>50.3</v>
      </c>
      <c r="BZ329">
        <v>29.1</v>
      </c>
      <c r="CA329">
        <v>0.53</v>
      </c>
      <c r="CB329">
        <v>0.54</v>
      </c>
      <c r="CC329">
        <v>12.1</v>
      </c>
      <c r="CD329">
        <v>0.7</v>
      </c>
      <c r="CE329">
        <v>1.79</v>
      </c>
      <c r="CF329">
        <v>127.7</v>
      </c>
      <c r="CG329">
        <v>23.3</v>
      </c>
      <c r="CH329">
        <v>250</v>
      </c>
      <c r="CI329">
        <v>4.4400000000000004</v>
      </c>
      <c r="CJ329">
        <v>1.9</v>
      </c>
      <c r="CK329">
        <v>1</v>
      </c>
      <c r="CL329" s="42" t="str">
        <f t="shared" si="61"/>
        <v>1</v>
      </c>
      <c r="CM329" s="4">
        <v>26.666666666666668</v>
      </c>
      <c r="CN329" s="4">
        <f t="shared" si="60"/>
        <v>0.85333333333333328</v>
      </c>
      <c r="CO329">
        <v>4</v>
      </c>
      <c r="CP329" s="42" t="str">
        <f t="shared" si="62"/>
        <v>1</v>
      </c>
      <c r="CQ329" s="4">
        <v>42.666666666666664</v>
      </c>
      <c r="CR329" s="4">
        <v>0.81604938271604932</v>
      </c>
      <c r="CS329" s="43" t="str">
        <f t="shared" si="63"/>
        <v>1</v>
      </c>
      <c r="CT329" s="4">
        <f t="shared" si="64"/>
        <v>69.333333333333329</v>
      </c>
      <c r="CU329" s="4">
        <f t="shared" si="65"/>
        <v>1.6693827160493826</v>
      </c>
      <c r="CV329" s="4">
        <v>1</v>
      </c>
    </row>
    <row r="330" spans="1:100" x14ac:dyDescent="0.3">
      <c r="A330" s="8" t="s">
        <v>256</v>
      </c>
      <c r="B330" s="18">
        <v>1</v>
      </c>
      <c r="C330">
        <v>42</v>
      </c>
      <c r="D330">
        <v>1</v>
      </c>
      <c r="E330">
        <v>3</v>
      </c>
      <c r="F330">
        <v>0</v>
      </c>
      <c r="G330">
        <v>0</v>
      </c>
      <c r="H330">
        <v>0</v>
      </c>
      <c r="I330">
        <v>1</v>
      </c>
      <c r="J330">
        <v>56.9</v>
      </c>
      <c r="K330">
        <v>1.58</v>
      </c>
      <c r="L330">
        <f t="shared" si="58"/>
        <v>158</v>
      </c>
      <c r="M330" s="82">
        <v>19.459800000000001</v>
      </c>
      <c r="N330" s="4">
        <v>35.299999999999997</v>
      </c>
      <c r="O330" s="4">
        <v>34.200000000000003</v>
      </c>
      <c r="P330" s="39">
        <v>1</v>
      </c>
      <c r="Q330">
        <v>84</v>
      </c>
      <c r="R330" s="40">
        <v>1</v>
      </c>
      <c r="S330">
        <v>94</v>
      </c>
      <c r="T330" s="5">
        <v>0.8936170212765957</v>
      </c>
      <c r="U330" s="39">
        <v>1</v>
      </c>
      <c r="V330" s="4">
        <v>22.792821663194996</v>
      </c>
      <c r="W330" s="37">
        <v>0</v>
      </c>
      <c r="X330" s="4">
        <v>6</v>
      </c>
      <c r="Y330" s="40">
        <v>0</v>
      </c>
      <c r="Z330" s="5">
        <v>7.8739999999999997</v>
      </c>
      <c r="AA330" s="5">
        <v>1.410320888888889</v>
      </c>
      <c r="AB330" s="85">
        <v>0</v>
      </c>
      <c r="AC330" s="5">
        <v>4.03</v>
      </c>
      <c r="AD330" s="37">
        <v>0</v>
      </c>
      <c r="AE330" s="22">
        <v>3</v>
      </c>
      <c r="AF330" s="5">
        <v>5.17</v>
      </c>
      <c r="AG330" s="37">
        <v>1</v>
      </c>
      <c r="AH330" s="5">
        <v>0.86</v>
      </c>
      <c r="AI330" s="1">
        <v>0</v>
      </c>
      <c r="AJ330" s="13">
        <v>3.39</v>
      </c>
      <c r="AK330" s="1">
        <v>0</v>
      </c>
      <c r="AL330" s="13">
        <v>1.39</v>
      </c>
      <c r="AM330" s="1">
        <v>0</v>
      </c>
      <c r="AN330" s="82">
        <f t="shared" si="59"/>
        <v>3.7194244604316551</v>
      </c>
      <c r="AO330" s="1">
        <v>0</v>
      </c>
      <c r="AP330">
        <v>123</v>
      </c>
      <c r="AQ330" s="37">
        <v>0</v>
      </c>
      <c r="AR330">
        <v>81</v>
      </c>
      <c r="AS330" s="37">
        <v>0</v>
      </c>
      <c r="AT330">
        <v>98</v>
      </c>
      <c r="AU330">
        <v>28</v>
      </c>
      <c r="AV330">
        <v>6.3</v>
      </c>
      <c r="AW330">
        <v>1</v>
      </c>
      <c r="AX330">
        <v>2067</v>
      </c>
      <c r="AY330">
        <v>60.4</v>
      </c>
      <c r="AZ330">
        <v>57.8</v>
      </c>
      <c r="BA330">
        <v>345.3</v>
      </c>
      <c r="BB330">
        <v>14.2</v>
      </c>
      <c r="BC330">
        <v>208.1</v>
      </c>
      <c r="BD330">
        <v>73.900000000000006</v>
      </c>
      <c r="BE330">
        <v>60.3</v>
      </c>
      <c r="BF330">
        <v>99.4</v>
      </c>
      <c r="BG330">
        <v>25.2</v>
      </c>
      <c r="BH330">
        <v>11.7</v>
      </c>
      <c r="BI330">
        <v>62.6</v>
      </c>
      <c r="BJ330">
        <v>16.3</v>
      </c>
      <c r="BK330">
        <v>10.9</v>
      </c>
      <c r="BL330">
        <v>37.5</v>
      </c>
      <c r="BM330">
        <v>6.3</v>
      </c>
      <c r="BN330">
        <v>3.1</v>
      </c>
      <c r="BO330">
        <v>2.52</v>
      </c>
      <c r="BP330">
        <v>0.33</v>
      </c>
      <c r="BQ330">
        <v>7.0000000000000007E-2</v>
      </c>
      <c r="BR330">
        <v>513</v>
      </c>
      <c r="BS330">
        <v>371.7</v>
      </c>
      <c r="BT330">
        <v>2702</v>
      </c>
      <c r="BU330">
        <v>2326</v>
      </c>
      <c r="BV330">
        <v>14.15</v>
      </c>
      <c r="BW330">
        <v>7.86</v>
      </c>
      <c r="BX330">
        <v>1.44</v>
      </c>
      <c r="BY330">
        <v>22</v>
      </c>
      <c r="BZ330">
        <v>34</v>
      </c>
      <c r="CA330">
        <v>1.24</v>
      </c>
      <c r="CB330">
        <v>1.79</v>
      </c>
      <c r="CC330">
        <v>11.4</v>
      </c>
      <c r="CD330">
        <v>0.78</v>
      </c>
      <c r="CE330">
        <v>1.0900000000000001</v>
      </c>
      <c r="CF330">
        <v>487.5</v>
      </c>
      <c r="CG330">
        <v>23.1</v>
      </c>
      <c r="CH330">
        <v>252</v>
      </c>
      <c r="CI330">
        <v>1.68</v>
      </c>
      <c r="CJ330">
        <v>2.2000000000000002</v>
      </c>
      <c r="CK330">
        <v>2</v>
      </c>
      <c r="CL330" s="42" t="str">
        <f t="shared" si="61"/>
        <v>1</v>
      </c>
      <c r="CM330" s="4">
        <v>65.666666666666671</v>
      </c>
      <c r="CN330" s="4">
        <f t="shared" si="60"/>
        <v>2.76</v>
      </c>
      <c r="CO330">
        <v>5</v>
      </c>
      <c r="CP330" s="42" t="str">
        <f t="shared" si="62"/>
        <v>1</v>
      </c>
      <c r="CQ330" s="4">
        <v>138</v>
      </c>
      <c r="CR330" s="4">
        <v>1.9629629629629628</v>
      </c>
      <c r="CS330" s="43" t="str">
        <f t="shared" si="63"/>
        <v>2</v>
      </c>
      <c r="CT330" s="4">
        <f t="shared" si="64"/>
        <v>203.66666666666669</v>
      </c>
      <c r="CU330" s="4">
        <f t="shared" si="65"/>
        <v>4.7229629629629626</v>
      </c>
      <c r="CV330" s="4">
        <v>4</v>
      </c>
    </row>
    <row r="331" spans="1:100" x14ac:dyDescent="0.3">
      <c r="A331" s="8" t="s">
        <v>255</v>
      </c>
      <c r="B331" s="18">
        <v>1</v>
      </c>
      <c r="C331">
        <v>50</v>
      </c>
      <c r="D331">
        <v>3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54.3</v>
      </c>
      <c r="K331">
        <v>1.48</v>
      </c>
      <c r="L331">
        <f t="shared" si="58"/>
        <v>148</v>
      </c>
      <c r="M331" s="82">
        <v>19.113600000000002</v>
      </c>
      <c r="N331" s="4">
        <v>31.6</v>
      </c>
      <c r="O331" s="4">
        <v>35.200000000000003</v>
      </c>
      <c r="P331" s="39">
        <v>1</v>
      </c>
      <c r="Q331">
        <v>78</v>
      </c>
      <c r="R331" s="40">
        <v>0</v>
      </c>
      <c r="S331">
        <v>87</v>
      </c>
      <c r="T331" s="5">
        <v>0.89655172413793105</v>
      </c>
      <c r="U331" s="39">
        <v>1</v>
      </c>
      <c r="V331" s="4">
        <v>24.789992695398102</v>
      </c>
      <c r="W331" s="37">
        <v>1</v>
      </c>
      <c r="X331" s="4">
        <v>6</v>
      </c>
      <c r="Y331" s="40">
        <v>0</v>
      </c>
      <c r="Z331" s="5">
        <v>8.3729999999999993</v>
      </c>
      <c r="AA331" s="5">
        <v>2.0504546666666665</v>
      </c>
      <c r="AB331" s="85">
        <v>0</v>
      </c>
      <c r="AC331" s="5">
        <v>5.51</v>
      </c>
      <c r="AD331" s="37">
        <v>0</v>
      </c>
      <c r="AE331">
        <v>29.46</v>
      </c>
      <c r="AF331" s="5">
        <v>8.24</v>
      </c>
      <c r="AG331" s="37">
        <v>1</v>
      </c>
      <c r="AH331" s="5">
        <v>3.38</v>
      </c>
      <c r="AI331" s="1">
        <v>1</v>
      </c>
      <c r="AJ331" s="13">
        <v>5.35</v>
      </c>
      <c r="AK331" s="1">
        <v>0</v>
      </c>
      <c r="AL331" s="13">
        <v>1.36</v>
      </c>
      <c r="AM331" s="1">
        <v>0</v>
      </c>
      <c r="AN331" s="82">
        <f t="shared" si="59"/>
        <v>6.0588235294117645</v>
      </c>
      <c r="AO331" s="1">
        <v>1</v>
      </c>
      <c r="AP331">
        <v>137</v>
      </c>
      <c r="AQ331" s="37">
        <v>1</v>
      </c>
      <c r="AR331">
        <v>93</v>
      </c>
      <c r="AS331" s="37">
        <v>1</v>
      </c>
      <c r="AT331">
        <v>70</v>
      </c>
      <c r="AU331">
        <v>44</v>
      </c>
      <c r="AV331">
        <v>7.9</v>
      </c>
      <c r="AW331">
        <v>1</v>
      </c>
      <c r="AX331">
        <v>1135</v>
      </c>
      <c r="AY331">
        <v>35.700000000000003</v>
      </c>
      <c r="AZ331">
        <v>32.299999999999997</v>
      </c>
      <c r="BA331">
        <v>186.4</v>
      </c>
      <c r="BB331">
        <v>5</v>
      </c>
      <c r="BC331">
        <v>137.4</v>
      </c>
      <c r="BD331">
        <v>41.5</v>
      </c>
      <c r="BE331">
        <v>28.2</v>
      </c>
      <c r="BF331">
        <v>43.5</v>
      </c>
      <c r="BG331">
        <v>25.6</v>
      </c>
      <c r="BH331">
        <v>12.6</v>
      </c>
      <c r="BI331">
        <v>61.6</v>
      </c>
      <c r="BJ331">
        <v>18.7</v>
      </c>
      <c r="BK331">
        <v>9.3000000000000007</v>
      </c>
      <c r="BL331">
        <v>23.6</v>
      </c>
      <c r="BM331">
        <v>3.6</v>
      </c>
      <c r="BN331">
        <v>1.8</v>
      </c>
      <c r="BO331">
        <v>1.58</v>
      </c>
      <c r="BP331">
        <v>0.13</v>
      </c>
      <c r="BQ331">
        <v>0.2</v>
      </c>
      <c r="BR331">
        <v>340</v>
      </c>
      <c r="BS331">
        <v>136.9</v>
      </c>
      <c r="BT331">
        <v>1861</v>
      </c>
      <c r="BU331">
        <v>1280</v>
      </c>
      <c r="BV331">
        <v>6.61</v>
      </c>
      <c r="BW331">
        <v>4.32</v>
      </c>
      <c r="BX331">
        <v>0.96</v>
      </c>
      <c r="BY331">
        <v>34.200000000000003</v>
      </c>
      <c r="BZ331">
        <v>36.6</v>
      </c>
      <c r="CA331">
        <v>0.47</v>
      </c>
      <c r="CB331">
        <v>0.47</v>
      </c>
      <c r="CC331">
        <v>11.8</v>
      </c>
      <c r="CD331">
        <v>0.56999999999999995</v>
      </c>
      <c r="CE331">
        <v>0.57999999999999996</v>
      </c>
      <c r="CF331">
        <v>153.6</v>
      </c>
      <c r="CG331">
        <v>17.5</v>
      </c>
      <c r="CH331">
        <v>285</v>
      </c>
      <c r="CI331">
        <v>0.55000000000000004</v>
      </c>
      <c r="CJ331">
        <v>0.9</v>
      </c>
      <c r="CK331">
        <v>0</v>
      </c>
      <c r="CL331" s="42" t="str">
        <f t="shared" si="61"/>
        <v>1</v>
      </c>
      <c r="CM331" s="4">
        <v>0</v>
      </c>
      <c r="CN331" s="4">
        <f t="shared" si="60"/>
        <v>0.54666666666666663</v>
      </c>
      <c r="CO331">
        <v>3</v>
      </c>
      <c r="CP331" s="42" t="str">
        <f t="shared" si="62"/>
        <v>1</v>
      </c>
      <c r="CQ331" s="4">
        <v>27.333333333333332</v>
      </c>
      <c r="CR331" s="4">
        <v>0.90123456790123457</v>
      </c>
      <c r="CS331" s="43" t="str">
        <f t="shared" si="63"/>
        <v>1</v>
      </c>
      <c r="CT331" s="4">
        <f t="shared" si="64"/>
        <v>27.333333333333332</v>
      </c>
      <c r="CU331" s="4">
        <f t="shared" si="65"/>
        <v>1.4479012345679012</v>
      </c>
      <c r="CV331" s="4">
        <v>1</v>
      </c>
    </row>
    <row r="332" spans="1:100" x14ac:dyDescent="0.3">
      <c r="A332" s="8" t="s">
        <v>254</v>
      </c>
      <c r="B332" s="18">
        <v>1</v>
      </c>
      <c r="C332">
        <v>50</v>
      </c>
      <c r="D332">
        <v>3</v>
      </c>
      <c r="E332">
        <v>0</v>
      </c>
      <c r="F332">
        <v>1</v>
      </c>
      <c r="G332">
        <v>0</v>
      </c>
      <c r="H332">
        <v>0</v>
      </c>
      <c r="I332">
        <v>1</v>
      </c>
      <c r="J332">
        <v>59.9</v>
      </c>
      <c r="K332">
        <v>1.48</v>
      </c>
      <c r="L332">
        <f t="shared" si="58"/>
        <v>148</v>
      </c>
      <c r="M332" s="82">
        <v>23.6006</v>
      </c>
      <c r="N332" s="4">
        <v>34.299999999999997</v>
      </c>
      <c r="O332" s="4">
        <v>39.4</v>
      </c>
      <c r="P332" s="39">
        <v>1</v>
      </c>
      <c r="Q332">
        <v>95</v>
      </c>
      <c r="R332" s="40">
        <v>1</v>
      </c>
      <c r="S332">
        <v>91</v>
      </c>
      <c r="T332" s="5">
        <v>1.043956043956044</v>
      </c>
      <c r="U332" s="39">
        <v>1</v>
      </c>
      <c r="V332" s="4">
        <v>27.346603360116873</v>
      </c>
      <c r="W332" s="37">
        <v>1</v>
      </c>
      <c r="X332" s="4">
        <v>8</v>
      </c>
      <c r="Y332" s="40">
        <v>0</v>
      </c>
      <c r="Z332" s="5">
        <v>9.0860000000000003</v>
      </c>
      <c r="AA332" s="5">
        <v>1.9100791111111113</v>
      </c>
      <c r="AB332" s="85">
        <v>0</v>
      </c>
      <c r="AC332" s="5">
        <v>4.7300000000000004</v>
      </c>
      <c r="AD332" s="37">
        <v>0</v>
      </c>
      <c r="AE332">
        <v>17.66</v>
      </c>
      <c r="AF332" s="5">
        <v>4.53</v>
      </c>
      <c r="AG332" s="37">
        <v>0</v>
      </c>
      <c r="AH332" s="5">
        <v>1.1599999999999999</v>
      </c>
      <c r="AI332" s="1">
        <v>0</v>
      </c>
      <c r="AJ332" s="13">
        <v>3.05</v>
      </c>
      <c r="AK332" s="1">
        <v>1</v>
      </c>
      <c r="AL332" s="13">
        <v>0.96</v>
      </c>
      <c r="AM332" s="1">
        <v>1</v>
      </c>
      <c r="AN332" s="82">
        <f t="shared" si="59"/>
        <v>4.71875</v>
      </c>
      <c r="AO332" s="1">
        <v>1</v>
      </c>
      <c r="AP332">
        <v>115</v>
      </c>
      <c r="AQ332" s="37">
        <v>0</v>
      </c>
      <c r="AR332">
        <v>83</v>
      </c>
      <c r="AS332" s="37">
        <v>0</v>
      </c>
      <c r="AT332">
        <v>84</v>
      </c>
      <c r="AU332">
        <v>32</v>
      </c>
      <c r="AV332">
        <v>6.9</v>
      </c>
      <c r="AW332">
        <v>1</v>
      </c>
      <c r="AX332">
        <v>1279</v>
      </c>
      <c r="AY332">
        <v>46.6</v>
      </c>
      <c r="AZ332">
        <v>40.5</v>
      </c>
      <c r="BA332">
        <v>194</v>
      </c>
      <c r="BB332">
        <v>9.4</v>
      </c>
      <c r="BC332">
        <v>148.4</v>
      </c>
      <c r="BD332">
        <v>34.9</v>
      </c>
      <c r="BE332">
        <v>23.6</v>
      </c>
      <c r="BF332">
        <v>99.2</v>
      </c>
      <c r="BG332">
        <v>28.5</v>
      </c>
      <c r="BH332">
        <v>14.6</v>
      </c>
      <c r="BI332">
        <v>56.9</v>
      </c>
      <c r="BJ332">
        <v>19.399999999999999</v>
      </c>
      <c r="BK332">
        <v>6.9</v>
      </c>
      <c r="BL332">
        <v>27.6</v>
      </c>
      <c r="BM332">
        <v>4.7</v>
      </c>
      <c r="BN332">
        <v>2</v>
      </c>
      <c r="BO332">
        <v>1.19</v>
      </c>
      <c r="BP332">
        <v>0.11</v>
      </c>
      <c r="BQ332">
        <v>0.15</v>
      </c>
      <c r="BR332">
        <v>448</v>
      </c>
      <c r="BS332">
        <v>174.1</v>
      </c>
      <c r="BT332">
        <v>2709</v>
      </c>
      <c r="BU332">
        <v>1550</v>
      </c>
      <c r="BV332">
        <v>8.48</v>
      </c>
      <c r="BW332">
        <v>4.71</v>
      </c>
      <c r="BX332">
        <v>0.9</v>
      </c>
      <c r="BY332">
        <v>40.299999999999997</v>
      </c>
      <c r="BZ332">
        <v>29</v>
      </c>
      <c r="CA332">
        <v>16.13</v>
      </c>
      <c r="CB332">
        <v>14.91</v>
      </c>
      <c r="CC332">
        <v>11.9</v>
      </c>
      <c r="CD332">
        <v>0.57999999999999996</v>
      </c>
      <c r="CE332">
        <v>1.07</v>
      </c>
      <c r="CF332">
        <v>133.1</v>
      </c>
      <c r="CG332">
        <v>16.899999999999999</v>
      </c>
      <c r="CH332">
        <v>354</v>
      </c>
      <c r="CI332">
        <v>4.0599999999999996</v>
      </c>
      <c r="CJ332">
        <v>69.7</v>
      </c>
      <c r="CK332">
        <v>1</v>
      </c>
      <c r="CL332" s="42" t="str">
        <f t="shared" si="61"/>
        <v>1</v>
      </c>
      <c r="CM332" s="4">
        <v>19.5</v>
      </c>
      <c r="CN332" s="4">
        <f t="shared" si="60"/>
        <v>2.5</v>
      </c>
      <c r="CO332">
        <v>3</v>
      </c>
      <c r="CP332" s="42" t="str">
        <f t="shared" si="62"/>
        <v>1</v>
      </c>
      <c r="CQ332" s="4">
        <v>125</v>
      </c>
      <c r="CR332" s="4">
        <v>3.6617283950617283</v>
      </c>
      <c r="CS332" s="43" t="str">
        <f t="shared" si="63"/>
        <v>1</v>
      </c>
      <c r="CT332" s="4">
        <f t="shared" si="64"/>
        <v>144.5</v>
      </c>
      <c r="CU332" s="4">
        <f t="shared" si="65"/>
        <v>6.1617283950617283</v>
      </c>
      <c r="CV332" s="4">
        <v>4</v>
      </c>
    </row>
    <row r="333" spans="1:100" x14ac:dyDescent="0.3">
      <c r="A333" s="8" t="s">
        <v>253</v>
      </c>
      <c r="B333" s="18">
        <v>1</v>
      </c>
      <c r="C333">
        <v>50</v>
      </c>
      <c r="D333">
        <v>3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49.6</v>
      </c>
      <c r="K333">
        <v>1.54</v>
      </c>
      <c r="L333">
        <f t="shared" si="58"/>
        <v>154</v>
      </c>
      <c r="M333" s="82">
        <v>16.12</v>
      </c>
      <c r="N333" s="4">
        <v>32.200000000000003</v>
      </c>
      <c r="O333" s="4">
        <v>32.5</v>
      </c>
      <c r="P333" s="39">
        <v>0</v>
      </c>
      <c r="Q333">
        <v>73</v>
      </c>
      <c r="R333" s="40">
        <v>0</v>
      </c>
      <c r="S333">
        <v>88</v>
      </c>
      <c r="T333" s="5">
        <v>0.82954545454545459</v>
      </c>
      <c r="U333" s="39">
        <v>0</v>
      </c>
      <c r="V333" s="4">
        <v>20.914150784280654</v>
      </c>
      <c r="W333" s="37">
        <v>0</v>
      </c>
      <c r="X333" s="4">
        <v>5</v>
      </c>
      <c r="Y333" s="40">
        <v>0</v>
      </c>
      <c r="Z333" s="5">
        <v>6.0439999999999996</v>
      </c>
      <c r="AA333" s="5">
        <v>1.1926826666666668</v>
      </c>
      <c r="AB333" s="85">
        <v>0</v>
      </c>
      <c r="AC333" s="5">
        <v>4.4400000000000004</v>
      </c>
      <c r="AD333" s="37">
        <v>0</v>
      </c>
      <c r="AE333" s="21">
        <v>3</v>
      </c>
      <c r="AF333" s="5">
        <v>5.7</v>
      </c>
      <c r="AG333" s="37">
        <v>1</v>
      </c>
      <c r="AH333" s="5">
        <v>1.08</v>
      </c>
      <c r="AI333" s="1">
        <v>1</v>
      </c>
      <c r="AJ333" s="13">
        <v>3.93</v>
      </c>
      <c r="AK333" s="1">
        <v>1</v>
      </c>
      <c r="AL333" s="13">
        <v>1.28</v>
      </c>
      <c r="AM333" s="1">
        <v>1</v>
      </c>
      <c r="AN333" s="82">
        <f t="shared" si="59"/>
        <v>4.453125</v>
      </c>
      <c r="AO333" s="1">
        <v>1</v>
      </c>
      <c r="AP333">
        <v>135</v>
      </c>
      <c r="AQ333" s="37">
        <v>1</v>
      </c>
      <c r="AR333">
        <v>82</v>
      </c>
      <c r="AS333" s="37">
        <v>0</v>
      </c>
      <c r="AT333">
        <v>99</v>
      </c>
      <c r="AU333">
        <v>53</v>
      </c>
      <c r="AV333">
        <v>7.7</v>
      </c>
      <c r="AW333">
        <v>1</v>
      </c>
      <c r="AX333">
        <v>1140</v>
      </c>
      <c r="AY333">
        <v>35.700000000000003</v>
      </c>
      <c r="AZ333">
        <v>45.9</v>
      </c>
      <c r="BA333">
        <v>155.6</v>
      </c>
      <c r="BB333">
        <v>10.199999999999999</v>
      </c>
      <c r="BC333">
        <v>120.4</v>
      </c>
      <c r="BD333">
        <v>26.5</v>
      </c>
      <c r="BE333">
        <v>17.2</v>
      </c>
      <c r="BF333">
        <v>203.8</v>
      </c>
      <c r="BG333">
        <v>36.299999999999997</v>
      </c>
      <c r="BH333">
        <v>12.5</v>
      </c>
      <c r="BI333">
        <v>51.2</v>
      </c>
      <c r="BJ333">
        <v>23.5</v>
      </c>
      <c r="BK333">
        <v>5.7</v>
      </c>
      <c r="BL333">
        <v>29.7</v>
      </c>
      <c r="BM333">
        <v>8.1</v>
      </c>
      <c r="BN333">
        <v>2.9</v>
      </c>
      <c r="BO333">
        <v>2.64</v>
      </c>
      <c r="BP333">
        <v>0.21</v>
      </c>
      <c r="BQ333">
        <v>0.05</v>
      </c>
      <c r="BR333">
        <v>337</v>
      </c>
      <c r="BS333">
        <v>163.9</v>
      </c>
      <c r="BT333">
        <v>2284</v>
      </c>
      <c r="BU333">
        <v>1192</v>
      </c>
      <c r="BV333">
        <v>8.17</v>
      </c>
      <c r="BW333">
        <v>4.12</v>
      </c>
      <c r="BX333">
        <v>1.26</v>
      </c>
      <c r="BY333">
        <v>44.6</v>
      </c>
      <c r="BZ333">
        <v>38.299999999999997</v>
      </c>
      <c r="CA333">
        <v>0.54</v>
      </c>
      <c r="CB333">
        <v>0.56000000000000005</v>
      </c>
      <c r="CC333">
        <v>11.9</v>
      </c>
      <c r="CD333">
        <v>0.47</v>
      </c>
      <c r="CE333">
        <v>1.33</v>
      </c>
      <c r="CF333">
        <v>129.4</v>
      </c>
      <c r="CG333">
        <v>17.600000000000001</v>
      </c>
      <c r="CH333">
        <v>297</v>
      </c>
      <c r="CI333">
        <v>1.82</v>
      </c>
      <c r="CJ333">
        <v>1.5</v>
      </c>
      <c r="CK333">
        <v>1</v>
      </c>
      <c r="CL333" s="42" t="str">
        <f t="shared" si="61"/>
        <v>1</v>
      </c>
      <c r="CM333" s="4">
        <v>13</v>
      </c>
      <c r="CN333" s="4">
        <f t="shared" si="60"/>
        <v>1.6066666666666665</v>
      </c>
      <c r="CO333">
        <v>3</v>
      </c>
      <c r="CP333" s="42" t="str">
        <f t="shared" si="62"/>
        <v>1</v>
      </c>
      <c r="CQ333" s="4">
        <v>80.333333333333329</v>
      </c>
      <c r="CR333" s="4">
        <v>1.5987654320987654</v>
      </c>
      <c r="CS333" s="43" t="str">
        <f t="shared" si="63"/>
        <v>1</v>
      </c>
      <c r="CT333" s="4">
        <f t="shared" si="64"/>
        <v>93.333333333333329</v>
      </c>
      <c r="CU333" s="4">
        <f t="shared" si="65"/>
        <v>3.2054320987654319</v>
      </c>
      <c r="CV333" s="4">
        <v>3</v>
      </c>
    </row>
    <row r="334" spans="1:100" x14ac:dyDescent="0.3">
      <c r="A334" s="8" t="s">
        <v>252</v>
      </c>
      <c r="B334" s="18">
        <v>1</v>
      </c>
      <c r="C334">
        <v>53</v>
      </c>
      <c r="D334">
        <v>3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36.9</v>
      </c>
      <c r="K334">
        <v>1.41</v>
      </c>
      <c r="L334">
        <f t="shared" si="58"/>
        <v>141</v>
      </c>
      <c r="M334" s="82">
        <v>10.258199999999999</v>
      </c>
      <c r="N334" s="4">
        <v>25.4</v>
      </c>
      <c r="O334" s="4">
        <v>27.8</v>
      </c>
      <c r="P334" s="39">
        <v>0</v>
      </c>
      <c r="Q334">
        <v>67</v>
      </c>
      <c r="R334" s="40">
        <v>0</v>
      </c>
      <c r="S334">
        <v>78.5</v>
      </c>
      <c r="T334" s="5">
        <v>0.85350318471337583</v>
      </c>
      <c r="U334" s="39">
        <v>0</v>
      </c>
      <c r="V334" s="4">
        <v>18.560434585785426</v>
      </c>
      <c r="W334" s="37">
        <v>0</v>
      </c>
      <c r="X334" s="4">
        <v>3</v>
      </c>
      <c r="Y334" s="40">
        <v>0</v>
      </c>
      <c r="Z334" s="5">
        <v>7.1449999999999996</v>
      </c>
      <c r="AA334" s="5">
        <v>1.3337333333333334</v>
      </c>
      <c r="AB334" s="85">
        <v>0</v>
      </c>
      <c r="AC334" s="5">
        <v>4.2</v>
      </c>
      <c r="AD334" s="37">
        <v>0</v>
      </c>
      <c r="AE334">
        <v>20.99</v>
      </c>
      <c r="AF334" s="5">
        <v>8.52</v>
      </c>
      <c r="AG334" s="37">
        <v>1</v>
      </c>
      <c r="AH334" s="5">
        <v>1.3</v>
      </c>
      <c r="AI334" s="1">
        <v>1</v>
      </c>
      <c r="AJ334" s="13">
        <v>6.56</v>
      </c>
      <c r="AK334" s="1">
        <v>0</v>
      </c>
      <c r="AL334" s="13">
        <v>1.36</v>
      </c>
      <c r="AM334" s="1">
        <v>0</v>
      </c>
      <c r="AN334" s="82">
        <f t="shared" si="59"/>
        <v>6.2647058823529402</v>
      </c>
      <c r="AO334" s="1">
        <v>1</v>
      </c>
      <c r="AP334">
        <v>130</v>
      </c>
      <c r="AQ334" s="37">
        <v>1</v>
      </c>
      <c r="AR334">
        <v>77</v>
      </c>
      <c r="AS334" s="37">
        <v>0</v>
      </c>
      <c r="AT334">
        <v>74</v>
      </c>
      <c r="AU334">
        <v>54</v>
      </c>
      <c r="AV334">
        <v>7.8</v>
      </c>
      <c r="AW334">
        <v>1</v>
      </c>
      <c r="AX334">
        <v>2040</v>
      </c>
      <c r="AY334">
        <v>53.7</v>
      </c>
      <c r="AZ334">
        <v>43.8</v>
      </c>
      <c r="BA334">
        <v>381.6</v>
      </c>
      <c r="BB334">
        <v>13</v>
      </c>
      <c r="BC334">
        <v>191.4</v>
      </c>
      <c r="BD334">
        <v>182.2</v>
      </c>
      <c r="BE334">
        <v>172.6</v>
      </c>
      <c r="BF334">
        <v>96.3</v>
      </c>
      <c r="BG334">
        <v>19.3</v>
      </c>
      <c r="BH334">
        <v>10.5</v>
      </c>
      <c r="BI334">
        <v>70.2</v>
      </c>
      <c r="BJ334">
        <v>8.8000000000000007</v>
      </c>
      <c r="BK334">
        <v>31.7</v>
      </c>
      <c r="BL334">
        <v>19.899999999999999</v>
      </c>
      <c r="BM334">
        <v>4.3</v>
      </c>
      <c r="BN334">
        <v>3</v>
      </c>
      <c r="BO334">
        <v>2.38</v>
      </c>
      <c r="BP334">
        <v>0.2</v>
      </c>
      <c r="BQ334">
        <v>0.05</v>
      </c>
      <c r="BR334">
        <v>378</v>
      </c>
      <c r="BS334">
        <v>142.4</v>
      </c>
      <c r="BT334">
        <v>2960</v>
      </c>
      <c r="BU334">
        <v>1273</v>
      </c>
      <c r="BV334">
        <v>7.64</v>
      </c>
      <c r="BW334">
        <v>3.42</v>
      </c>
      <c r="BX334">
        <v>0.89</v>
      </c>
      <c r="BY334">
        <v>75</v>
      </c>
      <c r="BZ334">
        <v>24.1</v>
      </c>
      <c r="CA334">
        <v>0.82</v>
      </c>
      <c r="CB334">
        <v>1.08</v>
      </c>
      <c r="CC334">
        <v>19.8</v>
      </c>
      <c r="CD334">
        <v>0.77</v>
      </c>
      <c r="CE334">
        <v>2.4500000000000002</v>
      </c>
      <c r="CF334">
        <v>112.4</v>
      </c>
      <c r="CG334">
        <v>9.3000000000000007</v>
      </c>
      <c r="CH334">
        <v>295</v>
      </c>
      <c r="CI334">
        <v>7.91</v>
      </c>
      <c r="CJ334">
        <v>1.3</v>
      </c>
      <c r="CK334">
        <v>0</v>
      </c>
      <c r="CL334" s="42" t="str">
        <f t="shared" si="61"/>
        <v>1</v>
      </c>
      <c r="CM334" s="4">
        <v>0</v>
      </c>
      <c r="CN334" s="4">
        <f t="shared" si="60"/>
        <v>2.3466666666666667</v>
      </c>
      <c r="CO334">
        <v>3</v>
      </c>
      <c r="CP334" s="42" t="str">
        <f t="shared" si="62"/>
        <v>1</v>
      </c>
      <c r="CQ334" s="4">
        <v>117.33333333333333</v>
      </c>
      <c r="CR334" s="4">
        <v>3.2592592592592591</v>
      </c>
      <c r="CS334" s="43" t="str">
        <f t="shared" si="63"/>
        <v>1</v>
      </c>
      <c r="CT334" s="4">
        <f t="shared" si="64"/>
        <v>117.33333333333333</v>
      </c>
      <c r="CU334" s="4">
        <f t="shared" si="65"/>
        <v>5.6059259259259253</v>
      </c>
      <c r="CV334" s="4">
        <v>4</v>
      </c>
    </row>
    <row r="335" spans="1:100" x14ac:dyDescent="0.3">
      <c r="A335" s="8" t="s">
        <v>251</v>
      </c>
      <c r="B335" s="18">
        <v>1</v>
      </c>
      <c r="C335">
        <v>49</v>
      </c>
      <c r="D335">
        <v>3</v>
      </c>
      <c r="E335">
        <v>1</v>
      </c>
      <c r="F335">
        <v>1</v>
      </c>
      <c r="G335">
        <v>0</v>
      </c>
      <c r="H335">
        <v>0</v>
      </c>
      <c r="I335">
        <v>0</v>
      </c>
      <c r="J335">
        <v>60.9</v>
      </c>
      <c r="K335">
        <v>1.48</v>
      </c>
      <c r="L335">
        <f t="shared" si="58"/>
        <v>148</v>
      </c>
      <c r="M335" s="82">
        <v>23.994600000000002</v>
      </c>
      <c r="N335" s="4">
        <v>34.799999999999997</v>
      </c>
      <c r="O335" s="4">
        <v>39.4</v>
      </c>
      <c r="P335" s="39">
        <v>1</v>
      </c>
      <c r="Q335">
        <v>87.8</v>
      </c>
      <c r="R335" s="40">
        <v>1</v>
      </c>
      <c r="S335">
        <v>94</v>
      </c>
      <c r="T335" s="5">
        <v>0.93404255319148932</v>
      </c>
      <c r="U335" s="39">
        <v>1</v>
      </c>
      <c r="V335" s="4">
        <v>27.803140978816653</v>
      </c>
      <c r="W335" s="37">
        <v>1</v>
      </c>
      <c r="X335" s="4">
        <v>8</v>
      </c>
      <c r="Y335" s="40">
        <v>0</v>
      </c>
      <c r="Z335" s="5">
        <v>8.5679999999999996</v>
      </c>
      <c r="AA335" s="5">
        <v>1.6907520000000003</v>
      </c>
      <c r="AB335" s="85">
        <v>0</v>
      </c>
      <c r="AC335" s="5">
        <v>4.4400000000000004</v>
      </c>
      <c r="AD335" s="37">
        <v>0</v>
      </c>
      <c r="AE335">
        <v>26.08</v>
      </c>
      <c r="AF335" s="5">
        <v>5.18</v>
      </c>
      <c r="AG335" s="37">
        <v>1</v>
      </c>
      <c r="AH335" s="5">
        <v>1.49</v>
      </c>
      <c r="AI335" s="1">
        <v>0</v>
      </c>
      <c r="AJ335" s="13">
        <v>3.13</v>
      </c>
      <c r="AK335" s="1">
        <v>0</v>
      </c>
      <c r="AL335" s="13">
        <v>1.38</v>
      </c>
      <c r="AM335" s="1">
        <v>0</v>
      </c>
      <c r="AN335" s="82">
        <f t="shared" si="59"/>
        <v>3.7536231884057973</v>
      </c>
      <c r="AO335" s="1">
        <v>0</v>
      </c>
      <c r="AP335">
        <v>126</v>
      </c>
      <c r="AQ335" s="37">
        <v>0</v>
      </c>
      <c r="AR335">
        <v>73</v>
      </c>
      <c r="AS335" s="37">
        <v>0</v>
      </c>
      <c r="AT335">
        <v>84</v>
      </c>
      <c r="AU335">
        <v>53</v>
      </c>
      <c r="AV335">
        <v>7.1</v>
      </c>
      <c r="AW335">
        <v>1</v>
      </c>
      <c r="AX335">
        <v>1901</v>
      </c>
      <c r="AY335">
        <v>60.2</v>
      </c>
      <c r="AZ335">
        <v>55.1</v>
      </c>
      <c r="BA335">
        <v>310.3</v>
      </c>
      <c r="BB335">
        <v>12</v>
      </c>
      <c r="BC335">
        <v>225.9</v>
      </c>
      <c r="BD335">
        <v>71.400000000000006</v>
      </c>
      <c r="BE335">
        <v>55.5</v>
      </c>
      <c r="BF335">
        <v>161.4</v>
      </c>
      <c r="BG335">
        <v>26.1</v>
      </c>
      <c r="BH335">
        <v>12.7</v>
      </c>
      <c r="BI335">
        <v>61.2</v>
      </c>
      <c r="BJ335">
        <v>16.100000000000001</v>
      </c>
      <c r="BK335">
        <v>11</v>
      </c>
      <c r="BL335">
        <v>33.9</v>
      </c>
      <c r="BM335">
        <v>6.6</v>
      </c>
      <c r="BN335">
        <v>2.4</v>
      </c>
      <c r="BO335">
        <v>1.7</v>
      </c>
      <c r="BP335">
        <v>0.47</v>
      </c>
      <c r="BQ335">
        <v>0.28000000000000003</v>
      </c>
      <c r="BR335">
        <v>616</v>
      </c>
      <c r="BS335">
        <v>193.1</v>
      </c>
      <c r="BT335">
        <v>3671</v>
      </c>
      <c r="BU335">
        <v>2032</v>
      </c>
      <c r="BV335">
        <v>11.42</v>
      </c>
      <c r="BW335">
        <v>6.23</v>
      </c>
      <c r="BX335">
        <v>1.17</v>
      </c>
      <c r="BY335">
        <v>39.6</v>
      </c>
      <c r="BZ335">
        <v>76.8</v>
      </c>
      <c r="CA335">
        <v>18.2</v>
      </c>
      <c r="CB335">
        <v>17.34</v>
      </c>
      <c r="CC335">
        <v>16.3</v>
      </c>
      <c r="CD335">
        <v>0.82</v>
      </c>
      <c r="CE335">
        <v>3.14</v>
      </c>
      <c r="CF335">
        <v>185.3</v>
      </c>
      <c r="CG335">
        <v>28.3</v>
      </c>
      <c r="CH335">
        <v>501</v>
      </c>
      <c r="CI335">
        <v>9.02</v>
      </c>
      <c r="CJ335">
        <v>78.099999999999994</v>
      </c>
      <c r="CK335">
        <v>2</v>
      </c>
      <c r="CL335" s="42" t="str">
        <f t="shared" si="61"/>
        <v>1</v>
      </c>
      <c r="CM335" s="4">
        <v>39.666666666666664</v>
      </c>
      <c r="CN335" s="4">
        <f t="shared" si="60"/>
        <v>1.42</v>
      </c>
      <c r="CO335">
        <v>3</v>
      </c>
      <c r="CP335" s="42" t="str">
        <f t="shared" si="62"/>
        <v>1</v>
      </c>
      <c r="CQ335" s="4">
        <v>71</v>
      </c>
      <c r="CR335" s="4">
        <v>3.5308641975308643</v>
      </c>
      <c r="CS335" s="43" t="str">
        <f t="shared" si="63"/>
        <v>1</v>
      </c>
      <c r="CT335" s="4">
        <f t="shared" si="64"/>
        <v>110.66666666666666</v>
      </c>
      <c r="CU335" s="4">
        <f t="shared" si="65"/>
        <v>4.9508641975308638</v>
      </c>
      <c r="CV335" s="4">
        <v>4</v>
      </c>
    </row>
    <row r="336" spans="1:100" x14ac:dyDescent="0.3">
      <c r="A336" s="8" t="s">
        <v>250</v>
      </c>
      <c r="B336" s="18">
        <v>1</v>
      </c>
      <c r="C336">
        <v>44</v>
      </c>
      <c r="D336">
        <v>3</v>
      </c>
      <c r="E336">
        <v>0</v>
      </c>
      <c r="F336">
        <v>1</v>
      </c>
      <c r="G336">
        <v>0</v>
      </c>
      <c r="H336">
        <v>0</v>
      </c>
      <c r="I336">
        <v>1</v>
      </c>
      <c r="J336">
        <v>50.4</v>
      </c>
      <c r="K336">
        <v>1.54</v>
      </c>
      <c r="L336">
        <f t="shared" si="58"/>
        <v>154</v>
      </c>
      <c r="M336" s="82">
        <v>16.1784</v>
      </c>
      <c r="N336" s="4">
        <v>32.4</v>
      </c>
      <c r="O336" s="4">
        <v>32.1</v>
      </c>
      <c r="P336" s="39">
        <v>0</v>
      </c>
      <c r="Q336">
        <v>80.599999999999994</v>
      </c>
      <c r="R336" s="40">
        <v>0</v>
      </c>
      <c r="S336">
        <v>91.3</v>
      </c>
      <c r="T336" s="5">
        <v>0.88280394304490684</v>
      </c>
      <c r="U336" s="39">
        <v>1</v>
      </c>
      <c r="V336" s="4">
        <v>21.251475796930343</v>
      </c>
      <c r="W336" s="37">
        <v>0</v>
      </c>
      <c r="X336" s="4">
        <v>5</v>
      </c>
      <c r="Y336" s="40">
        <v>0</v>
      </c>
      <c r="Z336" s="5">
        <v>7.226</v>
      </c>
      <c r="AA336" s="5">
        <v>1.3231608888888888</v>
      </c>
      <c r="AB336" s="85">
        <v>0</v>
      </c>
      <c r="AC336" s="5">
        <v>4.12</v>
      </c>
      <c r="AD336" s="37">
        <v>0</v>
      </c>
      <c r="AE336">
        <v>14.16</v>
      </c>
      <c r="AF336" s="5">
        <v>4.8099999999999996</v>
      </c>
      <c r="AG336" s="37">
        <v>0</v>
      </c>
      <c r="AH336" s="5">
        <v>2.0699999999999998</v>
      </c>
      <c r="AI336" s="1">
        <v>0</v>
      </c>
      <c r="AJ336" s="13">
        <v>2.96</v>
      </c>
      <c r="AK336" s="1">
        <v>1</v>
      </c>
      <c r="AL336" s="13">
        <v>0.92</v>
      </c>
      <c r="AM336" s="1">
        <v>1</v>
      </c>
      <c r="AN336" s="82">
        <f t="shared" si="59"/>
        <v>5.2282608695652169</v>
      </c>
      <c r="AO336" s="1">
        <v>1</v>
      </c>
      <c r="AP336">
        <v>116</v>
      </c>
      <c r="AQ336" s="37">
        <v>0</v>
      </c>
      <c r="AR336">
        <v>81</v>
      </c>
      <c r="AS336" s="37">
        <v>0</v>
      </c>
      <c r="AT336">
        <v>79</v>
      </c>
      <c r="AU336">
        <v>35</v>
      </c>
      <c r="AV336">
        <v>6.3</v>
      </c>
      <c r="AW336">
        <v>1</v>
      </c>
      <c r="AX336">
        <v>1368</v>
      </c>
      <c r="AY336">
        <v>53.9</v>
      </c>
      <c r="AZ336">
        <v>30.9</v>
      </c>
      <c r="BA336">
        <v>233.1</v>
      </c>
      <c r="BB336">
        <v>9.4</v>
      </c>
      <c r="BC336">
        <v>185.9</v>
      </c>
      <c r="BD336">
        <v>38.6</v>
      </c>
      <c r="BE336">
        <v>34.299999999999997</v>
      </c>
      <c r="BF336">
        <v>94.6</v>
      </c>
      <c r="BG336">
        <v>20.3</v>
      </c>
      <c r="BH336">
        <v>15.8</v>
      </c>
      <c r="BI336">
        <v>63.9</v>
      </c>
      <c r="BJ336">
        <v>12.6</v>
      </c>
      <c r="BK336">
        <v>9.4</v>
      </c>
      <c r="BL336">
        <v>19.2</v>
      </c>
      <c r="BM336">
        <v>2.7</v>
      </c>
      <c r="BN336">
        <v>1.4</v>
      </c>
      <c r="BO336">
        <v>1.1499999999999999</v>
      </c>
      <c r="BP336">
        <v>0.18</v>
      </c>
      <c r="BQ336">
        <v>0</v>
      </c>
      <c r="BR336">
        <v>231</v>
      </c>
      <c r="BS336">
        <v>126.7</v>
      </c>
      <c r="BT336">
        <v>2592</v>
      </c>
      <c r="BU336">
        <v>1142</v>
      </c>
      <c r="BV336">
        <v>6.65</v>
      </c>
      <c r="BW336">
        <v>3.51</v>
      </c>
      <c r="BX336">
        <v>0.9</v>
      </c>
      <c r="BY336">
        <v>40.4</v>
      </c>
      <c r="BZ336">
        <v>16.100000000000001</v>
      </c>
      <c r="CA336">
        <v>1.31</v>
      </c>
      <c r="CB336">
        <v>1.94</v>
      </c>
      <c r="CC336">
        <v>12.9</v>
      </c>
      <c r="CD336">
        <v>0.5</v>
      </c>
      <c r="CE336">
        <v>0.85</v>
      </c>
      <c r="CF336">
        <v>132.19999999999999</v>
      </c>
      <c r="CG336">
        <v>5.7</v>
      </c>
      <c r="CH336">
        <v>105</v>
      </c>
      <c r="CI336">
        <v>0.92</v>
      </c>
      <c r="CJ336">
        <v>0.7</v>
      </c>
      <c r="CK336">
        <v>0</v>
      </c>
      <c r="CL336" s="42" t="str">
        <f t="shared" si="61"/>
        <v>1</v>
      </c>
      <c r="CM336" s="4">
        <v>0</v>
      </c>
      <c r="CN336" s="4">
        <f t="shared" si="60"/>
        <v>1.24</v>
      </c>
      <c r="CO336">
        <v>3</v>
      </c>
      <c r="CP336" s="42" t="str">
        <f t="shared" si="62"/>
        <v>1</v>
      </c>
      <c r="CQ336" s="4">
        <v>62</v>
      </c>
      <c r="CR336" s="4">
        <v>1.5925925925925926</v>
      </c>
      <c r="CS336" s="43" t="str">
        <f t="shared" si="63"/>
        <v>1</v>
      </c>
      <c r="CT336" s="4">
        <f t="shared" si="64"/>
        <v>62</v>
      </c>
      <c r="CU336" s="4">
        <f t="shared" si="65"/>
        <v>2.8325925925925928</v>
      </c>
      <c r="CV336" s="4">
        <v>2</v>
      </c>
    </row>
    <row r="337" spans="1:100" x14ac:dyDescent="0.3">
      <c r="A337" s="8" t="s">
        <v>249</v>
      </c>
      <c r="B337" s="18">
        <v>1</v>
      </c>
      <c r="C337">
        <v>43</v>
      </c>
      <c r="D337">
        <v>3</v>
      </c>
      <c r="E337">
        <v>0</v>
      </c>
      <c r="F337">
        <v>1</v>
      </c>
      <c r="G337">
        <v>0</v>
      </c>
      <c r="H337">
        <v>0</v>
      </c>
      <c r="I337">
        <v>1</v>
      </c>
      <c r="J337">
        <v>49.5</v>
      </c>
      <c r="K337">
        <v>1.44</v>
      </c>
      <c r="L337">
        <f t="shared" si="58"/>
        <v>144</v>
      </c>
      <c r="M337" s="82">
        <v>17.176500000000001</v>
      </c>
      <c r="N337" s="4">
        <v>30.6</v>
      </c>
      <c r="O337" s="4">
        <v>34.700000000000003</v>
      </c>
      <c r="P337" s="39">
        <v>1</v>
      </c>
      <c r="Q337">
        <v>81.7</v>
      </c>
      <c r="R337" s="40">
        <v>0</v>
      </c>
      <c r="S337">
        <v>91.6</v>
      </c>
      <c r="T337" s="5">
        <v>0.89192139737991272</v>
      </c>
      <c r="U337" s="39">
        <v>1</v>
      </c>
      <c r="V337" s="4">
        <v>23.871527777777779</v>
      </c>
      <c r="W337" s="37">
        <v>1</v>
      </c>
      <c r="X337" s="4">
        <v>6</v>
      </c>
      <c r="Y337" s="40">
        <v>0</v>
      </c>
      <c r="Z337" s="5">
        <v>7.9740000000000002</v>
      </c>
      <c r="AA337" s="5">
        <v>1.8038959999999999</v>
      </c>
      <c r="AB337" s="85">
        <v>0</v>
      </c>
      <c r="AC337" s="5">
        <v>5.09</v>
      </c>
      <c r="AD337" s="37">
        <v>0</v>
      </c>
      <c r="AE337">
        <v>2.65</v>
      </c>
      <c r="AF337" s="5">
        <v>5.09</v>
      </c>
      <c r="AG337" s="37">
        <v>1</v>
      </c>
      <c r="AH337" s="5">
        <v>1.24</v>
      </c>
      <c r="AI337" s="1">
        <v>0</v>
      </c>
      <c r="AJ337" s="13">
        <v>3.34</v>
      </c>
      <c r="AK337" s="1">
        <v>1</v>
      </c>
      <c r="AL337" s="13">
        <v>1.18</v>
      </c>
      <c r="AM337" s="1">
        <v>1</v>
      </c>
      <c r="AN337" s="82">
        <f t="shared" si="59"/>
        <v>4.3135593220338988</v>
      </c>
      <c r="AO337" s="1">
        <v>1</v>
      </c>
      <c r="AP337">
        <v>115</v>
      </c>
      <c r="AQ337" s="37">
        <v>0</v>
      </c>
      <c r="AR337">
        <v>69</v>
      </c>
      <c r="AS337" s="37">
        <v>0</v>
      </c>
      <c r="AT337">
        <v>87</v>
      </c>
      <c r="AU337">
        <v>46</v>
      </c>
      <c r="AV337">
        <v>6.2</v>
      </c>
      <c r="AW337">
        <v>1</v>
      </c>
      <c r="AX337">
        <v>1788</v>
      </c>
      <c r="AY337">
        <v>119.6</v>
      </c>
      <c r="AZ337">
        <v>41.7</v>
      </c>
      <c r="BA337">
        <v>320.89999999999998</v>
      </c>
      <c r="BB337">
        <v>5.5</v>
      </c>
      <c r="BC337">
        <v>261.60000000000002</v>
      </c>
      <c r="BD337">
        <v>46.5</v>
      </c>
      <c r="BE337">
        <v>37.799999999999997</v>
      </c>
      <c r="BF337">
        <v>121.7</v>
      </c>
      <c r="BG337">
        <v>21</v>
      </c>
      <c r="BH337">
        <v>26.8</v>
      </c>
      <c r="BI337">
        <v>67.3</v>
      </c>
      <c r="BJ337">
        <v>13.9</v>
      </c>
      <c r="BK337">
        <v>7.9</v>
      </c>
      <c r="BL337">
        <v>27.7</v>
      </c>
      <c r="BM337">
        <v>4.7</v>
      </c>
      <c r="BN337">
        <v>3.5</v>
      </c>
      <c r="BO337">
        <v>2.04</v>
      </c>
      <c r="BP337">
        <v>0.53</v>
      </c>
      <c r="BQ337">
        <v>0</v>
      </c>
      <c r="BR337">
        <v>306</v>
      </c>
      <c r="BS337">
        <v>187.8</v>
      </c>
      <c r="BT337">
        <v>3678</v>
      </c>
      <c r="BU337">
        <v>1703</v>
      </c>
      <c r="BV337">
        <v>10.119999999999999</v>
      </c>
      <c r="BW337">
        <v>7.28</v>
      </c>
      <c r="BX337">
        <v>1.55</v>
      </c>
      <c r="BY337">
        <v>93.4</v>
      </c>
      <c r="BZ337">
        <v>53.2</v>
      </c>
      <c r="CA337">
        <v>14.27</v>
      </c>
      <c r="CB337">
        <v>12.85</v>
      </c>
      <c r="CC337">
        <v>14.1</v>
      </c>
      <c r="CD337">
        <v>0.96</v>
      </c>
      <c r="CE337">
        <v>4.7300000000000004</v>
      </c>
      <c r="CF337">
        <v>174.9</v>
      </c>
      <c r="CG337">
        <v>19.8</v>
      </c>
      <c r="CH337">
        <v>523</v>
      </c>
      <c r="CI337">
        <v>8.92</v>
      </c>
      <c r="CJ337">
        <v>62.8</v>
      </c>
      <c r="CK337">
        <v>0</v>
      </c>
      <c r="CL337" s="42" t="str">
        <f t="shared" si="61"/>
        <v>1</v>
      </c>
      <c r="CM337" s="4">
        <v>0</v>
      </c>
      <c r="CN337" s="4">
        <f t="shared" si="60"/>
        <v>1.6266666666666665</v>
      </c>
      <c r="CO337">
        <v>4</v>
      </c>
      <c r="CP337" s="42" t="str">
        <f t="shared" si="62"/>
        <v>1</v>
      </c>
      <c r="CQ337" s="4">
        <v>81.333333333333329</v>
      </c>
      <c r="CR337" s="4">
        <v>2.7012345679012344</v>
      </c>
      <c r="CS337" s="43" t="str">
        <f t="shared" si="63"/>
        <v>1</v>
      </c>
      <c r="CT337" s="4">
        <f t="shared" si="64"/>
        <v>81.333333333333329</v>
      </c>
      <c r="CU337" s="4">
        <f t="shared" si="65"/>
        <v>4.3279012345679009</v>
      </c>
      <c r="CV337" s="4">
        <v>4</v>
      </c>
    </row>
    <row r="338" spans="1:100" x14ac:dyDescent="0.3">
      <c r="A338" s="8" t="s">
        <v>248</v>
      </c>
      <c r="B338" s="18">
        <v>1</v>
      </c>
      <c r="C338">
        <v>50</v>
      </c>
      <c r="D338">
        <v>3</v>
      </c>
      <c r="E338">
        <v>0</v>
      </c>
      <c r="F338">
        <v>1</v>
      </c>
      <c r="G338">
        <v>0</v>
      </c>
      <c r="H338">
        <v>0</v>
      </c>
      <c r="I338">
        <v>1</v>
      </c>
      <c r="J338">
        <v>63.3</v>
      </c>
      <c r="K338">
        <v>1.6</v>
      </c>
      <c r="L338">
        <f t="shared" si="58"/>
        <v>160</v>
      </c>
      <c r="M338" s="82">
        <v>22.028399999999998</v>
      </c>
      <c r="N338" s="4">
        <v>38.799999999999997</v>
      </c>
      <c r="O338" s="4">
        <v>34.799999999999997</v>
      </c>
      <c r="P338" s="39">
        <v>1</v>
      </c>
      <c r="Q338">
        <v>88.5</v>
      </c>
      <c r="R338" s="40">
        <v>1</v>
      </c>
      <c r="S338">
        <v>99</v>
      </c>
      <c r="T338" s="5">
        <v>0.89393939393939392</v>
      </c>
      <c r="U338" s="39">
        <v>1</v>
      </c>
      <c r="V338" s="4">
        <v>24.726562499999993</v>
      </c>
      <c r="W338" s="37">
        <v>1</v>
      </c>
      <c r="X338" s="4">
        <v>7</v>
      </c>
      <c r="Y338" s="40">
        <v>0</v>
      </c>
      <c r="Z338" s="5">
        <v>6.8079999999999998</v>
      </c>
      <c r="AA338" s="5">
        <v>1.5976106666666667</v>
      </c>
      <c r="AB338" s="85">
        <v>0</v>
      </c>
      <c r="AC338" s="5">
        <v>5.28</v>
      </c>
      <c r="AD338" s="37">
        <v>0</v>
      </c>
      <c r="AE338">
        <v>12.2</v>
      </c>
      <c r="AF338" s="5">
        <v>7.51</v>
      </c>
      <c r="AG338" s="37">
        <v>1</v>
      </c>
      <c r="AH338" s="5">
        <v>1.61</v>
      </c>
      <c r="AI338" s="1">
        <v>1</v>
      </c>
      <c r="AJ338" s="13">
        <v>5.46</v>
      </c>
      <c r="AK338" s="1">
        <v>0</v>
      </c>
      <c r="AL338" s="13">
        <v>1.32</v>
      </c>
      <c r="AM338" s="1">
        <v>0</v>
      </c>
      <c r="AN338" s="82">
        <f t="shared" si="59"/>
        <v>5.6893939393939386</v>
      </c>
      <c r="AO338" s="1">
        <v>1</v>
      </c>
      <c r="AP338">
        <v>125</v>
      </c>
      <c r="AQ338" s="37">
        <v>0</v>
      </c>
      <c r="AR338">
        <v>77</v>
      </c>
      <c r="AS338" s="37">
        <v>0</v>
      </c>
      <c r="AT338">
        <v>90</v>
      </c>
      <c r="AU338">
        <v>48</v>
      </c>
      <c r="AV338">
        <v>7.3</v>
      </c>
      <c r="AW338">
        <v>1</v>
      </c>
      <c r="AX338">
        <v>1638</v>
      </c>
      <c r="AY338">
        <v>48.1</v>
      </c>
      <c r="AZ338">
        <v>29.2</v>
      </c>
      <c r="BA338">
        <v>314.7</v>
      </c>
      <c r="BB338">
        <v>5.2</v>
      </c>
      <c r="BC338">
        <v>259.60000000000002</v>
      </c>
      <c r="BD338">
        <v>44.1</v>
      </c>
      <c r="BE338">
        <v>37.4</v>
      </c>
      <c r="BF338">
        <v>103.1</v>
      </c>
      <c r="BG338">
        <v>16</v>
      </c>
      <c r="BH338">
        <v>11.7</v>
      </c>
      <c r="BI338">
        <v>72</v>
      </c>
      <c r="BJ338">
        <v>10.7</v>
      </c>
      <c r="BK338">
        <v>8.6</v>
      </c>
      <c r="BL338">
        <v>19.5</v>
      </c>
      <c r="BM338">
        <v>3.1</v>
      </c>
      <c r="BN338">
        <v>2.7</v>
      </c>
      <c r="BO338">
        <v>1.88</v>
      </c>
      <c r="BP338">
        <v>0.19</v>
      </c>
      <c r="BQ338">
        <v>0</v>
      </c>
      <c r="BR338">
        <v>393</v>
      </c>
      <c r="BS338">
        <v>173.9</v>
      </c>
      <c r="BT338">
        <v>2480</v>
      </c>
      <c r="BU338">
        <v>1503</v>
      </c>
      <c r="BV338">
        <v>9.4700000000000006</v>
      </c>
      <c r="BW338">
        <v>7.46</v>
      </c>
      <c r="BX338">
        <v>1.23</v>
      </c>
      <c r="BY338">
        <v>87.9</v>
      </c>
      <c r="BZ338">
        <v>45.9</v>
      </c>
      <c r="CA338">
        <v>7.06</v>
      </c>
      <c r="CB338">
        <v>6.07</v>
      </c>
      <c r="CC338">
        <v>12.1</v>
      </c>
      <c r="CD338">
        <v>0.78</v>
      </c>
      <c r="CE338">
        <v>2.15</v>
      </c>
      <c r="CF338">
        <v>129.9</v>
      </c>
      <c r="CG338">
        <v>37.200000000000003</v>
      </c>
      <c r="CH338">
        <v>308</v>
      </c>
      <c r="CI338">
        <v>5.87</v>
      </c>
      <c r="CJ338">
        <v>1</v>
      </c>
      <c r="CK338">
        <v>0</v>
      </c>
      <c r="CL338" s="42" t="str">
        <f t="shared" si="61"/>
        <v>1</v>
      </c>
      <c r="CM338" s="4">
        <v>0</v>
      </c>
      <c r="CN338" s="4">
        <f t="shared" si="60"/>
        <v>1.5466666666666666</v>
      </c>
      <c r="CO338">
        <v>4</v>
      </c>
      <c r="CP338" s="42" t="str">
        <f t="shared" si="62"/>
        <v>1</v>
      </c>
      <c r="CQ338" s="4">
        <v>77.333333333333329</v>
      </c>
      <c r="CR338" s="4">
        <v>2.5185185185185186</v>
      </c>
      <c r="CS338" s="43" t="str">
        <f t="shared" si="63"/>
        <v>1</v>
      </c>
      <c r="CT338" s="4">
        <f t="shared" si="64"/>
        <v>77.333333333333329</v>
      </c>
      <c r="CU338" s="4">
        <f t="shared" si="65"/>
        <v>4.065185185185185</v>
      </c>
      <c r="CV338" s="4">
        <v>4</v>
      </c>
    </row>
    <row r="339" spans="1:100" x14ac:dyDescent="0.3">
      <c r="A339" s="8" t="s">
        <v>247</v>
      </c>
      <c r="B339" s="18">
        <v>1</v>
      </c>
      <c r="C339">
        <v>51</v>
      </c>
      <c r="D339">
        <v>3</v>
      </c>
      <c r="E339">
        <v>0</v>
      </c>
      <c r="F339">
        <v>1</v>
      </c>
      <c r="G339">
        <v>0</v>
      </c>
      <c r="H339">
        <v>0</v>
      </c>
      <c r="I339">
        <v>1</v>
      </c>
      <c r="J339">
        <v>58</v>
      </c>
      <c r="K339">
        <v>1.43</v>
      </c>
      <c r="L339">
        <f t="shared" si="58"/>
        <v>143</v>
      </c>
      <c r="M339" s="82">
        <v>23.896000000000004</v>
      </c>
      <c r="N339" s="4">
        <v>32.299999999999997</v>
      </c>
      <c r="O339" s="4">
        <v>41.2</v>
      </c>
      <c r="P339" s="39">
        <v>1</v>
      </c>
      <c r="Q339">
        <v>89.5</v>
      </c>
      <c r="R339" s="40">
        <v>1</v>
      </c>
      <c r="S339">
        <v>97.9</v>
      </c>
      <c r="T339" s="5">
        <v>0.91419816138917254</v>
      </c>
      <c r="U339" s="39">
        <v>1</v>
      </c>
      <c r="V339" s="4">
        <v>28.363245146461935</v>
      </c>
      <c r="W339" s="37">
        <v>1</v>
      </c>
      <c r="X339" s="4">
        <v>9</v>
      </c>
      <c r="Y339" s="40">
        <v>0</v>
      </c>
      <c r="Z339" s="5">
        <v>13.872999999999999</v>
      </c>
      <c r="AA339" s="5">
        <v>2.7869315555555549</v>
      </c>
      <c r="AB339" s="85">
        <v>0</v>
      </c>
      <c r="AC339" s="5">
        <v>4.5199999999999996</v>
      </c>
      <c r="AD339" s="37">
        <v>0</v>
      </c>
      <c r="AE339">
        <v>16.18</v>
      </c>
      <c r="AF339" s="5">
        <v>7.41</v>
      </c>
      <c r="AG339" s="37">
        <v>1</v>
      </c>
      <c r="AH339" s="5">
        <v>2.02</v>
      </c>
      <c r="AI339" s="1">
        <v>1</v>
      </c>
      <c r="AJ339" s="13">
        <v>5.36</v>
      </c>
      <c r="AK339" s="1">
        <v>1</v>
      </c>
      <c r="AL339" s="13">
        <v>1.1299999999999999</v>
      </c>
      <c r="AM339" s="1">
        <v>1</v>
      </c>
      <c r="AN339" s="82">
        <f t="shared" si="59"/>
        <v>6.557522123893806</v>
      </c>
      <c r="AO339" s="1">
        <v>1</v>
      </c>
      <c r="AP339">
        <v>147</v>
      </c>
      <c r="AQ339" s="37">
        <v>1</v>
      </c>
      <c r="AR339">
        <v>74</v>
      </c>
      <c r="AS339" s="37">
        <v>0</v>
      </c>
      <c r="AT339">
        <v>90</v>
      </c>
      <c r="AU339">
        <v>73</v>
      </c>
      <c r="AV339">
        <v>8.3000000000000007</v>
      </c>
      <c r="AW339">
        <v>0</v>
      </c>
      <c r="AX339">
        <v>1163</v>
      </c>
      <c r="AY339">
        <v>43.2</v>
      </c>
      <c r="AZ339">
        <v>13.9</v>
      </c>
      <c r="BA339">
        <v>230</v>
      </c>
      <c r="BB339">
        <v>3.5</v>
      </c>
      <c r="BC339">
        <v>206.8</v>
      </c>
      <c r="BD339">
        <v>19</v>
      </c>
      <c r="BE339">
        <v>10.199999999999999</v>
      </c>
      <c r="BF339">
        <v>57.1</v>
      </c>
      <c r="BG339">
        <v>10.8</v>
      </c>
      <c r="BH339">
        <v>14.9</v>
      </c>
      <c r="BI339">
        <v>74.2</v>
      </c>
      <c r="BJ339">
        <v>6.4</v>
      </c>
      <c r="BK339">
        <v>3.3</v>
      </c>
      <c r="BL339">
        <v>8.3000000000000007</v>
      </c>
      <c r="BM339">
        <v>2.2999999999999998</v>
      </c>
      <c r="BN339">
        <v>1.5</v>
      </c>
      <c r="BO339">
        <v>1.34</v>
      </c>
      <c r="BP339">
        <v>7.0000000000000007E-2</v>
      </c>
      <c r="BQ339">
        <v>0.15</v>
      </c>
      <c r="BR339">
        <v>257</v>
      </c>
      <c r="BS339">
        <v>109.5</v>
      </c>
      <c r="BT339">
        <v>1853</v>
      </c>
      <c r="BU339">
        <v>1105</v>
      </c>
      <c r="BV339">
        <v>5.66</v>
      </c>
      <c r="BW339">
        <v>4.79</v>
      </c>
      <c r="BX339">
        <v>0.76</v>
      </c>
      <c r="BY339">
        <v>42.1</v>
      </c>
      <c r="BZ339">
        <v>46</v>
      </c>
      <c r="CA339">
        <v>0.44</v>
      </c>
      <c r="CB339">
        <v>0.41</v>
      </c>
      <c r="CC339">
        <v>18.2</v>
      </c>
      <c r="CD339">
        <v>0.95</v>
      </c>
      <c r="CE339">
        <v>1.17</v>
      </c>
      <c r="CF339">
        <v>102.6</v>
      </c>
      <c r="CG339">
        <v>4.9000000000000004</v>
      </c>
      <c r="CH339">
        <v>122</v>
      </c>
      <c r="CI339">
        <v>0.75</v>
      </c>
      <c r="CJ339">
        <v>0.3</v>
      </c>
      <c r="CK339">
        <v>0</v>
      </c>
      <c r="CL339" s="42" t="str">
        <f t="shared" si="61"/>
        <v>1</v>
      </c>
      <c r="CM339" s="4">
        <v>0</v>
      </c>
      <c r="CN339" s="4">
        <f t="shared" si="60"/>
        <v>0.52</v>
      </c>
      <c r="CO339">
        <v>4</v>
      </c>
      <c r="CP339" s="42" t="str">
        <f t="shared" si="62"/>
        <v>1</v>
      </c>
      <c r="CQ339" s="4">
        <v>26</v>
      </c>
      <c r="CR339" s="4">
        <v>0.33333333333333331</v>
      </c>
      <c r="CS339" s="43" t="str">
        <f t="shared" si="63"/>
        <v>1</v>
      </c>
      <c r="CT339" s="4">
        <f t="shared" si="64"/>
        <v>26</v>
      </c>
      <c r="CU339" s="4">
        <f t="shared" si="65"/>
        <v>0.85333333333333328</v>
      </c>
      <c r="CV339" s="4">
        <v>1</v>
      </c>
    </row>
    <row r="340" spans="1:100" x14ac:dyDescent="0.3">
      <c r="A340" s="8" t="s">
        <v>246</v>
      </c>
      <c r="B340" s="18">
        <v>1</v>
      </c>
      <c r="C340">
        <v>36</v>
      </c>
      <c r="D340">
        <v>3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38.799999999999997</v>
      </c>
      <c r="K340">
        <v>1.48</v>
      </c>
      <c r="L340">
        <f t="shared" si="58"/>
        <v>148</v>
      </c>
      <c r="M340" s="82">
        <v>9.1567999999999987</v>
      </c>
      <c r="N340" s="4">
        <v>28.2</v>
      </c>
      <c r="O340" s="4">
        <v>23.6</v>
      </c>
      <c r="P340" s="39">
        <v>0</v>
      </c>
      <c r="Q340">
        <v>62</v>
      </c>
      <c r="R340" s="40">
        <v>0</v>
      </c>
      <c r="S340">
        <v>77.900000000000006</v>
      </c>
      <c r="T340" s="5">
        <v>0.79589216944801022</v>
      </c>
      <c r="U340" s="39">
        <v>0</v>
      </c>
      <c r="V340" s="4">
        <v>17.713659605551499</v>
      </c>
      <c r="W340" s="37">
        <v>0</v>
      </c>
      <c r="X340" s="4">
        <v>1</v>
      </c>
      <c r="Y340" s="40">
        <v>0</v>
      </c>
      <c r="Z340" s="5">
        <v>7.931</v>
      </c>
      <c r="AA340" s="5">
        <v>1.4980777777777778</v>
      </c>
      <c r="AB340" s="85">
        <v>0</v>
      </c>
      <c r="AC340" s="5">
        <v>4.25</v>
      </c>
      <c r="AD340" s="37">
        <v>0</v>
      </c>
      <c r="AE340">
        <v>53.17</v>
      </c>
      <c r="AF340" s="5">
        <v>4.6900000000000004</v>
      </c>
      <c r="AG340" s="37">
        <v>0</v>
      </c>
      <c r="AH340" s="5">
        <v>1.18</v>
      </c>
      <c r="AI340" s="1">
        <v>0</v>
      </c>
      <c r="AJ340" s="13">
        <v>2.84</v>
      </c>
      <c r="AK340" s="1">
        <v>0</v>
      </c>
      <c r="AL340" s="13">
        <v>1.32</v>
      </c>
      <c r="AM340" s="1">
        <v>0</v>
      </c>
      <c r="AN340" s="82">
        <f t="shared" si="59"/>
        <v>3.5530303030303032</v>
      </c>
      <c r="AO340" s="1">
        <v>0</v>
      </c>
      <c r="AP340">
        <v>95</v>
      </c>
      <c r="AQ340" s="37">
        <v>0</v>
      </c>
      <c r="AR340">
        <v>62</v>
      </c>
      <c r="AS340" s="37">
        <v>0</v>
      </c>
      <c r="AT340">
        <v>86</v>
      </c>
      <c r="AU340">
        <v>33</v>
      </c>
      <c r="AV340">
        <v>4.9000000000000004</v>
      </c>
      <c r="AW340">
        <v>1</v>
      </c>
      <c r="AX340">
        <v>1298</v>
      </c>
      <c r="AY340">
        <v>40.4</v>
      </c>
      <c r="AZ340">
        <v>31.3</v>
      </c>
      <c r="BA340">
        <v>228.3</v>
      </c>
      <c r="BB340">
        <v>9.6999999999999993</v>
      </c>
      <c r="BC340">
        <v>189.4</v>
      </c>
      <c r="BD340">
        <v>30.5</v>
      </c>
      <c r="BE340">
        <v>16.899999999999999</v>
      </c>
      <c r="BF340">
        <v>26.2</v>
      </c>
      <c r="BG340">
        <v>21.7</v>
      </c>
      <c r="BH340">
        <v>12.4</v>
      </c>
      <c r="BI340">
        <v>65.900000000000006</v>
      </c>
      <c r="BJ340">
        <v>13.2</v>
      </c>
      <c r="BK340">
        <v>4.9000000000000004</v>
      </c>
      <c r="BL340">
        <v>19</v>
      </c>
      <c r="BM340">
        <v>2.9</v>
      </c>
      <c r="BN340">
        <v>2.6</v>
      </c>
      <c r="BO340">
        <v>1.99</v>
      </c>
      <c r="BP340">
        <v>0.4</v>
      </c>
      <c r="BQ340">
        <v>0.13</v>
      </c>
      <c r="BR340">
        <v>424</v>
      </c>
      <c r="BS340">
        <v>131.69999999999999</v>
      </c>
      <c r="BT340">
        <v>2407</v>
      </c>
      <c r="BU340">
        <v>1017</v>
      </c>
      <c r="BV340">
        <v>7.5</v>
      </c>
      <c r="BW340">
        <v>3.29</v>
      </c>
      <c r="BX340">
        <v>0.93</v>
      </c>
      <c r="BY340">
        <v>63.5</v>
      </c>
      <c r="BZ340">
        <v>30</v>
      </c>
      <c r="CA340">
        <v>4.62</v>
      </c>
      <c r="CB340">
        <v>4.46</v>
      </c>
      <c r="CC340">
        <v>11.7</v>
      </c>
      <c r="CD340">
        <v>0.46</v>
      </c>
      <c r="CE340">
        <v>2.0699999999999998</v>
      </c>
      <c r="CF340">
        <v>133.9</v>
      </c>
      <c r="CG340">
        <v>17.399999999999999</v>
      </c>
      <c r="CH340">
        <v>311</v>
      </c>
      <c r="CI340">
        <v>2.35</v>
      </c>
      <c r="CJ340">
        <v>16.100000000000001</v>
      </c>
      <c r="CK340">
        <v>1</v>
      </c>
      <c r="CL340" s="42" t="str">
        <f t="shared" si="61"/>
        <v>1</v>
      </c>
      <c r="CM340" s="4">
        <v>13.333333333333334</v>
      </c>
      <c r="CN340" s="4">
        <f t="shared" si="60"/>
        <v>0.7</v>
      </c>
      <c r="CO340">
        <v>3</v>
      </c>
      <c r="CP340" s="42" t="str">
        <f t="shared" si="62"/>
        <v>1</v>
      </c>
      <c r="CQ340" s="4">
        <v>35</v>
      </c>
      <c r="CR340" s="4">
        <v>1.2617283950617284</v>
      </c>
      <c r="CS340" s="43" t="str">
        <f t="shared" si="63"/>
        <v>1</v>
      </c>
      <c r="CT340" s="4">
        <f t="shared" si="64"/>
        <v>48.333333333333336</v>
      </c>
      <c r="CU340" s="4">
        <f t="shared" si="65"/>
        <v>1.9617283950617284</v>
      </c>
      <c r="CV340" s="4">
        <v>2</v>
      </c>
    </row>
    <row r="341" spans="1:100" x14ac:dyDescent="0.3">
      <c r="A341" s="8" t="s">
        <v>245</v>
      </c>
      <c r="B341" s="18">
        <v>1</v>
      </c>
      <c r="C341">
        <v>45</v>
      </c>
      <c r="D341">
        <v>3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36.200000000000003</v>
      </c>
      <c r="K341">
        <v>1.37</v>
      </c>
      <c r="L341">
        <f t="shared" si="58"/>
        <v>137</v>
      </c>
      <c r="M341" s="82">
        <v>10.8238</v>
      </c>
      <c r="N341" s="4">
        <v>24.3</v>
      </c>
      <c r="O341" s="4">
        <v>29.9</v>
      </c>
      <c r="P341" s="39">
        <v>0</v>
      </c>
      <c r="Q341">
        <v>68.8</v>
      </c>
      <c r="R341" s="40">
        <v>0</v>
      </c>
      <c r="S341">
        <v>83</v>
      </c>
      <c r="T341" s="5">
        <v>0.82891566265060235</v>
      </c>
      <c r="U341" s="39">
        <v>0</v>
      </c>
      <c r="V341" s="4">
        <v>19.287122382652246</v>
      </c>
      <c r="W341" s="37">
        <v>0</v>
      </c>
      <c r="X341" s="4">
        <v>3</v>
      </c>
      <c r="Y341" s="40">
        <v>0</v>
      </c>
      <c r="Z341" s="5">
        <v>5.4649999999999999</v>
      </c>
      <c r="AA341" s="5">
        <v>0.97398444444444432</v>
      </c>
      <c r="AB341" s="85">
        <v>0</v>
      </c>
      <c r="AC341" s="5">
        <v>4.01</v>
      </c>
      <c r="AD341" s="37">
        <v>0</v>
      </c>
      <c r="AE341">
        <v>15.38</v>
      </c>
      <c r="AF341" s="5">
        <v>5.24</v>
      </c>
      <c r="AG341" s="37">
        <v>1</v>
      </c>
      <c r="AH341" s="5">
        <v>1.05</v>
      </c>
      <c r="AI341" s="1">
        <v>1</v>
      </c>
      <c r="AJ341" s="13">
        <v>3.68</v>
      </c>
      <c r="AK341" s="1">
        <v>1</v>
      </c>
      <c r="AL341" s="13">
        <v>1.08</v>
      </c>
      <c r="AM341" s="1">
        <v>1</v>
      </c>
      <c r="AN341" s="82">
        <f t="shared" si="59"/>
        <v>4.8518518518518521</v>
      </c>
      <c r="AO341" s="1">
        <v>1</v>
      </c>
      <c r="AP341">
        <v>108</v>
      </c>
      <c r="AQ341" s="37">
        <v>0</v>
      </c>
      <c r="AR341">
        <v>75</v>
      </c>
      <c r="AS341" s="37">
        <v>0</v>
      </c>
      <c r="AT341">
        <v>73</v>
      </c>
      <c r="AU341">
        <v>33</v>
      </c>
      <c r="AV341">
        <v>6.1</v>
      </c>
      <c r="AW341">
        <v>1</v>
      </c>
      <c r="AX341">
        <v>1124</v>
      </c>
      <c r="AY341">
        <v>39</v>
      </c>
      <c r="AZ341">
        <v>22.4</v>
      </c>
      <c r="BA341">
        <v>204</v>
      </c>
      <c r="BB341">
        <v>4.5</v>
      </c>
      <c r="BC341">
        <v>179.2</v>
      </c>
      <c r="BD341">
        <v>19.3</v>
      </c>
      <c r="BE341">
        <v>8.4</v>
      </c>
      <c r="BF341">
        <v>94.1</v>
      </c>
      <c r="BG341">
        <v>17.899999999999999</v>
      </c>
      <c r="BH341">
        <v>13.9</v>
      </c>
      <c r="BI341">
        <v>68.099999999999994</v>
      </c>
      <c r="BJ341">
        <v>11.9</v>
      </c>
      <c r="BK341">
        <v>2.8</v>
      </c>
      <c r="BL341">
        <v>14.8</v>
      </c>
      <c r="BM341">
        <v>3</v>
      </c>
      <c r="BN341">
        <v>1.9</v>
      </c>
      <c r="BO341">
        <v>1.61</v>
      </c>
      <c r="BP341">
        <v>0.11</v>
      </c>
      <c r="BQ341">
        <v>0.2</v>
      </c>
      <c r="BR341">
        <v>373</v>
      </c>
      <c r="BS341">
        <v>116</v>
      </c>
      <c r="BT341">
        <v>2074</v>
      </c>
      <c r="BU341">
        <v>1008</v>
      </c>
      <c r="BV341">
        <v>6.11</v>
      </c>
      <c r="BW341">
        <v>4.43</v>
      </c>
      <c r="BX341">
        <v>0.88</v>
      </c>
      <c r="BY341">
        <v>64.7</v>
      </c>
      <c r="BZ341">
        <v>52.6</v>
      </c>
      <c r="CA341">
        <v>0.49</v>
      </c>
      <c r="CB341">
        <v>0.46</v>
      </c>
      <c r="CC341">
        <v>12.9</v>
      </c>
      <c r="CD341">
        <v>0.65</v>
      </c>
      <c r="CE341">
        <v>1.53</v>
      </c>
      <c r="CF341">
        <v>113.5</v>
      </c>
      <c r="CG341">
        <v>4.0999999999999996</v>
      </c>
      <c r="CH341">
        <v>173</v>
      </c>
      <c r="CI341">
        <v>0.81</v>
      </c>
      <c r="CJ341">
        <v>0.7</v>
      </c>
      <c r="CK341">
        <v>0</v>
      </c>
      <c r="CL341" s="42" t="str">
        <f t="shared" si="61"/>
        <v>1</v>
      </c>
      <c r="CM341" s="4">
        <v>0</v>
      </c>
      <c r="CN341" s="4">
        <f t="shared" si="60"/>
        <v>0.34</v>
      </c>
      <c r="CO341">
        <v>3</v>
      </c>
      <c r="CP341" s="42" t="str">
        <f t="shared" si="62"/>
        <v>1</v>
      </c>
      <c r="CQ341" s="4">
        <v>17</v>
      </c>
      <c r="CR341" s="4">
        <v>0.85802469135802473</v>
      </c>
      <c r="CS341" s="43" t="str">
        <f t="shared" si="63"/>
        <v>1</v>
      </c>
      <c r="CT341" s="4">
        <f t="shared" si="64"/>
        <v>17</v>
      </c>
      <c r="CU341" s="4">
        <f t="shared" si="65"/>
        <v>1.1980246913580248</v>
      </c>
      <c r="CV341" s="4">
        <v>1</v>
      </c>
    </row>
    <row r="342" spans="1:100" x14ac:dyDescent="0.3">
      <c r="A342" s="8" t="s">
        <v>244</v>
      </c>
      <c r="B342" s="18">
        <v>1</v>
      </c>
      <c r="C342">
        <v>43</v>
      </c>
      <c r="D342">
        <v>3</v>
      </c>
      <c r="E342">
        <v>0</v>
      </c>
      <c r="F342">
        <v>1</v>
      </c>
      <c r="G342">
        <v>0</v>
      </c>
      <c r="H342">
        <v>0</v>
      </c>
      <c r="I342">
        <v>1</v>
      </c>
      <c r="J342">
        <v>59.5</v>
      </c>
      <c r="K342">
        <v>1.47</v>
      </c>
      <c r="L342">
        <f t="shared" si="58"/>
        <v>147</v>
      </c>
      <c r="M342" s="82">
        <v>23.859500000000004</v>
      </c>
      <c r="N342" s="4">
        <v>33.6</v>
      </c>
      <c r="O342" s="4">
        <v>40.1</v>
      </c>
      <c r="P342" s="39">
        <v>1</v>
      </c>
      <c r="Q342">
        <v>87</v>
      </c>
      <c r="R342" s="40">
        <v>1</v>
      </c>
      <c r="S342">
        <v>98.8</v>
      </c>
      <c r="T342" s="5">
        <v>0.88056680161943324</v>
      </c>
      <c r="U342" s="39">
        <v>1</v>
      </c>
      <c r="V342" s="4">
        <v>27.534823453190803</v>
      </c>
      <c r="W342" s="37">
        <v>1</v>
      </c>
      <c r="X342" s="4">
        <v>8</v>
      </c>
      <c r="Y342" s="40">
        <v>0</v>
      </c>
      <c r="Z342" s="5">
        <v>6.93</v>
      </c>
      <c r="AA342" s="5">
        <v>1.4876399999999999</v>
      </c>
      <c r="AB342" s="85">
        <v>0</v>
      </c>
      <c r="AC342" s="5">
        <v>4.83</v>
      </c>
      <c r="AD342" s="37">
        <v>0</v>
      </c>
      <c r="AE342">
        <v>5.65</v>
      </c>
      <c r="AF342" s="5">
        <v>5.04</v>
      </c>
      <c r="AG342" s="37">
        <v>1</v>
      </c>
      <c r="AH342" s="5">
        <v>0.81</v>
      </c>
      <c r="AI342" s="1">
        <v>1</v>
      </c>
      <c r="AJ342" s="13">
        <v>3.6</v>
      </c>
      <c r="AK342" s="1">
        <v>1</v>
      </c>
      <c r="AL342" s="13">
        <v>1.07</v>
      </c>
      <c r="AM342" s="1">
        <v>1</v>
      </c>
      <c r="AN342" s="82">
        <f t="shared" si="59"/>
        <v>4.7102803738317753</v>
      </c>
      <c r="AO342" s="1">
        <v>1</v>
      </c>
      <c r="AP342">
        <v>118</v>
      </c>
      <c r="AQ342" s="37">
        <v>0</v>
      </c>
      <c r="AR342">
        <v>79</v>
      </c>
      <c r="AS342" s="37">
        <v>0</v>
      </c>
      <c r="AT342">
        <v>90</v>
      </c>
      <c r="AU342">
        <v>40</v>
      </c>
      <c r="AV342">
        <v>6.2</v>
      </c>
      <c r="AW342">
        <v>1</v>
      </c>
      <c r="AX342">
        <v>871</v>
      </c>
      <c r="AY342">
        <v>28.4</v>
      </c>
      <c r="AZ342">
        <v>17.899999999999999</v>
      </c>
      <c r="BA342">
        <v>158.9</v>
      </c>
      <c r="BB342">
        <v>6.3</v>
      </c>
      <c r="BC342">
        <v>137.80000000000001</v>
      </c>
      <c r="BD342">
        <v>15.3</v>
      </c>
      <c r="BE342">
        <v>11.2</v>
      </c>
      <c r="BF342">
        <v>15.9</v>
      </c>
      <c r="BG342">
        <v>18.5</v>
      </c>
      <c r="BH342">
        <v>13.1</v>
      </c>
      <c r="BI342">
        <v>68.400000000000006</v>
      </c>
      <c r="BJ342">
        <v>10.3</v>
      </c>
      <c r="BK342">
        <v>4.8</v>
      </c>
      <c r="BL342">
        <v>10</v>
      </c>
      <c r="BM342">
        <v>1.2</v>
      </c>
      <c r="BN342">
        <v>0.8</v>
      </c>
      <c r="BO342">
        <v>0.47</v>
      </c>
      <c r="BP342">
        <v>0.25</v>
      </c>
      <c r="BQ342">
        <v>0</v>
      </c>
      <c r="BR342">
        <v>178</v>
      </c>
      <c r="BS342">
        <v>73.599999999999994</v>
      </c>
      <c r="BT342">
        <v>1666</v>
      </c>
      <c r="BU342">
        <v>653</v>
      </c>
      <c r="BV342">
        <v>4.3499999999999996</v>
      </c>
      <c r="BW342">
        <v>1.64</v>
      </c>
      <c r="BX342">
        <v>0.43</v>
      </c>
      <c r="BY342">
        <v>13.8</v>
      </c>
      <c r="BZ342">
        <v>8.4</v>
      </c>
      <c r="CA342">
        <v>7.85</v>
      </c>
      <c r="CB342">
        <v>7.68</v>
      </c>
      <c r="CC342">
        <v>8.3000000000000007</v>
      </c>
      <c r="CD342">
        <v>0.44</v>
      </c>
      <c r="CE342">
        <v>1.92</v>
      </c>
      <c r="CF342">
        <v>55.5</v>
      </c>
      <c r="CG342">
        <v>10.6</v>
      </c>
      <c r="CH342">
        <v>198</v>
      </c>
      <c r="CI342">
        <v>3.1</v>
      </c>
      <c r="CJ342">
        <v>31.2</v>
      </c>
      <c r="CK342">
        <v>0</v>
      </c>
      <c r="CL342" s="42" t="str">
        <f t="shared" si="61"/>
        <v>1</v>
      </c>
      <c r="CM342" s="4">
        <v>0</v>
      </c>
      <c r="CN342" s="4">
        <f t="shared" si="60"/>
        <v>1.62</v>
      </c>
      <c r="CO342">
        <v>3</v>
      </c>
      <c r="CP342" s="42" t="str">
        <f t="shared" si="62"/>
        <v>1</v>
      </c>
      <c r="CQ342" s="4">
        <v>81</v>
      </c>
      <c r="CR342" s="4">
        <v>2.659259259259259</v>
      </c>
      <c r="CS342" s="43" t="str">
        <f t="shared" si="63"/>
        <v>1</v>
      </c>
      <c r="CT342" s="4">
        <f t="shared" si="64"/>
        <v>81</v>
      </c>
      <c r="CU342" s="4">
        <f t="shared" si="65"/>
        <v>4.2792592592592591</v>
      </c>
      <c r="CV342" s="4">
        <v>4</v>
      </c>
    </row>
    <row r="343" spans="1:100" x14ac:dyDescent="0.3">
      <c r="A343" s="8" t="s">
        <v>243</v>
      </c>
      <c r="B343" s="18">
        <v>1</v>
      </c>
      <c r="C343">
        <v>38</v>
      </c>
      <c r="D343">
        <v>3</v>
      </c>
      <c r="E343">
        <v>0</v>
      </c>
      <c r="F343">
        <v>1</v>
      </c>
      <c r="G343">
        <v>0</v>
      </c>
      <c r="H343">
        <v>0</v>
      </c>
      <c r="I343">
        <v>1</v>
      </c>
      <c r="J343">
        <v>40.299999999999997</v>
      </c>
      <c r="K343">
        <v>1.512</v>
      </c>
      <c r="L343">
        <f t="shared" si="58"/>
        <v>151.19999999999999</v>
      </c>
      <c r="M343" s="82">
        <v>10.5183</v>
      </c>
      <c r="N343" s="4">
        <v>28.3</v>
      </c>
      <c r="O343" s="4">
        <v>26.1</v>
      </c>
      <c r="P343" s="39">
        <v>0</v>
      </c>
      <c r="Q343">
        <v>68</v>
      </c>
      <c r="R343" s="40">
        <v>0</v>
      </c>
      <c r="S343">
        <v>80.7</v>
      </c>
      <c r="T343" s="5">
        <v>0.84262701363073111</v>
      </c>
      <c r="U343" s="39">
        <v>0</v>
      </c>
      <c r="V343" s="4">
        <v>17.627935948041767</v>
      </c>
      <c r="W343" s="37">
        <v>0</v>
      </c>
      <c r="X343" s="4">
        <v>2</v>
      </c>
      <c r="Y343" s="40">
        <v>0</v>
      </c>
      <c r="Z343" s="5">
        <v>7.3449999999999998</v>
      </c>
      <c r="AA343" s="5">
        <v>1.3220999999999998</v>
      </c>
      <c r="AB343" s="85">
        <v>0</v>
      </c>
      <c r="AC343" s="5">
        <v>4.05</v>
      </c>
      <c r="AD343" s="37">
        <v>0</v>
      </c>
      <c r="AE343" s="21">
        <v>3</v>
      </c>
      <c r="AF343" s="5">
        <v>4.9400000000000004</v>
      </c>
      <c r="AG343" s="37">
        <v>0</v>
      </c>
      <c r="AH343" s="5">
        <v>0.9</v>
      </c>
      <c r="AI343" s="1">
        <v>0</v>
      </c>
      <c r="AJ343" s="13">
        <v>3.04</v>
      </c>
      <c r="AK343" s="1">
        <v>0</v>
      </c>
      <c r="AL343" s="13">
        <v>1.5</v>
      </c>
      <c r="AM343" s="1">
        <v>0</v>
      </c>
      <c r="AN343" s="82">
        <f t="shared" si="59"/>
        <v>3.2933333333333334</v>
      </c>
      <c r="AO343" s="1">
        <v>0</v>
      </c>
      <c r="AP343">
        <v>117</v>
      </c>
      <c r="AQ343" s="37">
        <v>0</v>
      </c>
      <c r="AR343">
        <v>80</v>
      </c>
      <c r="AS343" s="37">
        <v>0</v>
      </c>
      <c r="AT343">
        <v>90</v>
      </c>
      <c r="AU343">
        <v>37</v>
      </c>
      <c r="AV343">
        <v>5.7</v>
      </c>
      <c r="AW343">
        <v>1</v>
      </c>
      <c r="AX343">
        <v>1561</v>
      </c>
      <c r="AY343">
        <v>46.5</v>
      </c>
      <c r="AZ343">
        <v>45.1</v>
      </c>
      <c r="BA343">
        <v>258.10000000000002</v>
      </c>
      <c r="BB343">
        <v>12</v>
      </c>
      <c r="BC343">
        <v>224.6</v>
      </c>
      <c r="BD343">
        <v>25.8</v>
      </c>
      <c r="BE343">
        <v>13.3</v>
      </c>
      <c r="BF343">
        <v>42.7</v>
      </c>
      <c r="BG343">
        <v>26</v>
      </c>
      <c r="BH343">
        <v>11.9</v>
      </c>
      <c r="BI343">
        <v>62</v>
      </c>
      <c r="BJ343">
        <v>16.7</v>
      </c>
      <c r="BK343">
        <v>3.2</v>
      </c>
      <c r="BL343">
        <v>28.9</v>
      </c>
      <c r="BM343">
        <v>5</v>
      </c>
      <c r="BN343">
        <v>3.5</v>
      </c>
      <c r="BO343">
        <v>2.98</v>
      </c>
      <c r="BP343">
        <v>0.48</v>
      </c>
      <c r="BQ343">
        <v>0.06</v>
      </c>
      <c r="BR343">
        <v>330</v>
      </c>
      <c r="BS343">
        <v>138.9</v>
      </c>
      <c r="BT343">
        <v>2965</v>
      </c>
      <c r="BU343">
        <v>1189</v>
      </c>
      <c r="BV343">
        <v>8.9</v>
      </c>
      <c r="BW343">
        <v>4.4000000000000004</v>
      </c>
      <c r="BX343">
        <v>1.06</v>
      </c>
      <c r="BY343">
        <v>58.6</v>
      </c>
      <c r="BZ343">
        <v>22.8</v>
      </c>
      <c r="CA343">
        <v>11.21</v>
      </c>
      <c r="CB343">
        <v>10.15</v>
      </c>
      <c r="CC343">
        <v>13.1</v>
      </c>
      <c r="CD343">
        <v>0.56000000000000005</v>
      </c>
      <c r="CE343">
        <v>1.71</v>
      </c>
      <c r="CF343">
        <v>160.19999999999999</v>
      </c>
      <c r="CG343">
        <v>26</v>
      </c>
      <c r="CH343">
        <v>550</v>
      </c>
      <c r="CI343">
        <v>3.53</v>
      </c>
      <c r="CJ343">
        <v>47.7</v>
      </c>
      <c r="CK343">
        <v>0</v>
      </c>
      <c r="CL343" s="42" t="str">
        <f t="shared" si="61"/>
        <v>1</v>
      </c>
      <c r="CM343" s="4">
        <v>0</v>
      </c>
      <c r="CN343" s="4">
        <f t="shared" si="60"/>
        <v>0.84666666666666668</v>
      </c>
      <c r="CO343">
        <v>3</v>
      </c>
      <c r="CP343" s="42" t="str">
        <f t="shared" si="62"/>
        <v>1</v>
      </c>
      <c r="CQ343" s="4">
        <v>42.333333333333336</v>
      </c>
      <c r="CR343" s="4">
        <v>2.0876543209876544</v>
      </c>
      <c r="CS343" s="43" t="str">
        <f t="shared" si="63"/>
        <v>1</v>
      </c>
      <c r="CT343" s="4">
        <f t="shared" si="64"/>
        <v>42.333333333333336</v>
      </c>
      <c r="CU343" s="4">
        <f t="shared" si="65"/>
        <v>2.934320987654321</v>
      </c>
      <c r="CV343" s="4">
        <v>2</v>
      </c>
    </row>
    <row r="344" spans="1:100" x14ac:dyDescent="0.3">
      <c r="A344" s="8" t="s">
        <v>242</v>
      </c>
      <c r="B344" s="18">
        <v>1</v>
      </c>
      <c r="C344">
        <v>29</v>
      </c>
      <c r="D344">
        <v>3</v>
      </c>
      <c r="E344">
        <v>1</v>
      </c>
      <c r="F344">
        <v>1</v>
      </c>
      <c r="G344">
        <v>0</v>
      </c>
      <c r="H344">
        <v>0</v>
      </c>
      <c r="I344">
        <v>1</v>
      </c>
      <c r="J344">
        <v>55.7</v>
      </c>
      <c r="K344">
        <v>1.5309999999999999</v>
      </c>
      <c r="L344">
        <f t="shared" si="58"/>
        <v>153.1</v>
      </c>
      <c r="M344" s="82">
        <v>18.158200000000001</v>
      </c>
      <c r="N344" s="4">
        <v>35.4</v>
      </c>
      <c r="O344" s="4">
        <v>32.6</v>
      </c>
      <c r="P344" s="39">
        <v>0</v>
      </c>
      <c r="Q344">
        <v>78.8</v>
      </c>
      <c r="R344" s="40">
        <v>0</v>
      </c>
      <c r="S344">
        <v>89.4</v>
      </c>
      <c r="T344" s="5">
        <v>0.88143176733780748</v>
      </c>
      <c r="U344" s="39">
        <v>1</v>
      </c>
      <c r="V344" s="4">
        <v>23.763194012187068</v>
      </c>
      <c r="W344" s="37">
        <v>1</v>
      </c>
      <c r="X344" s="4">
        <v>5</v>
      </c>
      <c r="Y344" s="40">
        <v>0</v>
      </c>
      <c r="Z344" s="5">
        <v>12.784000000000001</v>
      </c>
      <c r="AA344" s="5">
        <v>2.5852088888888889</v>
      </c>
      <c r="AB344" s="85">
        <v>0</v>
      </c>
      <c r="AC344" s="5">
        <v>4.55</v>
      </c>
      <c r="AD344" s="37">
        <v>0</v>
      </c>
      <c r="AE344">
        <v>19.88</v>
      </c>
      <c r="AF344" s="5">
        <v>5.22</v>
      </c>
      <c r="AG344" s="37">
        <v>1</v>
      </c>
      <c r="AH344" s="5">
        <v>1.19</v>
      </c>
      <c r="AI344" s="1">
        <v>1</v>
      </c>
      <c r="AJ344" s="13">
        <v>3.72</v>
      </c>
      <c r="AK344" s="1">
        <v>1</v>
      </c>
      <c r="AL344" s="13">
        <v>0.96</v>
      </c>
      <c r="AM344" s="1">
        <v>1</v>
      </c>
      <c r="AN344" s="82">
        <f t="shared" si="59"/>
        <v>5.4375</v>
      </c>
      <c r="AO344" s="1">
        <v>1</v>
      </c>
      <c r="AP344">
        <v>117</v>
      </c>
      <c r="AQ344" s="37">
        <v>0</v>
      </c>
      <c r="AR344">
        <v>78</v>
      </c>
      <c r="AS344" s="37">
        <v>0</v>
      </c>
      <c r="AT344">
        <v>90</v>
      </c>
      <c r="AU344">
        <v>39</v>
      </c>
      <c r="AV344">
        <v>5.2</v>
      </c>
      <c r="AW344">
        <v>1</v>
      </c>
      <c r="AX344">
        <v>1267</v>
      </c>
      <c r="AY344">
        <v>32</v>
      </c>
      <c r="AZ344">
        <v>31.1</v>
      </c>
      <c r="BA344">
        <v>228.1</v>
      </c>
      <c r="BB344">
        <v>6.4</v>
      </c>
      <c r="BC344">
        <v>190.6</v>
      </c>
      <c r="BD344">
        <v>23.2</v>
      </c>
      <c r="BE344">
        <v>18.100000000000001</v>
      </c>
      <c r="BF344">
        <v>50.7</v>
      </c>
      <c r="BG344">
        <v>22.1</v>
      </c>
      <c r="BH344">
        <v>10.1</v>
      </c>
      <c r="BI344">
        <v>67.5</v>
      </c>
      <c r="BJ344">
        <v>15.9</v>
      </c>
      <c r="BK344">
        <v>5.4</v>
      </c>
      <c r="BL344">
        <v>22.4</v>
      </c>
      <c r="BM344">
        <v>3.3</v>
      </c>
      <c r="BN344">
        <v>1.9</v>
      </c>
      <c r="BO344">
        <v>1.66</v>
      </c>
      <c r="BP344">
        <v>0.16</v>
      </c>
      <c r="BQ344">
        <v>0</v>
      </c>
      <c r="BR344">
        <v>152</v>
      </c>
      <c r="BS344">
        <v>104.8</v>
      </c>
      <c r="BT344">
        <v>1674</v>
      </c>
      <c r="BU344">
        <v>1038</v>
      </c>
      <c r="BV344">
        <v>6.67</v>
      </c>
      <c r="BW344">
        <v>5.12</v>
      </c>
      <c r="BX344">
        <v>0.9</v>
      </c>
      <c r="BY344">
        <v>30.2</v>
      </c>
      <c r="BZ344">
        <v>37</v>
      </c>
      <c r="CA344">
        <v>14.04</v>
      </c>
      <c r="CB344">
        <v>12.72</v>
      </c>
      <c r="CC344">
        <v>9.3000000000000007</v>
      </c>
      <c r="CD344">
        <v>0.57999999999999996</v>
      </c>
      <c r="CE344">
        <v>0.73</v>
      </c>
      <c r="CF344">
        <v>172.1</v>
      </c>
      <c r="CG344">
        <v>8.4</v>
      </c>
      <c r="CH344">
        <v>274</v>
      </c>
      <c r="CI344">
        <v>2.59</v>
      </c>
      <c r="CJ344">
        <v>62.1</v>
      </c>
      <c r="CK344">
        <v>0</v>
      </c>
      <c r="CL344" s="42" t="str">
        <f t="shared" si="61"/>
        <v>1</v>
      </c>
      <c r="CM344" s="4">
        <v>0</v>
      </c>
      <c r="CN344" s="4">
        <f t="shared" si="60"/>
        <v>1.24</v>
      </c>
      <c r="CO344">
        <v>3</v>
      </c>
      <c r="CP344" s="42" t="str">
        <f t="shared" si="62"/>
        <v>1</v>
      </c>
      <c r="CQ344" s="4">
        <v>62</v>
      </c>
      <c r="CR344" s="4">
        <v>3.0962962962962961</v>
      </c>
      <c r="CS344" s="43" t="str">
        <f t="shared" si="63"/>
        <v>1</v>
      </c>
      <c r="CT344" s="4">
        <f t="shared" si="64"/>
        <v>62</v>
      </c>
      <c r="CU344" s="4">
        <f t="shared" si="65"/>
        <v>4.3362962962962959</v>
      </c>
      <c r="CV344" s="4">
        <v>4</v>
      </c>
    </row>
    <row r="345" spans="1:100" x14ac:dyDescent="0.3">
      <c r="A345" s="8" t="s">
        <v>241</v>
      </c>
      <c r="B345" s="18">
        <v>1</v>
      </c>
      <c r="C345">
        <v>42</v>
      </c>
      <c r="D345">
        <v>3</v>
      </c>
      <c r="E345">
        <v>1</v>
      </c>
      <c r="F345">
        <v>1</v>
      </c>
      <c r="G345">
        <v>0</v>
      </c>
      <c r="H345">
        <v>0</v>
      </c>
      <c r="I345">
        <v>1</v>
      </c>
      <c r="J345">
        <v>44.6</v>
      </c>
      <c r="K345">
        <v>1.514</v>
      </c>
      <c r="L345">
        <f t="shared" si="58"/>
        <v>151.4</v>
      </c>
      <c r="M345" s="82">
        <v>11.863600000000002</v>
      </c>
      <c r="N345" s="4">
        <v>31</v>
      </c>
      <c r="O345" s="4">
        <v>26.6</v>
      </c>
      <c r="P345" s="39">
        <v>0</v>
      </c>
      <c r="Q345">
        <v>71.2</v>
      </c>
      <c r="R345" s="40">
        <v>0</v>
      </c>
      <c r="S345">
        <v>86.8</v>
      </c>
      <c r="T345" s="5">
        <v>0.82027649769585265</v>
      </c>
      <c r="U345" s="39">
        <v>0</v>
      </c>
      <c r="V345" s="4">
        <v>19.457323893768248</v>
      </c>
      <c r="W345" s="37">
        <v>0</v>
      </c>
      <c r="X345" s="4">
        <v>3</v>
      </c>
      <c r="Y345" s="40">
        <v>0</v>
      </c>
      <c r="Z345" s="5">
        <v>5.6340000000000003</v>
      </c>
      <c r="AA345" s="5">
        <v>1.091744</v>
      </c>
      <c r="AB345" s="85">
        <v>0</v>
      </c>
      <c r="AC345" s="5">
        <v>4.3600000000000003</v>
      </c>
      <c r="AD345" s="37">
        <v>0</v>
      </c>
      <c r="AE345">
        <v>6.7</v>
      </c>
      <c r="AF345" s="5">
        <v>6.66</v>
      </c>
      <c r="AG345" s="37">
        <v>1</v>
      </c>
      <c r="AH345" s="5">
        <v>1.06</v>
      </c>
      <c r="AI345" s="1">
        <v>1</v>
      </c>
      <c r="AJ345" s="13">
        <v>4.83</v>
      </c>
      <c r="AK345" s="1">
        <v>0</v>
      </c>
      <c r="AL345" s="13">
        <v>1.35</v>
      </c>
      <c r="AM345" s="1">
        <v>0</v>
      </c>
      <c r="AN345" s="82">
        <f t="shared" si="59"/>
        <v>4.9333333333333327</v>
      </c>
      <c r="AO345" s="1">
        <v>1</v>
      </c>
      <c r="AP345">
        <v>105</v>
      </c>
      <c r="AQ345" s="37">
        <v>0</v>
      </c>
      <c r="AR345">
        <v>72</v>
      </c>
      <c r="AS345" s="37">
        <v>0</v>
      </c>
      <c r="AT345">
        <v>108</v>
      </c>
      <c r="AU345">
        <v>33</v>
      </c>
      <c r="AV345">
        <v>5.6</v>
      </c>
      <c r="AW345">
        <v>1</v>
      </c>
      <c r="AX345">
        <v>1570</v>
      </c>
      <c r="AY345">
        <v>46.8</v>
      </c>
      <c r="AZ345">
        <v>41.8</v>
      </c>
      <c r="BA345">
        <v>268.3</v>
      </c>
      <c r="BB345">
        <v>10.4</v>
      </c>
      <c r="BC345">
        <v>219.2</v>
      </c>
      <c r="BD345">
        <v>33.200000000000003</v>
      </c>
      <c r="BE345">
        <v>28.1</v>
      </c>
      <c r="BF345">
        <v>95.1</v>
      </c>
      <c r="BG345">
        <v>23.9</v>
      </c>
      <c r="BH345">
        <v>11.9</v>
      </c>
      <c r="BI345">
        <v>64.099999999999994</v>
      </c>
      <c r="BJ345">
        <v>14</v>
      </c>
      <c r="BK345">
        <v>6.7</v>
      </c>
      <c r="BL345">
        <v>24.4</v>
      </c>
      <c r="BM345">
        <v>6.6</v>
      </c>
      <c r="BN345">
        <v>2.2000000000000002</v>
      </c>
      <c r="BO345">
        <v>1.51</v>
      </c>
      <c r="BP345">
        <v>0.62</v>
      </c>
      <c r="BQ345">
        <v>0</v>
      </c>
      <c r="BR345">
        <v>318</v>
      </c>
      <c r="BS345">
        <v>140.6</v>
      </c>
      <c r="BT345">
        <v>2430</v>
      </c>
      <c r="BU345">
        <v>1266</v>
      </c>
      <c r="BV345">
        <v>9.16</v>
      </c>
      <c r="BW345">
        <v>5.53</v>
      </c>
      <c r="BX345">
        <v>1.61</v>
      </c>
      <c r="BY345">
        <v>40.4</v>
      </c>
      <c r="BZ345">
        <v>34.1</v>
      </c>
      <c r="CA345">
        <v>7.66</v>
      </c>
      <c r="CB345">
        <v>7.34</v>
      </c>
      <c r="CC345">
        <v>10.4</v>
      </c>
      <c r="CD345">
        <v>0.47</v>
      </c>
      <c r="CE345">
        <v>4.07</v>
      </c>
      <c r="CF345">
        <v>107.8</v>
      </c>
      <c r="CG345">
        <v>21.3</v>
      </c>
      <c r="CH345">
        <v>280</v>
      </c>
      <c r="CI345">
        <v>5.89</v>
      </c>
      <c r="CJ345">
        <v>32</v>
      </c>
      <c r="CK345">
        <v>1</v>
      </c>
      <c r="CL345" s="42" t="str">
        <f t="shared" si="61"/>
        <v>1</v>
      </c>
      <c r="CM345" s="4">
        <v>52</v>
      </c>
      <c r="CN345" s="4">
        <f t="shared" si="60"/>
        <v>1.6866666666666665</v>
      </c>
      <c r="CO345">
        <v>3</v>
      </c>
      <c r="CP345" s="42" t="str">
        <f t="shared" si="62"/>
        <v>1</v>
      </c>
      <c r="CQ345" s="4">
        <v>84.333333333333329</v>
      </c>
      <c r="CR345" s="4">
        <v>2.2000000000000002</v>
      </c>
      <c r="CS345" s="43" t="str">
        <f t="shared" si="63"/>
        <v>1</v>
      </c>
      <c r="CT345" s="4">
        <f t="shared" si="64"/>
        <v>136.33333333333331</v>
      </c>
      <c r="CU345" s="4">
        <f t="shared" si="65"/>
        <v>3.8866666666666667</v>
      </c>
      <c r="CV345" s="4">
        <v>3</v>
      </c>
    </row>
    <row r="346" spans="1:100" x14ac:dyDescent="0.3">
      <c r="A346" s="8" t="s">
        <v>240</v>
      </c>
      <c r="B346" s="18">
        <v>1</v>
      </c>
      <c r="C346">
        <v>47</v>
      </c>
      <c r="D346">
        <v>3</v>
      </c>
      <c r="E346">
        <v>2</v>
      </c>
      <c r="F346">
        <v>1</v>
      </c>
      <c r="G346">
        <v>0</v>
      </c>
      <c r="H346">
        <v>0</v>
      </c>
      <c r="I346">
        <v>1</v>
      </c>
      <c r="J346">
        <v>53.4</v>
      </c>
      <c r="K346">
        <v>1.514</v>
      </c>
      <c r="L346">
        <f t="shared" si="58"/>
        <v>151.4</v>
      </c>
      <c r="M346" s="82">
        <v>18.583199999999998</v>
      </c>
      <c r="N346" s="4">
        <v>33</v>
      </c>
      <c r="O346" s="4">
        <v>34.799999999999997</v>
      </c>
      <c r="P346" s="39">
        <v>1</v>
      </c>
      <c r="Q346">
        <v>78</v>
      </c>
      <c r="R346" s="40">
        <v>0</v>
      </c>
      <c r="S346">
        <v>90</v>
      </c>
      <c r="T346" s="5">
        <v>0.8666666666666667</v>
      </c>
      <c r="U346" s="39">
        <v>0</v>
      </c>
      <c r="V346" s="4">
        <v>23.2964371284131</v>
      </c>
      <c r="W346" s="37">
        <v>1</v>
      </c>
      <c r="X346" s="4">
        <v>6</v>
      </c>
      <c r="Y346" s="40">
        <v>0</v>
      </c>
      <c r="Z346" s="5">
        <v>9.0980000000000008</v>
      </c>
      <c r="AA346" s="5">
        <v>1.9449502222222224</v>
      </c>
      <c r="AB346" s="85">
        <v>0</v>
      </c>
      <c r="AC346" s="5">
        <v>4.8099999999999996</v>
      </c>
      <c r="AD346" s="37">
        <v>0</v>
      </c>
      <c r="AE346">
        <v>11.41</v>
      </c>
      <c r="AF346" s="5">
        <v>5.63</v>
      </c>
      <c r="AG346" s="37">
        <v>1</v>
      </c>
      <c r="AH346" s="5">
        <v>0.8</v>
      </c>
      <c r="AI346" s="1">
        <v>1</v>
      </c>
      <c r="AJ346" s="13">
        <v>3.7</v>
      </c>
      <c r="AK346" s="1">
        <v>0</v>
      </c>
      <c r="AL346" s="13">
        <v>1.56</v>
      </c>
      <c r="AM346" s="1">
        <v>0</v>
      </c>
      <c r="AN346" s="82">
        <f t="shared" si="59"/>
        <v>3.6089743589743586</v>
      </c>
      <c r="AO346" s="1">
        <v>0</v>
      </c>
      <c r="AP346">
        <v>119</v>
      </c>
      <c r="AQ346" s="37">
        <v>0</v>
      </c>
      <c r="AR346">
        <v>75</v>
      </c>
      <c r="AS346" s="37">
        <v>0</v>
      </c>
      <c r="AT346">
        <v>68</v>
      </c>
      <c r="AU346">
        <v>43</v>
      </c>
      <c r="AV346">
        <v>6.6</v>
      </c>
      <c r="AW346">
        <v>1</v>
      </c>
      <c r="AX346">
        <v>1668</v>
      </c>
      <c r="AY346">
        <v>54.8</v>
      </c>
      <c r="AZ346">
        <v>45.1</v>
      </c>
      <c r="BA346">
        <v>277.60000000000002</v>
      </c>
      <c r="BB346">
        <v>7.4</v>
      </c>
      <c r="BC346">
        <v>222.4</v>
      </c>
      <c r="BD346">
        <v>43.7</v>
      </c>
      <c r="BE346">
        <v>33.700000000000003</v>
      </c>
      <c r="BF346">
        <v>79.3</v>
      </c>
      <c r="BG346">
        <v>24.3</v>
      </c>
      <c r="BH346">
        <v>13.2</v>
      </c>
      <c r="BI346">
        <v>62.4</v>
      </c>
      <c r="BJ346">
        <v>17.7</v>
      </c>
      <c r="BK346">
        <v>7.6</v>
      </c>
      <c r="BL346">
        <v>32.700000000000003</v>
      </c>
      <c r="BM346">
        <v>4</v>
      </c>
      <c r="BN346">
        <v>3.2</v>
      </c>
      <c r="BO346">
        <v>2.67</v>
      </c>
      <c r="BP346">
        <v>0.35</v>
      </c>
      <c r="BQ346">
        <v>0</v>
      </c>
      <c r="BR346">
        <v>426</v>
      </c>
      <c r="BS346">
        <v>183.1</v>
      </c>
      <c r="BT346">
        <v>3508</v>
      </c>
      <c r="BU346">
        <v>1465</v>
      </c>
      <c r="BV346">
        <v>10.59</v>
      </c>
      <c r="BW346">
        <v>5.77</v>
      </c>
      <c r="BX346">
        <v>1.51</v>
      </c>
      <c r="BY346">
        <v>94.8</v>
      </c>
      <c r="BZ346">
        <v>37.5</v>
      </c>
      <c r="CA346">
        <v>0.73</v>
      </c>
      <c r="CB346">
        <v>0.37</v>
      </c>
      <c r="CC346">
        <v>19.899999999999999</v>
      </c>
      <c r="CD346">
        <v>0.79</v>
      </c>
      <c r="CE346">
        <v>1.19</v>
      </c>
      <c r="CF346">
        <v>180.2</v>
      </c>
      <c r="CG346">
        <v>11</v>
      </c>
      <c r="CH346">
        <v>432</v>
      </c>
      <c r="CI346">
        <v>2.64</v>
      </c>
      <c r="CJ346">
        <v>0.9</v>
      </c>
      <c r="CK346">
        <v>0</v>
      </c>
      <c r="CL346" s="42" t="str">
        <f t="shared" si="61"/>
        <v>1</v>
      </c>
      <c r="CM346" s="4">
        <v>0</v>
      </c>
      <c r="CN346" s="4">
        <f t="shared" si="60"/>
        <v>1.2066666666666668</v>
      </c>
      <c r="CO346">
        <v>5</v>
      </c>
      <c r="CP346" s="42" t="str">
        <f t="shared" si="62"/>
        <v>1</v>
      </c>
      <c r="CQ346" s="4">
        <v>60.333333333333336</v>
      </c>
      <c r="CR346" s="4">
        <v>1.5617283950617282</v>
      </c>
      <c r="CS346" s="43" t="str">
        <f t="shared" si="63"/>
        <v>1</v>
      </c>
      <c r="CT346" s="4">
        <f t="shared" si="64"/>
        <v>60.333333333333336</v>
      </c>
      <c r="CU346" s="4">
        <f t="shared" si="65"/>
        <v>2.7683950617283948</v>
      </c>
      <c r="CV346" s="4">
        <v>2</v>
      </c>
    </row>
    <row r="347" spans="1:100" x14ac:dyDescent="0.3">
      <c r="A347" s="8" t="s">
        <v>239</v>
      </c>
      <c r="B347" s="18">
        <v>1</v>
      </c>
      <c r="C347">
        <v>53</v>
      </c>
      <c r="D347">
        <v>3</v>
      </c>
      <c r="E347">
        <v>1</v>
      </c>
      <c r="F347">
        <v>1</v>
      </c>
      <c r="G347">
        <v>0</v>
      </c>
      <c r="H347">
        <v>0</v>
      </c>
      <c r="I347">
        <v>1</v>
      </c>
      <c r="J347">
        <v>42.6</v>
      </c>
      <c r="K347">
        <v>1.4770000000000001</v>
      </c>
      <c r="L347">
        <f t="shared" si="58"/>
        <v>147.70000000000002</v>
      </c>
      <c r="M347" s="82">
        <v>12.8226</v>
      </c>
      <c r="N347" s="4">
        <v>37.700000000000003</v>
      </c>
      <c r="O347" s="4">
        <v>30.1</v>
      </c>
      <c r="P347" s="39">
        <v>0</v>
      </c>
      <c r="Q347">
        <v>72</v>
      </c>
      <c r="R347" s="40">
        <v>0</v>
      </c>
      <c r="S347">
        <v>85.5</v>
      </c>
      <c r="T347" s="5">
        <v>0.84210526315789469</v>
      </c>
      <c r="U347" s="39">
        <v>0</v>
      </c>
      <c r="V347" s="4">
        <v>19.527588219088535</v>
      </c>
      <c r="W347" s="37">
        <v>0</v>
      </c>
      <c r="X347" s="4">
        <v>4</v>
      </c>
      <c r="Y347" s="40">
        <v>0</v>
      </c>
      <c r="Z347" s="5">
        <v>13.451000000000001</v>
      </c>
      <c r="AA347" s="5">
        <v>2.5885702222222227</v>
      </c>
      <c r="AB347" s="85">
        <v>0</v>
      </c>
      <c r="AC347" s="5">
        <v>4.33</v>
      </c>
      <c r="AD347" s="37">
        <v>0</v>
      </c>
      <c r="AE347">
        <v>31.76</v>
      </c>
      <c r="AF347" s="5">
        <v>7.11</v>
      </c>
      <c r="AG347" s="37">
        <v>1</v>
      </c>
      <c r="AH347" s="5">
        <v>0.83</v>
      </c>
      <c r="AI347" s="1">
        <v>1</v>
      </c>
      <c r="AJ347" s="13">
        <v>5.61</v>
      </c>
      <c r="AK347" s="1">
        <v>1</v>
      </c>
      <c r="AL347" s="13">
        <v>1.1299999999999999</v>
      </c>
      <c r="AM347" s="1">
        <v>1</v>
      </c>
      <c r="AN347" s="82">
        <f t="shared" si="59"/>
        <v>6.2920353982300892</v>
      </c>
      <c r="AO347" s="1">
        <v>1</v>
      </c>
      <c r="AP347">
        <v>130</v>
      </c>
      <c r="AQ347" s="37">
        <v>1</v>
      </c>
      <c r="AR347">
        <v>60</v>
      </c>
      <c r="AS347" s="37">
        <v>0</v>
      </c>
      <c r="AT347">
        <v>58</v>
      </c>
      <c r="AU347">
        <v>70</v>
      </c>
      <c r="AV347">
        <v>8</v>
      </c>
      <c r="AW347">
        <v>1</v>
      </c>
      <c r="AX347">
        <v>1336</v>
      </c>
      <c r="AY347">
        <v>43.4</v>
      </c>
      <c r="AZ347">
        <v>30.7</v>
      </c>
      <c r="BA347">
        <v>235.7</v>
      </c>
      <c r="BB347">
        <v>7.5</v>
      </c>
      <c r="BC347">
        <v>196.5</v>
      </c>
      <c r="BD347">
        <v>30.8</v>
      </c>
      <c r="BE347">
        <v>22.7</v>
      </c>
      <c r="BF347">
        <v>84.4</v>
      </c>
      <c r="BG347">
        <v>20.7</v>
      </c>
      <c r="BH347">
        <v>13</v>
      </c>
      <c r="BI347">
        <v>66.099999999999994</v>
      </c>
      <c r="BJ347">
        <v>12.9</v>
      </c>
      <c r="BK347">
        <v>6.4</v>
      </c>
      <c r="BL347">
        <v>19.100000000000001</v>
      </c>
      <c r="BM347">
        <v>3.7</v>
      </c>
      <c r="BN347">
        <v>2.1</v>
      </c>
      <c r="BO347">
        <v>1.87</v>
      </c>
      <c r="BP347">
        <v>0.12</v>
      </c>
      <c r="BQ347">
        <v>0</v>
      </c>
      <c r="BR347">
        <v>353</v>
      </c>
      <c r="BS347">
        <v>161</v>
      </c>
      <c r="BT347">
        <v>3442</v>
      </c>
      <c r="BU347">
        <v>1292</v>
      </c>
      <c r="BV347">
        <v>9.23</v>
      </c>
      <c r="BW347">
        <v>5.0599999999999996</v>
      </c>
      <c r="BX347">
        <v>1.1599999999999999</v>
      </c>
      <c r="BY347">
        <v>55.9</v>
      </c>
      <c r="BZ347">
        <v>38.700000000000003</v>
      </c>
      <c r="CA347">
        <v>10.91</v>
      </c>
      <c r="CB347">
        <v>9.6999999999999993</v>
      </c>
      <c r="CC347">
        <v>17.899999999999999</v>
      </c>
      <c r="CD347">
        <v>0.89</v>
      </c>
      <c r="CE347">
        <v>1.07</v>
      </c>
      <c r="CF347">
        <v>149.69999999999999</v>
      </c>
      <c r="CG347">
        <v>6.9</v>
      </c>
      <c r="CH347">
        <v>290</v>
      </c>
      <c r="CI347">
        <v>3.3</v>
      </c>
      <c r="CJ347">
        <v>47.3</v>
      </c>
      <c r="CK347">
        <v>0</v>
      </c>
      <c r="CL347" s="42" t="str">
        <f t="shared" si="61"/>
        <v>1</v>
      </c>
      <c r="CM347" s="4">
        <v>0</v>
      </c>
      <c r="CN347" s="4">
        <f t="shared" si="60"/>
        <v>1.4266666666666665</v>
      </c>
      <c r="CO347">
        <v>5</v>
      </c>
      <c r="CP347" s="42" t="str">
        <f t="shared" si="62"/>
        <v>1</v>
      </c>
      <c r="CQ347" s="4">
        <v>71.333333333333329</v>
      </c>
      <c r="CR347" s="4">
        <v>2.9209876543209878</v>
      </c>
      <c r="CS347" s="43" t="str">
        <f t="shared" si="63"/>
        <v>1</v>
      </c>
      <c r="CT347" s="4">
        <f t="shared" si="64"/>
        <v>71.333333333333329</v>
      </c>
      <c r="CU347" s="4">
        <f t="shared" si="65"/>
        <v>4.3476543209876546</v>
      </c>
      <c r="CV347" s="4">
        <v>4</v>
      </c>
    </row>
    <row r="348" spans="1:100" x14ac:dyDescent="0.3">
      <c r="A348" s="8" t="s">
        <v>238</v>
      </c>
      <c r="B348" s="18">
        <v>1</v>
      </c>
      <c r="C348">
        <v>45</v>
      </c>
      <c r="D348">
        <v>3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69.400000000000006</v>
      </c>
      <c r="K348">
        <v>1.474</v>
      </c>
      <c r="L348">
        <f t="shared" si="58"/>
        <v>147.4</v>
      </c>
      <c r="M348" s="82">
        <v>30.952400000000001</v>
      </c>
      <c r="N348" s="4">
        <v>28.3</v>
      </c>
      <c r="O348" s="4">
        <v>44.6</v>
      </c>
      <c r="P348" s="39">
        <v>1</v>
      </c>
      <c r="Q348">
        <v>93.3</v>
      </c>
      <c r="R348" s="40">
        <v>1</v>
      </c>
      <c r="S348">
        <v>105.7</v>
      </c>
      <c r="T348" s="5">
        <v>0.8826868495742668</v>
      </c>
      <c r="U348" s="39">
        <v>1</v>
      </c>
      <c r="V348" s="4">
        <v>31.942176376045026</v>
      </c>
      <c r="W348" s="37">
        <v>1</v>
      </c>
      <c r="X348" s="4">
        <v>10</v>
      </c>
      <c r="Y348" s="40">
        <v>1</v>
      </c>
      <c r="Z348" s="5">
        <v>10.244</v>
      </c>
      <c r="AA348" s="5">
        <v>2.3857137777777782</v>
      </c>
      <c r="AB348" s="85">
        <v>0</v>
      </c>
      <c r="AC348" s="5">
        <v>5.24</v>
      </c>
      <c r="AD348" s="37">
        <v>0</v>
      </c>
      <c r="AE348">
        <v>24.36</v>
      </c>
      <c r="AF348" s="5">
        <v>7.41</v>
      </c>
      <c r="AG348" s="37">
        <v>1</v>
      </c>
      <c r="AH348" s="5">
        <v>1.66</v>
      </c>
      <c r="AI348" s="1">
        <v>1</v>
      </c>
      <c r="AJ348" s="13">
        <v>5.62</v>
      </c>
      <c r="AK348" s="1">
        <v>1</v>
      </c>
      <c r="AL348" s="13">
        <v>1.04</v>
      </c>
      <c r="AM348" s="1">
        <v>1</v>
      </c>
      <c r="AN348" s="82">
        <f t="shared" si="59"/>
        <v>7.125</v>
      </c>
      <c r="AO348" s="1">
        <v>1</v>
      </c>
      <c r="AP348">
        <v>123</v>
      </c>
      <c r="AQ348" s="37">
        <v>0</v>
      </c>
      <c r="AR348">
        <v>80</v>
      </c>
      <c r="AS348" s="37">
        <v>0</v>
      </c>
      <c r="AT348">
        <v>70</v>
      </c>
      <c r="AU348">
        <v>43</v>
      </c>
      <c r="AV348">
        <v>6.8</v>
      </c>
      <c r="AW348">
        <v>1</v>
      </c>
      <c r="AX348">
        <v>1607</v>
      </c>
      <c r="AY348">
        <v>57.3</v>
      </c>
      <c r="AZ348">
        <v>40.9</v>
      </c>
      <c r="BA348">
        <v>269</v>
      </c>
      <c r="BB348">
        <v>11.5</v>
      </c>
      <c r="BC348">
        <v>213</v>
      </c>
      <c r="BD348">
        <v>45.8</v>
      </c>
      <c r="BE348">
        <v>23.5</v>
      </c>
      <c r="BF348">
        <v>81.8</v>
      </c>
      <c r="BG348">
        <v>22.9</v>
      </c>
      <c r="BH348">
        <v>14.3</v>
      </c>
      <c r="BI348">
        <v>62.8</v>
      </c>
      <c r="BJ348">
        <v>14.7</v>
      </c>
      <c r="BK348">
        <v>5.5</v>
      </c>
      <c r="BL348">
        <v>26.2</v>
      </c>
      <c r="BM348">
        <v>4.4000000000000004</v>
      </c>
      <c r="BN348">
        <v>3</v>
      </c>
      <c r="BO348">
        <v>2.63</v>
      </c>
      <c r="BP348">
        <v>0.26</v>
      </c>
      <c r="BQ348">
        <v>0.15</v>
      </c>
      <c r="BR348">
        <v>353</v>
      </c>
      <c r="BS348">
        <v>173.9</v>
      </c>
      <c r="BT348">
        <v>3146</v>
      </c>
      <c r="BU348">
        <v>1807</v>
      </c>
      <c r="BV348">
        <v>8.5</v>
      </c>
      <c r="BW348">
        <v>4.72</v>
      </c>
      <c r="BX348">
        <v>1.1000000000000001</v>
      </c>
      <c r="BY348">
        <v>41.6</v>
      </c>
      <c r="BZ348">
        <v>34.1</v>
      </c>
      <c r="CA348">
        <v>1.29</v>
      </c>
      <c r="CB348">
        <v>1.54</v>
      </c>
      <c r="CC348">
        <v>18.399999999999999</v>
      </c>
      <c r="CD348">
        <v>1.1000000000000001</v>
      </c>
      <c r="CE348">
        <v>0.68</v>
      </c>
      <c r="CF348">
        <v>209.6</v>
      </c>
      <c r="CG348">
        <v>33.5</v>
      </c>
      <c r="CH348">
        <v>618</v>
      </c>
      <c r="CI348">
        <v>0.48</v>
      </c>
      <c r="CJ348">
        <v>1.6</v>
      </c>
      <c r="CK348">
        <v>1</v>
      </c>
      <c r="CL348" s="42" t="str">
        <f t="shared" si="61"/>
        <v>1</v>
      </c>
      <c r="CM348" s="4">
        <v>42.5</v>
      </c>
      <c r="CN348" s="4">
        <f t="shared" si="60"/>
        <v>1.03</v>
      </c>
      <c r="CO348">
        <v>3</v>
      </c>
      <c r="CP348" s="42" t="str">
        <f t="shared" si="62"/>
        <v>1</v>
      </c>
      <c r="CQ348" s="4">
        <v>51.5</v>
      </c>
      <c r="CR348" s="4">
        <v>0.20370370370370369</v>
      </c>
      <c r="CS348" s="43" t="str">
        <f t="shared" si="63"/>
        <v>1</v>
      </c>
      <c r="CT348" s="4">
        <f t="shared" si="64"/>
        <v>94</v>
      </c>
      <c r="CU348" s="4">
        <f t="shared" si="65"/>
        <v>1.2337037037037037</v>
      </c>
      <c r="CV348" s="4">
        <v>1</v>
      </c>
    </row>
    <row r="349" spans="1:100" x14ac:dyDescent="0.3">
      <c r="A349" s="8" t="s">
        <v>237</v>
      </c>
      <c r="B349" s="18">
        <v>1</v>
      </c>
      <c r="C349">
        <v>54</v>
      </c>
      <c r="D349">
        <v>3</v>
      </c>
      <c r="E349">
        <v>1</v>
      </c>
      <c r="F349">
        <v>1</v>
      </c>
      <c r="G349">
        <v>0</v>
      </c>
      <c r="H349">
        <v>0</v>
      </c>
      <c r="I349">
        <v>1</v>
      </c>
      <c r="J349">
        <v>42.2</v>
      </c>
      <c r="K349">
        <v>1.5089999999999999</v>
      </c>
      <c r="L349">
        <f t="shared" si="58"/>
        <v>150.89999999999998</v>
      </c>
      <c r="M349" s="82">
        <v>10.381200000000002</v>
      </c>
      <c r="N349" s="4">
        <v>30.2</v>
      </c>
      <c r="O349" s="4">
        <v>24.6</v>
      </c>
      <c r="P349" s="39">
        <v>0</v>
      </c>
      <c r="Q349">
        <v>68.8</v>
      </c>
      <c r="R349" s="40">
        <v>0</v>
      </c>
      <c r="S349">
        <v>83.9</v>
      </c>
      <c r="T349" s="5">
        <v>0.82002383790226452</v>
      </c>
      <c r="U349" s="39">
        <v>0</v>
      </c>
      <c r="V349" s="4">
        <v>18.532498404755916</v>
      </c>
      <c r="W349" s="37">
        <v>0</v>
      </c>
      <c r="X349" s="4">
        <v>3</v>
      </c>
      <c r="Y349" s="40">
        <v>0</v>
      </c>
      <c r="Z349" s="5">
        <v>6.4050000000000002</v>
      </c>
      <c r="AA349" s="5">
        <v>1.2781533333333335</v>
      </c>
      <c r="AB349" s="85">
        <v>0</v>
      </c>
      <c r="AC349" s="5">
        <v>4.49</v>
      </c>
      <c r="AD349" s="37">
        <v>0</v>
      </c>
      <c r="AE349">
        <v>14.84</v>
      </c>
      <c r="AF349" s="5">
        <v>4.9800000000000004</v>
      </c>
      <c r="AG349" s="37">
        <v>1</v>
      </c>
      <c r="AH349" s="5">
        <v>0.82</v>
      </c>
      <c r="AI349" s="1">
        <v>0</v>
      </c>
      <c r="AJ349" s="13">
        <v>3.11</v>
      </c>
      <c r="AK349" s="1">
        <v>0</v>
      </c>
      <c r="AL349" s="13">
        <v>1.5</v>
      </c>
      <c r="AM349" s="1">
        <v>0</v>
      </c>
      <c r="AN349" s="82">
        <f t="shared" si="59"/>
        <v>3.3200000000000003</v>
      </c>
      <c r="AO349" s="1">
        <v>0</v>
      </c>
      <c r="AP349">
        <v>117</v>
      </c>
      <c r="AQ349" s="37">
        <v>0</v>
      </c>
      <c r="AR349">
        <v>60</v>
      </c>
      <c r="AS349" s="37">
        <v>0</v>
      </c>
      <c r="AT349">
        <v>79</v>
      </c>
      <c r="AU349">
        <v>57</v>
      </c>
      <c r="AV349">
        <v>7.6</v>
      </c>
      <c r="AW349">
        <v>1</v>
      </c>
      <c r="AX349">
        <v>1195</v>
      </c>
      <c r="AY349">
        <v>28.6</v>
      </c>
      <c r="AZ349">
        <v>32</v>
      </c>
      <c r="BA349">
        <v>211.2</v>
      </c>
      <c r="BB349">
        <v>7.8</v>
      </c>
      <c r="BC349">
        <v>177.1</v>
      </c>
      <c r="BD349">
        <v>27.2</v>
      </c>
      <c r="BE349">
        <v>22.4</v>
      </c>
      <c r="BF349">
        <v>48.3</v>
      </c>
      <c r="BG349">
        <v>24.1</v>
      </c>
      <c r="BH349">
        <v>9.6</v>
      </c>
      <c r="BI349">
        <v>66.3</v>
      </c>
      <c r="BJ349">
        <v>13.8</v>
      </c>
      <c r="BK349">
        <v>7</v>
      </c>
      <c r="BL349">
        <v>18.399999999999999</v>
      </c>
      <c r="BM349">
        <v>4.5</v>
      </c>
      <c r="BN349">
        <v>1.6</v>
      </c>
      <c r="BO349">
        <v>0.84</v>
      </c>
      <c r="BP349">
        <v>0.68</v>
      </c>
      <c r="BQ349">
        <v>0</v>
      </c>
      <c r="BR349">
        <v>144</v>
      </c>
      <c r="BS349">
        <v>105.7</v>
      </c>
      <c r="BT349">
        <v>1362</v>
      </c>
      <c r="BU349">
        <v>872</v>
      </c>
      <c r="BV349">
        <v>5.72</v>
      </c>
      <c r="BW349">
        <v>2.87</v>
      </c>
      <c r="BX349">
        <v>0.78</v>
      </c>
      <c r="BY349">
        <v>20.2</v>
      </c>
      <c r="BZ349">
        <v>16.5</v>
      </c>
      <c r="CA349">
        <v>3.94</v>
      </c>
      <c r="CB349">
        <v>4.01</v>
      </c>
      <c r="CC349">
        <v>4.9000000000000004</v>
      </c>
      <c r="CD349">
        <v>0.28999999999999998</v>
      </c>
      <c r="CE349">
        <v>3.99</v>
      </c>
      <c r="CF349">
        <v>74.8</v>
      </c>
      <c r="CG349">
        <v>22</v>
      </c>
      <c r="CH349">
        <v>6463</v>
      </c>
      <c r="CI349">
        <v>7.16</v>
      </c>
      <c r="CJ349">
        <v>16.5</v>
      </c>
      <c r="CK349">
        <v>0</v>
      </c>
      <c r="CL349" s="42" t="str">
        <f t="shared" si="61"/>
        <v>1</v>
      </c>
      <c r="CM349" s="4">
        <v>0</v>
      </c>
      <c r="CN349" s="4">
        <f t="shared" si="60"/>
        <v>2.1733333333333333</v>
      </c>
      <c r="CO349">
        <v>3</v>
      </c>
      <c r="CP349" s="42" t="str">
        <f t="shared" si="62"/>
        <v>1</v>
      </c>
      <c r="CQ349" s="4">
        <v>108.66666666666667</v>
      </c>
      <c r="CR349" s="4">
        <v>1.0641975308641975</v>
      </c>
      <c r="CS349" s="43" t="str">
        <f t="shared" si="63"/>
        <v>1</v>
      </c>
      <c r="CT349" s="4">
        <f t="shared" si="64"/>
        <v>108.66666666666667</v>
      </c>
      <c r="CU349" s="4">
        <f t="shared" si="65"/>
        <v>3.2375308641975309</v>
      </c>
      <c r="CV349" s="4">
        <v>3</v>
      </c>
    </row>
    <row r="350" spans="1:100" x14ac:dyDescent="0.3">
      <c r="A350" s="8" t="s">
        <v>236</v>
      </c>
      <c r="B350" s="18">
        <v>1</v>
      </c>
      <c r="C350">
        <v>51</v>
      </c>
      <c r="D350">
        <v>3</v>
      </c>
      <c r="E350">
        <v>1</v>
      </c>
      <c r="F350">
        <v>1</v>
      </c>
      <c r="G350">
        <v>0</v>
      </c>
      <c r="H350">
        <v>0</v>
      </c>
      <c r="I350">
        <v>1</v>
      </c>
      <c r="J350">
        <v>62</v>
      </c>
      <c r="K350">
        <v>1.601</v>
      </c>
      <c r="L350">
        <f t="shared" si="58"/>
        <v>160.1</v>
      </c>
      <c r="M350" s="82">
        <v>21.762000000000004</v>
      </c>
      <c r="N350" s="4">
        <v>37.799999999999997</v>
      </c>
      <c r="O350" s="4">
        <v>35.1</v>
      </c>
      <c r="P350" s="39">
        <v>1</v>
      </c>
      <c r="Q350">
        <v>96.1</v>
      </c>
      <c r="R350" s="40">
        <v>1</v>
      </c>
      <c r="S350">
        <v>96.7</v>
      </c>
      <c r="T350" s="5">
        <v>0.99379524301964828</v>
      </c>
      <c r="U350" s="39">
        <v>1</v>
      </c>
      <c r="V350" s="4">
        <v>24.188504920214999</v>
      </c>
      <c r="W350" s="37">
        <v>1</v>
      </c>
      <c r="X350" s="4">
        <v>7</v>
      </c>
      <c r="Y350" s="40">
        <v>0</v>
      </c>
      <c r="Z350" s="5">
        <v>9.4890000000000008</v>
      </c>
      <c r="AA350" s="5">
        <v>2.2056653333333336</v>
      </c>
      <c r="AB350" s="85">
        <v>0</v>
      </c>
      <c r="AC350" s="5">
        <v>5.23</v>
      </c>
      <c r="AD350" s="37">
        <v>0</v>
      </c>
      <c r="AE350">
        <v>21.64</v>
      </c>
      <c r="AF350" s="5">
        <v>6.51</v>
      </c>
      <c r="AG350" s="37">
        <v>1</v>
      </c>
      <c r="AH350" s="5">
        <v>1.29</v>
      </c>
      <c r="AI350" s="1">
        <v>1</v>
      </c>
      <c r="AJ350" s="13">
        <v>4.4000000000000004</v>
      </c>
      <c r="AK350" s="1">
        <v>0</v>
      </c>
      <c r="AL350" s="13">
        <v>1.53</v>
      </c>
      <c r="AM350" s="1">
        <v>0</v>
      </c>
      <c r="AN350" s="82">
        <f t="shared" si="59"/>
        <v>4.2549019607843137</v>
      </c>
      <c r="AO350" s="1">
        <v>1</v>
      </c>
      <c r="AP350">
        <v>125</v>
      </c>
      <c r="AQ350" s="37">
        <v>0</v>
      </c>
      <c r="AR350">
        <v>85</v>
      </c>
      <c r="AS350" s="37">
        <v>1</v>
      </c>
      <c r="AT350">
        <v>76</v>
      </c>
      <c r="AU350">
        <v>41</v>
      </c>
      <c r="AV350">
        <v>7.2</v>
      </c>
      <c r="AW350">
        <v>1</v>
      </c>
      <c r="AX350">
        <v>1495</v>
      </c>
      <c r="AY350">
        <v>42.9</v>
      </c>
      <c r="AZ350">
        <v>39.799999999999997</v>
      </c>
      <c r="BA350">
        <v>256.2</v>
      </c>
      <c r="BB350">
        <v>6.2</v>
      </c>
      <c r="BC350">
        <v>211.6</v>
      </c>
      <c r="BD350">
        <v>36</v>
      </c>
      <c r="BE350">
        <v>24.6</v>
      </c>
      <c r="BF350">
        <v>18.5</v>
      </c>
      <c r="BG350">
        <v>24</v>
      </c>
      <c r="BH350">
        <v>11.5</v>
      </c>
      <c r="BI350">
        <v>64.3</v>
      </c>
      <c r="BJ350">
        <v>11.1</v>
      </c>
      <c r="BK350">
        <v>6.2</v>
      </c>
      <c r="BL350">
        <v>18.399999999999999</v>
      </c>
      <c r="BM350">
        <v>2.2999999999999998</v>
      </c>
      <c r="BN350">
        <v>1.6</v>
      </c>
      <c r="BO350">
        <v>1.3</v>
      </c>
      <c r="BP350">
        <v>0.09</v>
      </c>
      <c r="BQ350">
        <v>0</v>
      </c>
      <c r="BR350">
        <v>347</v>
      </c>
      <c r="BS350">
        <v>152.80000000000001</v>
      </c>
      <c r="BT350">
        <v>4345</v>
      </c>
      <c r="BU350">
        <v>1146</v>
      </c>
      <c r="BV350">
        <v>7.96</v>
      </c>
      <c r="BW350">
        <v>4.8600000000000003</v>
      </c>
      <c r="BX350">
        <v>2.2000000000000002</v>
      </c>
      <c r="BY350">
        <v>61.9</v>
      </c>
      <c r="BZ350">
        <v>10.3</v>
      </c>
      <c r="CA350">
        <v>0.44</v>
      </c>
      <c r="CB350">
        <v>0.33</v>
      </c>
      <c r="CC350">
        <v>11</v>
      </c>
      <c r="CD350">
        <v>0.4</v>
      </c>
      <c r="CE350">
        <v>3.24</v>
      </c>
      <c r="CF350">
        <v>105</v>
      </c>
      <c r="CG350">
        <v>10.9</v>
      </c>
      <c r="CH350">
        <v>197</v>
      </c>
      <c r="CI350">
        <v>1.98</v>
      </c>
      <c r="CJ350">
        <v>0.9</v>
      </c>
      <c r="CK350">
        <v>0</v>
      </c>
      <c r="CL350" s="42" t="str">
        <f t="shared" si="61"/>
        <v>1</v>
      </c>
      <c r="CM350" s="4">
        <v>0</v>
      </c>
      <c r="CN350" s="4">
        <f t="shared" si="60"/>
        <v>1.92</v>
      </c>
      <c r="CO350">
        <v>4</v>
      </c>
      <c r="CP350" s="42" t="str">
        <f t="shared" si="62"/>
        <v>1</v>
      </c>
      <c r="CQ350" s="4">
        <v>96</v>
      </c>
      <c r="CR350" s="4">
        <v>2.3962962962962964</v>
      </c>
      <c r="CS350" s="43" t="str">
        <f t="shared" si="63"/>
        <v>1</v>
      </c>
      <c r="CT350" s="4">
        <f t="shared" si="64"/>
        <v>96</v>
      </c>
      <c r="CU350" s="4">
        <f t="shared" si="65"/>
        <v>4.3162962962962963</v>
      </c>
      <c r="CV350" s="4">
        <v>4</v>
      </c>
    </row>
    <row r="351" spans="1:100" x14ac:dyDescent="0.3">
      <c r="A351" s="8" t="s">
        <v>235</v>
      </c>
      <c r="B351" s="18">
        <v>1</v>
      </c>
      <c r="C351">
        <v>50</v>
      </c>
      <c r="D351">
        <v>3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62</v>
      </c>
      <c r="K351">
        <v>1.5620000000000001</v>
      </c>
      <c r="L351">
        <f t="shared" si="58"/>
        <v>156.20000000000002</v>
      </c>
      <c r="M351" s="82">
        <v>22.815999999999999</v>
      </c>
      <c r="N351" s="4">
        <v>37</v>
      </c>
      <c r="O351" s="4">
        <v>36.799999999999997</v>
      </c>
      <c r="P351" s="39">
        <v>1</v>
      </c>
      <c r="Q351">
        <v>87.9</v>
      </c>
      <c r="R351" s="40">
        <v>1</v>
      </c>
      <c r="S351">
        <v>88.6</v>
      </c>
      <c r="T351" s="5">
        <v>0.99209932279909718</v>
      </c>
      <c r="U351" s="39">
        <v>1</v>
      </c>
      <c r="V351" s="4">
        <v>25.411460732735367</v>
      </c>
      <c r="W351" s="37">
        <v>1</v>
      </c>
      <c r="X351" s="4">
        <v>7</v>
      </c>
      <c r="Y351" s="40">
        <v>0</v>
      </c>
      <c r="Z351" s="5">
        <v>8.9060000000000006</v>
      </c>
      <c r="AA351" s="5">
        <v>1.6149546666666668</v>
      </c>
      <c r="AB351" s="85">
        <v>0</v>
      </c>
      <c r="AC351" s="5">
        <v>4.08</v>
      </c>
      <c r="AD351" s="37">
        <v>0</v>
      </c>
      <c r="AE351" s="21">
        <v>3</v>
      </c>
      <c r="AF351" s="5">
        <v>7.22</v>
      </c>
      <c r="AG351" s="37">
        <v>1</v>
      </c>
      <c r="AH351" s="5">
        <v>2.19</v>
      </c>
      <c r="AI351" s="1">
        <v>1</v>
      </c>
      <c r="AJ351" s="13">
        <v>5.08</v>
      </c>
      <c r="AK351" s="1">
        <v>1</v>
      </c>
      <c r="AL351" s="13">
        <v>1.1399999999999999</v>
      </c>
      <c r="AM351" s="1">
        <v>1</v>
      </c>
      <c r="AN351" s="82">
        <f t="shared" si="59"/>
        <v>6.3333333333333339</v>
      </c>
      <c r="AO351" s="1">
        <v>1</v>
      </c>
      <c r="AP351">
        <v>148</v>
      </c>
      <c r="AQ351" s="37">
        <v>1</v>
      </c>
      <c r="AR351">
        <v>88</v>
      </c>
      <c r="AS351" s="37">
        <v>1</v>
      </c>
      <c r="AT351">
        <v>78</v>
      </c>
      <c r="AU351">
        <v>60</v>
      </c>
      <c r="AV351">
        <v>8.1</v>
      </c>
      <c r="AW351">
        <v>0</v>
      </c>
      <c r="AX351">
        <v>1376</v>
      </c>
      <c r="AY351">
        <v>49</v>
      </c>
      <c r="AZ351">
        <v>32.799999999999997</v>
      </c>
      <c r="BA351">
        <v>235.7</v>
      </c>
      <c r="BB351">
        <v>7.9</v>
      </c>
      <c r="BC351">
        <v>200.9</v>
      </c>
      <c r="BD351">
        <v>21.5</v>
      </c>
      <c r="BE351">
        <v>7.2</v>
      </c>
      <c r="BF351">
        <v>50</v>
      </c>
      <c r="BG351">
        <v>21.5</v>
      </c>
      <c r="BH351">
        <v>14.3</v>
      </c>
      <c r="BI351">
        <v>64.3</v>
      </c>
      <c r="BJ351">
        <v>12.8</v>
      </c>
      <c r="BK351">
        <v>2</v>
      </c>
      <c r="BL351">
        <v>19.5</v>
      </c>
      <c r="BM351">
        <v>3.2</v>
      </c>
      <c r="BN351">
        <v>1.1000000000000001</v>
      </c>
      <c r="BO351">
        <v>0.82</v>
      </c>
      <c r="BP351">
        <v>0.16</v>
      </c>
      <c r="BQ351">
        <v>0.31</v>
      </c>
      <c r="BR351">
        <v>431</v>
      </c>
      <c r="BS351">
        <v>132.1</v>
      </c>
      <c r="BT351">
        <v>2541</v>
      </c>
      <c r="BU351">
        <v>1263</v>
      </c>
      <c r="BV351">
        <v>7.79</v>
      </c>
      <c r="BW351">
        <v>3.96</v>
      </c>
      <c r="BX351">
        <v>0.79</v>
      </c>
      <c r="BY351">
        <v>47.1</v>
      </c>
      <c r="BZ351">
        <v>36</v>
      </c>
      <c r="CA351">
        <v>18.73</v>
      </c>
      <c r="CB351">
        <v>17.96</v>
      </c>
      <c r="CC351">
        <v>14.1</v>
      </c>
      <c r="CD351">
        <v>0.7</v>
      </c>
      <c r="CE351">
        <v>2.2000000000000002</v>
      </c>
      <c r="CF351">
        <v>100.9</v>
      </c>
      <c r="CG351">
        <v>15.2</v>
      </c>
      <c r="CH351">
        <v>333</v>
      </c>
      <c r="CI351">
        <v>3.76</v>
      </c>
      <c r="CJ351">
        <v>77.5</v>
      </c>
      <c r="CK351">
        <v>1</v>
      </c>
      <c r="CL351" s="42" t="str">
        <f t="shared" si="61"/>
        <v>1</v>
      </c>
      <c r="CM351" s="4">
        <v>39.333333333333336</v>
      </c>
      <c r="CN351" s="4">
        <f t="shared" si="60"/>
        <v>1.0133333333333332</v>
      </c>
      <c r="CO351">
        <v>2</v>
      </c>
      <c r="CP351" s="42" t="str">
        <f t="shared" si="62"/>
        <v>1</v>
      </c>
      <c r="CQ351" s="4">
        <v>50.666666666666664</v>
      </c>
      <c r="CR351" s="4">
        <v>2.6666666666666665</v>
      </c>
      <c r="CS351" s="43" t="str">
        <f t="shared" si="63"/>
        <v>1</v>
      </c>
      <c r="CT351" s="4">
        <f t="shared" si="64"/>
        <v>90</v>
      </c>
      <c r="CU351" s="4">
        <f t="shared" si="65"/>
        <v>3.6799999999999997</v>
      </c>
      <c r="CV351" s="4">
        <v>3</v>
      </c>
    </row>
    <row r="352" spans="1:100" x14ac:dyDescent="0.3">
      <c r="A352" s="8" t="s">
        <v>234</v>
      </c>
      <c r="B352" s="18">
        <v>1</v>
      </c>
      <c r="C352">
        <v>46</v>
      </c>
      <c r="D352">
        <v>3</v>
      </c>
      <c r="E352">
        <v>1</v>
      </c>
      <c r="F352">
        <v>1</v>
      </c>
      <c r="G352">
        <v>0</v>
      </c>
      <c r="H352">
        <v>0</v>
      </c>
      <c r="I352">
        <v>1</v>
      </c>
      <c r="J352">
        <v>61.5</v>
      </c>
      <c r="K352">
        <v>1.577</v>
      </c>
      <c r="L352">
        <f t="shared" si="58"/>
        <v>157.69999999999999</v>
      </c>
      <c r="M352" s="82">
        <v>16.543499999999998</v>
      </c>
      <c r="N352" s="4">
        <v>42.6</v>
      </c>
      <c r="O352" s="4">
        <v>26.9</v>
      </c>
      <c r="P352" s="39">
        <v>0</v>
      </c>
      <c r="Q352">
        <v>89.5</v>
      </c>
      <c r="R352" s="40">
        <v>1</v>
      </c>
      <c r="S352">
        <v>95.2</v>
      </c>
      <c r="T352" s="5">
        <v>0.94012605042016806</v>
      </c>
      <c r="U352" s="39">
        <v>1</v>
      </c>
      <c r="V352" s="4">
        <v>24.729294644117303</v>
      </c>
      <c r="W352" s="37">
        <v>1</v>
      </c>
      <c r="X352" s="4">
        <v>12</v>
      </c>
      <c r="Y352" s="40">
        <v>1</v>
      </c>
      <c r="Z352" s="5">
        <v>16.52</v>
      </c>
      <c r="AA352" s="5">
        <v>2.9442311111111108</v>
      </c>
      <c r="AB352" s="85">
        <v>1</v>
      </c>
      <c r="AC352" s="5">
        <v>4.01</v>
      </c>
      <c r="AD352" s="37">
        <v>0</v>
      </c>
      <c r="AE352">
        <v>24.95</v>
      </c>
      <c r="AF352" s="5">
        <v>5.58</v>
      </c>
      <c r="AG352" s="37">
        <v>1</v>
      </c>
      <c r="AH352" s="5">
        <v>1.72</v>
      </c>
      <c r="AI352" s="1">
        <v>1</v>
      </c>
      <c r="AJ352" s="13">
        <v>3.71</v>
      </c>
      <c r="AK352" s="1">
        <v>1</v>
      </c>
      <c r="AL352" s="13">
        <v>1.1000000000000001</v>
      </c>
      <c r="AM352" s="1">
        <v>1</v>
      </c>
      <c r="AN352" s="82">
        <f t="shared" si="59"/>
        <v>5.0727272727272723</v>
      </c>
      <c r="AO352" s="1">
        <v>1</v>
      </c>
      <c r="AP352">
        <v>124</v>
      </c>
      <c r="AQ352" s="37">
        <v>0</v>
      </c>
      <c r="AR352">
        <v>81</v>
      </c>
      <c r="AS352" s="37">
        <v>0</v>
      </c>
      <c r="AT352">
        <v>89</v>
      </c>
      <c r="AU352">
        <v>44</v>
      </c>
      <c r="AV352">
        <v>6.5</v>
      </c>
      <c r="AW352">
        <v>1</v>
      </c>
      <c r="AX352">
        <v>1630</v>
      </c>
      <c r="AY352">
        <v>49.3</v>
      </c>
      <c r="AZ352">
        <v>41.1</v>
      </c>
      <c r="BA352">
        <v>283.60000000000002</v>
      </c>
      <c r="BB352">
        <v>10.4</v>
      </c>
      <c r="BC352">
        <v>240.6</v>
      </c>
      <c r="BD352">
        <v>36.299999999999997</v>
      </c>
      <c r="BE352">
        <v>25.6</v>
      </c>
      <c r="BF352">
        <v>104.4</v>
      </c>
      <c r="BG352">
        <v>22.7</v>
      </c>
      <c r="BH352">
        <v>12.1</v>
      </c>
      <c r="BI352">
        <v>65.2</v>
      </c>
      <c r="BJ352">
        <v>11.5</v>
      </c>
      <c r="BK352">
        <v>5.9</v>
      </c>
      <c r="BL352">
        <v>20.9</v>
      </c>
      <c r="BM352">
        <v>7.3</v>
      </c>
      <c r="BN352">
        <v>5.0999999999999996</v>
      </c>
      <c r="BO352">
        <v>4.71</v>
      </c>
      <c r="BP352">
        <v>0.36</v>
      </c>
      <c r="BQ352">
        <v>0.21</v>
      </c>
      <c r="BR352">
        <v>411</v>
      </c>
      <c r="BS352">
        <v>341.9</v>
      </c>
      <c r="BT352">
        <v>2393</v>
      </c>
      <c r="BU352">
        <v>3530</v>
      </c>
      <c r="BV352">
        <v>10.68</v>
      </c>
      <c r="BW352">
        <v>3.98</v>
      </c>
      <c r="BX352">
        <v>0.88</v>
      </c>
      <c r="BY352">
        <v>49.8</v>
      </c>
      <c r="BZ352">
        <v>34.200000000000003</v>
      </c>
      <c r="CA352">
        <v>7.77</v>
      </c>
      <c r="CB352">
        <v>7.51</v>
      </c>
      <c r="CC352">
        <v>31</v>
      </c>
      <c r="CD352">
        <v>0.52</v>
      </c>
      <c r="CE352">
        <v>1.05</v>
      </c>
      <c r="CF352">
        <v>137.5</v>
      </c>
      <c r="CG352">
        <v>19.600000000000001</v>
      </c>
      <c r="CH352">
        <v>462</v>
      </c>
      <c r="CI352">
        <v>2.4</v>
      </c>
      <c r="CJ352">
        <v>33.6</v>
      </c>
      <c r="CK352">
        <v>0</v>
      </c>
      <c r="CL352" s="42" t="str">
        <f t="shared" si="61"/>
        <v>1</v>
      </c>
      <c r="CM352" s="4">
        <v>0</v>
      </c>
      <c r="CN352" s="4">
        <f t="shared" si="60"/>
        <v>1.4266666666666665</v>
      </c>
      <c r="CO352">
        <v>4</v>
      </c>
      <c r="CP352" s="42" t="str">
        <f t="shared" si="62"/>
        <v>1</v>
      </c>
      <c r="CQ352" s="4">
        <v>71.333333333333329</v>
      </c>
      <c r="CR352" s="4">
        <v>1.5419753086419754</v>
      </c>
      <c r="CS352" s="43" t="str">
        <f t="shared" si="63"/>
        <v>1</v>
      </c>
      <c r="CT352" s="4">
        <f t="shared" si="64"/>
        <v>71.333333333333329</v>
      </c>
      <c r="CU352" s="4">
        <f t="shared" si="65"/>
        <v>2.9686419753086417</v>
      </c>
      <c r="CV352" s="4">
        <v>3</v>
      </c>
    </row>
    <row r="353" spans="1:100" x14ac:dyDescent="0.3">
      <c r="A353" s="8" t="s">
        <v>218</v>
      </c>
      <c r="B353" s="18">
        <v>1</v>
      </c>
      <c r="C353">
        <v>56</v>
      </c>
      <c r="D353">
        <v>3</v>
      </c>
      <c r="E353">
        <v>1</v>
      </c>
      <c r="F353">
        <v>1</v>
      </c>
      <c r="G353">
        <v>0</v>
      </c>
      <c r="H353">
        <v>0</v>
      </c>
      <c r="I353">
        <v>1</v>
      </c>
      <c r="J353">
        <v>64</v>
      </c>
      <c r="K353">
        <v>1.5640000000000001</v>
      </c>
      <c r="L353">
        <f t="shared" si="58"/>
        <v>156.4</v>
      </c>
      <c r="M353" s="82">
        <v>24.128</v>
      </c>
      <c r="N353" s="4">
        <v>37.6</v>
      </c>
      <c r="O353" s="4">
        <v>37.700000000000003</v>
      </c>
      <c r="P353" s="39">
        <v>1</v>
      </c>
      <c r="Q353">
        <v>88</v>
      </c>
      <c r="R353" s="40">
        <v>1</v>
      </c>
      <c r="S353">
        <v>101</v>
      </c>
      <c r="T353" s="5">
        <v>0.87128712871287128</v>
      </c>
      <c r="U353" s="39">
        <v>0</v>
      </c>
      <c r="V353" s="4">
        <v>26.164140736913019</v>
      </c>
      <c r="W353" s="37">
        <v>1</v>
      </c>
      <c r="X353" s="4">
        <v>8</v>
      </c>
      <c r="Y353" s="40">
        <v>0</v>
      </c>
      <c r="Z353" s="5">
        <v>22.945</v>
      </c>
      <c r="AA353" s="5">
        <v>4.7827577777777783</v>
      </c>
      <c r="AB353" s="85">
        <v>1</v>
      </c>
      <c r="AC353" s="5">
        <v>4.6900000000000004</v>
      </c>
      <c r="AD353" s="37">
        <v>0</v>
      </c>
      <c r="AE353" s="21">
        <v>3</v>
      </c>
      <c r="AF353" s="5">
        <v>5.64</v>
      </c>
      <c r="AG353" s="37">
        <v>1</v>
      </c>
      <c r="AH353" s="5">
        <v>1.35</v>
      </c>
      <c r="AI353" s="1">
        <v>1</v>
      </c>
      <c r="AJ353" s="13">
        <v>3.91</v>
      </c>
      <c r="AK353" s="1">
        <v>1</v>
      </c>
      <c r="AL353" s="13">
        <v>1.1200000000000001</v>
      </c>
      <c r="AM353" s="1">
        <v>1</v>
      </c>
      <c r="AN353" s="82">
        <f t="shared" si="59"/>
        <v>5.0357142857142847</v>
      </c>
      <c r="AO353" s="1">
        <v>1</v>
      </c>
      <c r="AP353">
        <v>122</v>
      </c>
      <c r="AQ353" s="37">
        <v>0</v>
      </c>
      <c r="AR353">
        <v>89</v>
      </c>
      <c r="AS353" s="37">
        <v>1</v>
      </c>
      <c r="AT353">
        <v>72</v>
      </c>
      <c r="AU353">
        <v>33</v>
      </c>
      <c r="AV353">
        <v>7.7</v>
      </c>
      <c r="AW353">
        <v>1</v>
      </c>
      <c r="AX353">
        <v>1252</v>
      </c>
      <c r="AY353">
        <v>39.6</v>
      </c>
      <c r="AZ353">
        <v>43</v>
      </c>
      <c r="BA353">
        <v>188.5</v>
      </c>
      <c r="BB353">
        <v>10.1</v>
      </c>
      <c r="BC353">
        <v>128.5</v>
      </c>
      <c r="BD353">
        <v>49.7</v>
      </c>
      <c r="BE353">
        <v>34.200000000000003</v>
      </c>
      <c r="BF353">
        <v>122.5</v>
      </c>
      <c r="BG353">
        <v>30.9</v>
      </c>
      <c r="BH353">
        <v>12.6</v>
      </c>
      <c r="BI353">
        <v>56.4</v>
      </c>
      <c r="BJ353">
        <v>15.7</v>
      </c>
      <c r="BK353">
        <v>10.199999999999999</v>
      </c>
      <c r="BL353">
        <v>21.9</v>
      </c>
      <c r="BM353">
        <v>6.2</v>
      </c>
      <c r="BN353">
        <v>2.9</v>
      </c>
      <c r="BO353">
        <v>2.0299999999999998</v>
      </c>
      <c r="BP353">
        <v>0.53</v>
      </c>
      <c r="BQ353">
        <v>0.04</v>
      </c>
      <c r="BR353">
        <v>399</v>
      </c>
      <c r="BS353">
        <v>147</v>
      </c>
      <c r="BT353">
        <v>2058</v>
      </c>
      <c r="BU353">
        <v>1345</v>
      </c>
      <c r="BV353">
        <v>5.45</v>
      </c>
      <c r="BW353">
        <v>2.89</v>
      </c>
      <c r="BX353">
        <v>0.8</v>
      </c>
      <c r="BY353">
        <v>31.9</v>
      </c>
      <c r="BZ353">
        <v>33.4</v>
      </c>
      <c r="CA353">
        <v>1.1399999999999999</v>
      </c>
      <c r="CB353">
        <v>1.96</v>
      </c>
      <c r="CC353">
        <v>8.3000000000000007</v>
      </c>
      <c r="CD353">
        <v>0.53</v>
      </c>
      <c r="CE353">
        <v>3.66</v>
      </c>
      <c r="CF353">
        <v>124.6</v>
      </c>
      <c r="CG353">
        <v>29.5</v>
      </c>
      <c r="CH353">
        <v>335</v>
      </c>
      <c r="CI353">
        <v>11.66</v>
      </c>
      <c r="CJ353">
        <v>2</v>
      </c>
      <c r="CK353">
        <v>1</v>
      </c>
      <c r="CL353" s="42" t="str">
        <f t="shared" si="61"/>
        <v>1</v>
      </c>
      <c r="CM353" s="4">
        <v>40</v>
      </c>
      <c r="CN353" s="4">
        <f t="shared" si="60"/>
        <v>1.4733333333333334</v>
      </c>
      <c r="CO353">
        <v>4</v>
      </c>
      <c r="CP353" s="42" t="str">
        <f t="shared" si="62"/>
        <v>1</v>
      </c>
      <c r="CQ353" s="4">
        <v>73.666666666666671</v>
      </c>
      <c r="CR353" s="4">
        <v>1.9012345679012346</v>
      </c>
      <c r="CS353" s="43" t="str">
        <f t="shared" si="63"/>
        <v>1</v>
      </c>
      <c r="CT353" s="4">
        <f t="shared" si="64"/>
        <v>113.66666666666667</v>
      </c>
      <c r="CU353" s="4">
        <f t="shared" si="65"/>
        <v>3.3745679012345677</v>
      </c>
      <c r="CV353" s="4">
        <v>3</v>
      </c>
    </row>
    <row r="354" spans="1:100" x14ac:dyDescent="0.3">
      <c r="A354" s="8" t="s">
        <v>217</v>
      </c>
      <c r="B354" s="18">
        <v>1</v>
      </c>
      <c r="C354">
        <v>52</v>
      </c>
      <c r="D354">
        <v>3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58.3</v>
      </c>
      <c r="K354">
        <v>1.4279999999999999</v>
      </c>
      <c r="L354">
        <f t="shared" si="58"/>
        <v>142.79999999999998</v>
      </c>
      <c r="M354" s="82">
        <v>23.378299999999999</v>
      </c>
      <c r="N354" s="4">
        <v>32.5</v>
      </c>
      <c r="O354" s="4">
        <v>40.1</v>
      </c>
      <c r="P354" s="39">
        <v>1</v>
      </c>
      <c r="Q354">
        <v>86</v>
      </c>
      <c r="R354" s="40">
        <v>1</v>
      </c>
      <c r="S354">
        <v>97</v>
      </c>
      <c r="T354" s="5">
        <v>0.88659793814432986</v>
      </c>
      <c r="U354" s="39">
        <v>1</v>
      </c>
      <c r="V354" s="4">
        <v>28.589867319476813</v>
      </c>
      <c r="W354" s="37">
        <v>1</v>
      </c>
      <c r="X354">
        <v>9</v>
      </c>
      <c r="Y354" s="40">
        <v>0</v>
      </c>
      <c r="Z354" s="5">
        <v>9.5429999999999993</v>
      </c>
      <c r="AA354" s="5">
        <v>1.8619453333333331</v>
      </c>
      <c r="AB354" s="85">
        <v>0</v>
      </c>
      <c r="AC354" s="5">
        <v>4.3899999999999997</v>
      </c>
      <c r="AD354" s="37">
        <v>0</v>
      </c>
      <c r="AE354">
        <v>20.260000000000002</v>
      </c>
      <c r="AF354" s="5">
        <v>5.4</v>
      </c>
      <c r="AG354" s="37">
        <v>1</v>
      </c>
      <c r="AH354" s="5">
        <v>1.21</v>
      </c>
      <c r="AI354" s="1">
        <v>1</v>
      </c>
      <c r="AJ354" s="13">
        <v>3.54</v>
      </c>
      <c r="AK354" s="1">
        <v>0</v>
      </c>
      <c r="AL354" s="13">
        <v>1.32</v>
      </c>
      <c r="AM354" s="1">
        <v>0</v>
      </c>
      <c r="AN354" s="82">
        <f t="shared" si="59"/>
        <v>4.0909090909090908</v>
      </c>
      <c r="AO354" s="1">
        <v>1</v>
      </c>
      <c r="AP354">
        <v>121</v>
      </c>
      <c r="AQ354" s="37">
        <v>0</v>
      </c>
      <c r="AR354">
        <v>78</v>
      </c>
      <c r="AS354" s="37">
        <v>0</v>
      </c>
      <c r="AT354">
        <v>68</v>
      </c>
      <c r="AU354">
        <v>43</v>
      </c>
      <c r="AV354">
        <v>7.3</v>
      </c>
      <c r="AW354">
        <v>1</v>
      </c>
      <c r="AX354">
        <v>948</v>
      </c>
      <c r="AY354">
        <v>24.8</v>
      </c>
      <c r="AZ354">
        <v>22.3</v>
      </c>
      <c r="BA354">
        <v>172.3</v>
      </c>
      <c r="BB354">
        <v>3.7</v>
      </c>
      <c r="BC354">
        <v>151.80000000000001</v>
      </c>
      <c r="BD354">
        <v>11.9</v>
      </c>
      <c r="BE354">
        <v>8.9</v>
      </c>
      <c r="BF354">
        <v>76</v>
      </c>
      <c r="BG354">
        <v>21.1</v>
      </c>
      <c r="BH354">
        <v>10.5</v>
      </c>
      <c r="BI354">
        <v>68.099999999999994</v>
      </c>
      <c r="BJ354">
        <v>14.5</v>
      </c>
      <c r="BK354">
        <v>3.5</v>
      </c>
      <c r="BL354">
        <v>15.3</v>
      </c>
      <c r="BM354">
        <v>3.1</v>
      </c>
      <c r="BN354">
        <v>1.2</v>
      </c>
      <c r="BO354">
        <v>0.98</v>
      </c>
      <c r="BP354">
        <v>0.08</v>
      </c>
      <c r="BQ354">
        <v>0</v>
      </c>
      <c r="BR354">
        <v>131</v>
      </c>
      <c r="BS354">
        <v>96.7</v>
      </c>
      <c r="BT354">
        <v>1642</v>
      </c>
      <c r="BU354">
        <v>977</v>
      </c>
      <c r="BV354">
        <v>4.43</v>
      </c>
      <c r="BW354">
        <v>3.62</v>
      </c>
      <c r="BX354">
        <v>0.7</v>
      </c>
      <c r="BY354">
        <v>31.5</v>
      </c>
      <c r="BZ354">
        <v>32</v>
      </c>
      <c r="CA354">
        <v>0.23</v>
      </c>
      <c r="CB354">
        <v>0.26</v>
      </c>
      <c r="CC354">
        <v>8</v>
      </c>
      <c r="CD354">
        <v>0.5</v>
      </c>
      <c r="CE354">
        <v>0.94</v>
      </c>
      <c r="CF354">
        <v>72.8</v>
      </c>
      <c r="CG354">
        <v>12.9</v>
      </c>
      <c r="CH354">
        <v>108</v>
      </c>
      <c r="CI354">
        <v>1.24</v>
      </c>
      <c r="CJ354">
        <v>1</v>
      </c>
      <c r="CK354">
        <v>0</v>
      </c>
      <c r="CL354" s="42" t="str">
        <f t="shared" si="61"/>
        <v>1</v>
      </c>
      <c r="CM354" s="4">
        <v>0</v>
      </c>
      <c r="CN354" s="4">
        <f t="shared" si="60"/>
        <v>2.38</v>
      </c>
      <c r="CO354">
        <v>4</v>
      </c>
      <c r="CP354" s="42" t="str">
        <f t="shared" si="62"/>
        <v>1</v>
      </c>
      <c r="CQ354" s="4">
        <v>119</v>
      </c>
      <c r="CR354" s="4">
        <v>1.9938271604938271</v>
      </c>
      <c r="CS354" s="43" t="str">
        <f t="shared" si="63"/>
        <v>1</v>
      </c>
      <c r="CT354" s="4">
        <f t="shared" si="64"/>
        <v>119</v>
      </c>
      <c r="CU354" s="4">
        <f t="shared" si="65"/>
        <v>4.3738271604938266</v>
      </c>
      <c r="CV354" s="4">
        <v>4</v>
      </c>
    </row>
    <row r="355" spans="1:100" x14ac:dyDescent="0.3">
      <c r="A355" s="8" t="s">
        <v>216</v>
      </c>
      <c r="B355" s="18">
        <v>1</v>
      </c>
      <c r="C355">
        <v>35</v>
      </c>
      <c r="D355">
        <v>3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72.8</v>
      </c>
      <c r="K355">
        <v>1.61</v>
      </c>
      <c r="L355">
        <f t="shared" si="58"/>
        <v>161</v>
      </c>
      <c r="M355" s="82">
        <v>28.683199999999996</v>
      </c>
      <c r="N355" s="4">
        <v>41.4</v>
      </c>
      <c r="O355" s="4">
        <v>39.4</v>
      </c>
      <c r="P355" s="39">
        <v>1</v>
      </c>
      <c r="Q355">
        <v>85</v>
      </c>
      <c r="R355" s="40">
        <v>1</v>
      </c>
      <c r="S355">
        <v>105</v>
      </c>
      <c r="T355" s="5">
        <v>0.80952380952380953</v>
      </c>
      <c r="U355" s="39">
        <v>0</v>
      </c>
      <c r="V355" s="4">
        <v>28.085336213880634</v>
      </c>
      <c r="W355" s="37">
        <v>1</v>
      </c>
      <c r="X355">
        <v>8</v>
      </c>
      <c r="Y355" s="40">
        <v>0</v>
      </c>
      <c r="Z355" s="5">
        <v>11.058</v>
      </c>
      <c r="AA355" s="5">
        <v>1.7447066666666666</v>
      </c>
      <c r="AB355" s="85">
        <v>0</v>
      </c>
      <c r="AC355" s="5">
        <v>3.55</v>
      </c>
      <c r="AD355" s="37">
        <v>0</v>
      </c>
      <c r="AE355">
        <v>22.53</v>
      </c>
      <c r="AF355" s="5">
        <v>5.71</v>
      </c>
      <c r="AG355" s="37">
        <v>1</v>
      </c>
      <c r="AH355" s="5">
        <v>1.45</v>
      </c>
      <c r="AI355" s="1">
        <v>1</v>
      </c>
      <c r="AJ355" s="13">
        <v>3.93</v>
      </c>
      <c r="AK355" s="1">
        <v>1</v>
      </c>
      <c r="AL355" s="13">
        <v>1.1200000000000001</v>
      </c>
      <c r="AM355" s="1">
        <v>1</v>
      </c>
      <c r="AN355" s="82">
        <f t="shared" si="59"/>
        <v>5.0982142857142856</v>
      </c>
      <c r="AO355" s="1">
        <v>1</v>
      </c>
      <c r="AP355">
        <v>109</v>
      </c>
      <c r="AQ355" s="37">
        <v>0</v>
      </c>
      <c r="AR355">
        <v>69</v>
      </c>
      <c r="AS355" s="37">
        <v>0</v>
      </c>
      <c r="AT355">
        <v>78</v>
      </c>
      <c r="AU355">
        <v>40</v>
      </c>
      <c r="AV355">
        <v>5.3</v>
      </c>
      <c r="AW355">
        <v>1</v>
      </c>
      <c r="AX355">
        <v>1454</v>
      </c>
      <c r="AY355">
        <v>48.5</v>
      </c>
      <c r="AZ355">
        <v>41</v>
      </c>
      <c r="BA355">
        <v>236.9</v>
      </c>
      <c r="BB355">
        <v>4.7</v>
      </c>
      <c r="BC355">
        <v>156.1</v>
      </c>
      <c r="BD355">
        <v>71.400000000000006</v>
      </c>
      <c r="BE355">
        <v>57.2</v>
      </c>
      <c r="BF355">
        <v>171.4</v>
      </c>
      <c r="BG355">
        <v>25.4</v>
      </c>
      <c r="BH355">
        <v>13.4</v>
      </c>
      <c r="BI355">
        <v>61.1</v>
      </c>
      <c r="BJ355">
        <v>14.7</v>
      </c>
      <c r="BK355">
        <v>14.8</v>
      </c>
      <c r="BL355">
        <v>23.8</v>
      </c>
      <c r="BM355">
        <v>8</v>
      </c>
      <c r="BN355">
        <v>4.4000000000000004</v>
      </c>
      <c r="BO355">
        <v>4.0199999999999996</v>
      </c>
      <c r="BP355">
        <v>0.24</v>
      </c>
      <c r="BQ355">
        <v>0.52</v>
      </c>
      <c r="BR355">
        <v>529</v>
      </c>
      <c r="BS355">
        <v>152.5</v>
      </c>
      <c r="BT355">
        <v>2156</v>
      </c>
      <c r="BU355">
        <v>1407</v>
      </c>
      <c r="BV355">
        <v>6.33</v>
      </c>
      <c r="BW355">
        <v>5.3</v>
      </c>
      <c r="BX355">
        <v>0.91</v>
      </c>
      <c r="BY355">
        <v>43</v>
      </c>
      <c r="BZ355">
        <v>68.3</v>
      </c>
      <c r="CA355">
        <v>0.54</v>
      </c>
      <c r="CB355">
        <v>1.04</v>
      </c>
      <c r="CC355">
        <v>13</v>
      </c>
      <c r="CD355">
        <v>0.69</v>
      </c>
      <c r="CE355">
        <v>2.02</v>
      </c>
      <c r="CF355">
        <v>122.1</v>
      </c>
      <c r="CG355">
        <v>8.1</v>
      </c>
      <c r="CH355">
        <v>341</v>
      </c>
      <c r="CI355">
        <v>1.43</v>
      </c>
      <c r="CJ355">
        <v>2.2999999999999998</v>
      </c>
      <c r="CK355">
        <v>0</v>
      </c>
      <c r="CL355" s="42" t="str">
        <f t="shared" si="61"/>
        <v>1</v>
      </c>
      <c r="CM355" s="4">
        <v>0</v>
      </c>
      <c r="CN355" s="4">
        <f t="shared" si="60"/>
        <v>0.99333333333333329</v>
      </c>
      <c r="CO355">
        <v>2</v>
      </c>
      <c r="CP355" s="42" t="str">
        <f t="shared" si="62"/>
        <v>1</v>
      </c>
      <c r="CQ355" s="4">
        <v>49.666666666666664</v>
      </c>
      <c r="CR355" s="4">
        <v>3.2283950617283952</v>
      </c>
      <c r="CS355" s="43" t="str">
        <f t="shared" si="63"/>
        <v>1</v>
      </c>
      <c r="CT355" s="4">
        <f t="shared" si="64"/>
        <v>49.666666666666664</v>
      </c>
      <c r="CU355" s="4">
        <f t="shared" si="65"/>
        <v>4.2217283950617288</v>
      </c>
      <c r="CV355" s="4">
        <v>4</v>
      </c>
    </row>
    <row r="356" spans="1:100" x14ac:dyDescent="0.3">
      <c r="A356" s="8" t="s">
        <v>215</v>
      </c>
      <c r="B356" s="18">
        <v>1</v>
      </c>
      <c r="C356">
        <v>49</v>
      </c>
      <c r="D356">
        <v>3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45.2</v>
      </c>
      <c r="K356">
        <v>1.5369999999999999</v>
      </c>
      <c r="L356">
        <f t="shared" si="58"/>
        <v>153.69999999999999</v>
      </c>
      <c r="M356" s="82">
        <v>12.068400000000002</v>
      </c>
      <c r="N356" s="4">
        <v>31.4</v>
      </c>
      <c r="O356" s="4">
        <v>26.7</v>
      </c>
      <c r="P356" s="39">
        <v>0</v>
      </c>
      <c r="Q356">
        <v>66</v>
      </c>
      <c r="R356" s="40">
        <v>0</v>
      </c>
      <c r="S356">
        <v>86</v>
      </c>
      <c r="T356" s="5">
        <v>0.76744186046511631</v>
      </c>
      <c r="U356" s="39">
        <v>0</v>
      </c>
      <c r="V356" s="4">
        <v>19.133336070698526</v>
      </c>
      <c r="W356" s="37">
        <v>0</v>
      </c>
      <c r="X356">
        <v>3</v>
      </c>
      <c r="Y356" s="40">
        <v>0</v>
      </c>
      <c r="Z356" s="5">
        <v>6.056</v>
      </c>
      <c r="AA356" s="5">
        <v>1.162752</v>
      </c>
      <c r="AB356" s="85">
        <v>0</v>
      </c>
      <c r="AC356" s="5">
        <v>4.32</v>
      </c>
      <c r="AD356" s="37">
        <v>0</v>
      </c>
      <c r="AE356">
        <v>3</v>
      </c>
      <c r="AF356" s="5">
        <v>6.04</v>
      </c>
      <c r="AG356" s="37">
        <v>1</v>
      </c>
      <c r="AH356" s="5">
        <v>0.68</v>
      </c>
      <c r="AI356" s="1">
        <v>1</v>
      </c>
      <c r="AJ356" s="13">
        <v>4.32</v>
      </c>
      <c r="AK356" s="1">
        <v>0</v>
      </c>
      <c r="AL356" s="13">
        <v>1.4</v>
      </c>
      <c r="AM356" s="1">
        <v>0</v>
      </c>
      <c r="AN356" s="82">
        <f t="shared" si="59"/>
        <v>4.3142857142857149</v>
      </c>
      <c r="AO356" s="1">
        <v>1</v>
      </c>
      <c r="AP356">
        <v>105</v>
      </c>
      <c r="AQ356" s="37">
        <v>0</v>
      </c>
      <c r="AR356">
        <v>63</v>
      </c>
      <c r="AS356" s="37">
        <v>0</v>
      </c>
      <c r="AT356">
        <v>79</v>
      </c>
      <c r="AU356">
        <v>42</v>
      </c>
      <c r="AV356">
        <v>6.6</v>
      </c>
      <c r="AW356">
        <v>1</v>
      </c>
      <c r="AX356">
        <v>1570</v>
      </c>
      <c r="AY356">
        <v>108.2</v>
      </c>
      <c r="AZ356">
        <v>52.2</v>
      </c>
      <c r="BA356">
        <v>249.9</v>
      </c>
      <c r="BB356">
        <v>9.1</v>
      </c>
      <c r="BC356">
        <v>154.19999999999999</v>
      </c>
      <c r="BD356">
        <v>78.900000000000006</v>
      </c>
      <c r="BE356">
        <v>60.7</v>
      </c>
      <c r="BF356">
        <v>108</v>
      </c>
      <c r="BG356">
        <v>29.9</v>
      </c>
      <c r="BH356">
        <v>27.6</v>
      </c>
      <c r="BI356">
        <v>59.7</v>
      </c>
      <c r="BJ356">
        <v>18.100000000000001</v>
      </c>
      <c r="BK356">
        <v>14.5</v>
      </c>
      <c r="BL356">
        <v>31.5</v>
      </c>
      <c r="BM356">
        <v>6.9</v>
      </c>
      <c r="BN356">
        <v>3</v>
      </c>
      <c r="BO356">
        <v>1.64</v>
      </c>
      <c r="BP356">
        <v>1.04</v>
      </c>
      <c r="BQ356">
        <v>0.27</v>
      </c>
      <c r="BR356">
        <v>442</v>
      </c>
      <c r="BS356">
        <v>150.6</v>
      </c>
      <c r="BT356">
        <v>3101</v>
      </c>
      <c r="BU356">
        <v>1395</v>
      </c>
      <c r="BV356">
        <v>7.52</v>
      </c>
      <c r="BW356">
        <v>4.1100000000000003</v>
      </c>
      <c r="BX356">
        <v>1.1499999999999999</v>
      </c>
      <c r="BY356">
        <v>20.399999999999999</v>
      </c>
      <c r="BZ356">
        <v>46.6</v>
      </c>
      <c r="CA356">
        <v>7.57</v>
      </c>
      <c r="CB356">
        <v>7.62</v>
      </c>
      <c r="CC356">
        <v>8.8000000000000007</v>
      </c>
      <c r="CD356">
        <v>0.53</v>
      </c>
      <c r="CE356">
        <v>6.54</v>
      </c>
      <c r="CF356">
        <v>133.80000000000001</v>
      </c>
      <c r="CG356">
        <v>20.6</v>
      </c>
      <c r="CH356">
        <v>348</v>
      </c>
      <c r="CI356">
        <v>9.25</v>
      </c>
      <c r="CJ356">
        <v>32.6</v>
      </c>
      <c r="CK356">
        <v>1</v>
      </c>
      <c r="CL356" s="42" t="str">
        <f t="shared" si="61"/>
        <v>1</v>
      </c>
      <c r="CM356" s="4">
        <v>25</v>
      </c>
      <c r="CN356" s="4">
        <f t="shared" si="60"/>
        <v>2.9466666666666668</v>
      </c>
      <c r="CO356">
        <v>8</v>
      </c>
      <c r="CP356" s="42" t="str">
        <f t="shared" si="62"/>
        <v>1</v>
      </c>
      <c r="CQ356" s="4">
        <v>147.33333333333334</v>
      </c>
      <c r="CR356" s="4">
        <v>4.325925925925926</v>
      </c>
      <c r="CS356" s="43" t="str">
        <f t="shared" si="63"/>
        <v>2</v>
      </c>
      <c r="CT356" s="4">
        <f t="shared" si="64"/>
        <v>172.33333333333334</v>
      </c>
      <c r="CU356" s="4">
        <f t="shared" si="65"/>
        <v>7.2725925925925932</v>
      </c>
      <c r="CV356" s="4">
        <v>4</v>
      </c>
    </row>
    <row r="357" spans="1:100" x14ac:dyDescent="0.3">
      <c r="A357" s="8" t="s">
        <v>214</v>
      </c>
      <c r="B357" s="18">
        <v>1</v>
      </c>
      <c r="C357">
        <v>56</v>
      </c>
      <c r="D357">
        <v>3</v>
      </c>
      <c r="E357">
        <v>0</v>
      </c>
      <c r="F357">
        <v>1</v>
      </c>
      <c r="G357">
        <v>0</v>
      </c>
      <c r="H357">
        <v>0</v>
      </c>
      <c r="I357">
        <v>1</v>
      </c>
      <c r="J357">
        <v>48.74</v>
      </c>
      <c r="K357">
        <v>1.5109999999999999</v>
      </c>
      <c r="L357">
        <f t="shared" si="58"/>
        <v>151.1</v>
      </c>
      <c r="M357" s="82">
        <v>16.230419999999999</v>
      </c>
      <c r="N357" s="4">
        <v>30.8</v>
      </c>
      <c r="O357" s="4">
        <v>33.299999999999997</v>
      </c>
      <c r="P357" s="39">
        <v>1</v>
      </c>
      <c r="Q357">
        <v>81</v>
      </c>
      <c r="R357" s="40">
        <v>0</v>
      </c>
      <c r="S357">
        <v>90</v>
      </c>
      <c r="T357" s="5">
        <v>0.9</v>
      </c>
      <c r="U357" s="39">
        <v>1</v>
      </c>
      <c r="V357" s="4">
        <v>21.347970606901697</v>
      </c>
      <c r="W357" s="37">
        <v>0</v>
      </c>
      <c r="X357">
        <v>6</v>
      </c>
      <c r="Y357" s="40">
        <v>0</v>
      </c>
      <c r="Z357" s="5">
        <v>7.5819999999999999</v>
      </c>
      <c r="AA357" s="5">
        <v>1.7522844444444445</v>
      </c>
      <c r="AB357" s="85">
        <v>0</v>
      </c>
      <c r="AC357" s="5">
        <v>5.2</v>
      </c>
      <c r="AD357" s="37">
        <v>0</v>
      </c>
      <c r="AE357" s="21">
        <v>3</v>
      </c>
      <c r="AF357" s="5">
        <v>5.49</v>
      </c>
      <c r="AG357" s="37">
        <v>1</v>
      </c>
      <c r="AH357" s="5">
        <v>0.75</v>
      </c>
      <c r="AI357" s="1">
        <v>1</v>
      </c>
      <c r="AJ357" s="13">
        <v>4.0599999999999996</v>
      </c>
      <c r="AK357" s="1">
        <v>1</v>
      </c>
      <c r="AL357" s="13">
        <v>1.0900000000000001</v>
      </c>
      <c r="AM357" s="1">
        <v>1</v>
      </c>
      <c r="AN357" s="82">
        <f t="shared" si="59"/>
        <v>5.0366972477064218</v>
      </c>
      <c r="AO357" s="1">
        <v>1</v>
      </c>
      <c r="AP357">
        <v>137</v>
      </c>
      <c r="AQ357" s="37">
        <v>1</v>
      </c>
      <c r="AR357">
        <v>87</v>
      </c>
      <c r="AS357" s="37">
        <v>1</v>
      </c>
      <c r="AT357">
        <v>78</v>
      </c>
      <c r="AU357">
        <v>50</v>
      </c>
      <c r="AV357">
        <v>8.4</v>
      </c>
      <c r="AW357">
        <v>1</v>
      </c>
      <c r="AX357">
        <v>1640</v>
      </c>
      <c r="AY357">
        <v>39.799999999999997</v>
      </c>
      <c r="AZ357">
        <v>45.9</v>
      </c>
      <c r="BA357">
        <v>283.5</v>
      </c>
      <c r="BB357">
        <v>5.5</v>
      </c>
      <c r="BC357">
        <v>233.9</v>
      </c>
      <c r="BD357">
        <v>34.6</v>
      </c>
      <c r="BE357">
        <v>22.6</v>
      </c>
      <c r="BF357">
        <v>161.80000000000001</v>
      </c>
      <c r="BG357">
        <v>25.2</v>
      </c>
      <c r="BH357">
        <v>9.6999999999999993</v>
      </c>
      <c r="BI357">
        <v>64.8</v>
      </c>
      <c r="BJ357">
        <v>17.3</v>
      </c>
      <c r="BK357">
        <v>5.2</v>
      </c>
      <c r="BL357">
        <v>31.6</v>
      </c>
      <c r="BM357">
        <v>7.7</v>
      </c>
      <c r="BN357">
        <v>2.2999999999999998</v>
      </c>
      <c r="BO357">
        <v>1.71</v>
      </c>
      <c r="BP357">
        <v>0.34</v>
      </c>
      <c r="BQ357">
        <v>0.16</v>
      </c>
      <c r="BR357">
        <v>363</v>
      </c>
      <c r="BS357">
        <v>145.69999999999999</v>
      </c>
      <c r="BT357">
        <v>1937</v>
      </c>
      <c r="BU357">
        <v>1406</v>
      </c>
      <c r="BV357">
        <v>7.9</v>
      </c>
      <c r="BW357">
        <v>6.4</v>
      </c>
      <c r="BX357">
        <v>1.1000000000000001</v>
      </c>
      <c r="BY357">
        <v>37.799999999999997</v>
      </c>
      <c r="BZ357">
        <v>77.3</v>
      </c>
      <c r="CA357">
        <v>0.4</v>
      </c>
      <c r="CB357">
        <v>0.62</v>
      </c>
      <c r="CC357">
        <v>12.7</v>
      </c>
      <c r="CD357">
        <v>0.76</v>
      </c>
      <c r="CE357">
        <v>2.68</v>
      </c>
      <c r="CF357">
        <v>123.1</v>
      </c>
      <c r="CG357">
        <v>10.9</v>
      </c>
      <c r="CH357">
        <v>230</v>
      </c>
      <c r="CI357">
        <v>2.82</v>
      </c>
      <c r="CJ357">
        <v>1.5</v>
      </c>
      <c r="CK357">
        <v>1</v>
      </c>
      <c r="CL357" s="42" t="str">
        <f t="shared" si="61"/>
        <v>1</v>
      </c>
      <c r="CM357" s="4">
        <v>13</v>
      </c>
      <c r="CN357" s="4">
        <f t="shared" si="60"/>
        <v>2.2000000000000002</v>
      </c>
      <c r="CO357">
        <v>3</v>
      </c>
      <c r="CP357" s="42" t="str">
        <f t="shared" si="62"/>
        <v>1</v>
      </c>
      <c r="CQ357" s="4">
        <v>110</v>
      </c>
      <c r="CR357" s="4">
        <v>1.2962962962962963</v>
      </c>
      <c r="CS357" s="43" t="str">
        <f t="shared" si="63"/>
        <v>1</v>
      </c>
      <c r="CT357" s="4">
        <f t="shared" si="64"/>
        <v>123</v>
      </c>
      <c r="CU357" s="4">
        <f t="shared" si="65"/>
        <v>3.4962962962962965</v>
      </c>
      <c r="CV357" s="4">
        <v>3</v>
      </c>
    </row>
    <row r="358" spans="1:100" x14ac:dyDescent="0.3">
      <c r="A358" s="8" t="s">
        <v>213</v>
      </c>
      <c r="B358" s="18">
        <v>1</v>
      </c>
      <c r="C358">
        <v>51</v>
      </c>
      <c r="D358">
        <v>3</v>
      </c>
      <c r="E358">
        <v>2</v>
      </c>
      <c r="F358">
        <v>1</v>
      </c>
      <c r="G358">
        <v>0</v>
      </c>
      <c r="H358">
        <v>0</v>
      </c>
      <c r="I358">
        <v>0</v>
      </c>
      <c r="J358">
        <v>64.400000000000006</v>
      </c>
      <c r="K358">
        <v>1.5740000000000001</v>
      </c>
      <c r="L358">
        <f t="shared" si="58"/>
        <v>157.4</v>
      </c>
      <c r="M358" s="82">
        <v>24.600800000000003</v>
      </c>
      <c r="N358" s="4">
        <v>37.6</v>
      </c>
      <c r="O358" s="4">
        <v>38.200000000000003</v>
      </c>
      <c r="P358" s="39">
        <v>1</v>
      </c>
      <c r="Q358">
        <v>92</v>
      </c>
      <c r="R358" s="40">
        <v>1</v>
      </c>
      <c r="S358">
        <v>99</v>
      </c>
      <c r="T358" s="5">
        <v>0.92929292929292928</v>
      </c>
      <c r="U358" s="39">
        <v>1</v>
      </c>
      <c r="V358" s="4">
        <v>25.994197320175857</v>
      </c>
      <c r="W358" s="37">
        <v>1</v>
      </c>
      <c r="X358">
        <v>8</v>
      </c>
      <c r="Y358" s="40">
        <v>0</v>
      </c>
      <c r="Z358" s="5">
        <v>13.221</v>
      </c>
      <c r="AA358" s="5">
        <v>2.7675960000000002</v>
      </c>
      <c r="AB358" s="85">
        <v>0</v>
      </c>
      <c r="AC358" s="5">
        <v>4.71</v>
      </c>
      <c r="AD358" s="37">
        <v>0</v>
      </c>
      <c r="AE358">
        <v>3</v>
      </c>
      <c r="AF358" s="5">
        <v>6.35</v>
      </c>
      <c r="AG358" s="37">
        <v>1</v>
      </c>
      <c r="AH358" s="5">
        <v>1.89</v>
      </c>
      <c r="AI358" s="1">
        <v>1</v>
      </c>
      <c r="AJ358" s="13">
        <v>4.47</v>
      </c>
      <c r="AK358" s="1">
        <v>1</v>
      </c>
      <c r="AL358" s="13">
        <v>1.02</v>
      </c>
      <c r="AM358" s="1">
        <v>1</v>
      </c>
      <c r="AN358" s="82">
        <f t="shared" si="59"/>
        <v>6.2254901960784306</v>
      </c>
      <c r="AO358" s="1">
        <v>1</v>
      </c>
      <c r="AP358">
        <v>113</v>
      </c>
      <c r="AQ358" s="37">
        <v>0</v>
      </c>
      <c r="AR358">
        <v>63</v>
      </c>
      <c r="AS358" s="37">
        <v>0</v>
      </c>
      <c r="AT358">
        <v>53</v>
      </c>
      <c r="AU358">
        <v>67</v>
      </c>
      <c r="AV358">
        <v>6.8</v>
      </c>
      <c r="AW358">
        <v>1</v>
      </c>
      <c r="AX358">
        <v>1563</v>
      </c>
      <c r="AY358">
        <v>51.1</v>
      </c>
      <c r="AZ358">
        <v>61.9</v>
      </c>
      <c r="BA358">
        <v>213.4</v>
      </c>
      <c r="BB358">
        <v>10.4</v>
      </c>
      <c r="BC358">
        <v>161.30000000000001</v>
      </c>
      <c r="BD358">
        <v>28.4</v>
      </c>
      <c r="BE358">
        <v>14.7</v>
      </c>
      <c r="BF358">
        <v>88.2</v>
      </c>
      <c r="BG358">
        <v>35.700000000000003</v>
      </c>
      <c r="BH358">
        <v>13.1</v>
      </c>
      <c r="BI358">
        <v>51.2</v>
      </c>
      <c r="BJ358">
        <v>18.2</v>
      </c>
      <c r="BK358">
        <v>3.5</v>
      </c>
      <c r="BL358">
        <v>31.6</v>
      </c>
      <c r="BM358">
        <v>15.4</v>
      </c>
      <c r="BN358">
        <v>8.6</v>
      </c>
      <c r="BO358">
        <v>7.99</v>
      </c>
      <c r="BP358">
        <v>0.27</v>
      </c>
      <c r="BQ358">
        <v>0</v>
      </c>
      <c r="BR358">
        <v>226</v>
      </c>
      <c r="BS358">
        <v>265.8</v>
      </c>
      <c r="BT358">
        <v>3073</v>
      </c>
      <c r="BU358">
        <v>1868</v>
      </c>
      <c r="BV358">
        <v>8.7200000000000006</v>
      </c>
      <c r="BW358">
        <v>6.05</v>
      </c>
      <c r="BX358">
        <v>1.84</v>
      </c>
      <c r="BY358">
        <v>27.1</v>
      </c>
      <c r="BZ358">
        <v>35</v>
      </c>
      <c r="CA358">
        <v>1.02</v>
      </c>
      <c r="CB358">
        <v>0.98</v>
      </c>
      <c r="CC358">
        <v>16.399999999999999</v>
      </c>
      <c r="CD358">
        <v>0.76</v>
      </c>
      <c r="CE358">
        <v>1.66</v>
      </c>
      <c r="CF358">
        <v>226.5</v>
      </c>
      <c r="CG358">
        <v>17.7</v>
      </c>
      <c r="CH358">
        <v>120</v>
      </c>
      <c r="CI358">
        <v>1.48</v>
      </c>
      <c r="CJ358">
        <v>6.9</v>
      </c>
      <c r="CK358">
        <v>1</v>
      </c>
      <c r="CL358" s="42" t="str">
        <f t="shared" si="61"/>
        <v>1</v>
      </c>
      <c r="CM358" s="4">
        <v>25</v>
      </c>
      <c r="CN358" s="4">
        <f t="shared" si="60"/>
        <v>2.706666666666667</v>
      </c>
      <c r="CO358">
        <v>5</v>
      </c>
      <c r="CP358" s="42" t="str">
        <f t="shared" si="62"/>
        <v>1</v>
      </c>
      <c r="CQ358" s="4">
        <v>135.33333333333334</v>
      </c>
      <c r="CR358" s="4">
        <v>1.1975308641975309</v>
      </c>
      <c r="CS358" s="43" t="str">
        <f t="shared" si="63"/>
        <v>2</v>
      </c>
      <c r="CT358" s="4">
        <f t="shared" si="64"/>
        <v>160.33333333333334</v>
      </c>
      <c r="CU358" s="4">
        <f t="shared" si="65"/>
        <v>3.9041975308641979</v>
      </c>
      <c r="CV358" s="4">
        <v>3</v>
      </c>
    </row>
    <row r="359" spans="1:100" x14ac:dyDescent="0.3">
      <c r="A359" s="8" t="s">
        <v>212</v>
      </c>
      <c r="B359" s="18">
        <v>1</v>
      </c>
      <c r="C359">
        <v>39</v>
      </c>
      <c r="D359">
        <v>3</v>
      </c>
      <c r="E359">
        <v>1</v>
      </c>
      <c r="F359">
        <v>1</v>
      </c>
      <c r="G359">
        <v>0</v>
      </c>
      <c r="H359">
        <v>0</v>
      </c>
      <c r="I359">
        <v>0</v>
      </c>
      <c r="J359">
        <v>53</v>
      </c>
      <c r="K359">
        <v>1.524</v>
      </c>
      <c r="L359">
        <f t="shared" si="58"/>
        <v>152.4</v>
      </c>
      <c r="M359" s="82">
        <v>18.126000000000001</v>
      </c>
      <c r="N359" s="4">
        <v>33</v>
      </c>
      <c r="O359" s="4">
        <v>34.200000000000003</v>
      </c>
      <c r="P359" s="39">
        <v>1</v>
      </c>
      <c r="Q359">
        <v>69</v>
      </c>
      <c r="R359" s="40">
        <v>0</v>
      </c>
      <c r="S359">
        <v>91</v>
      </c>
      <c r="T359" s="5">
        <v>0.75824175824175821</v>
      </c>
      <c r="U359" s="39">
        <v>0</v>
      </c>
      <c r="V359" s="4">
        <v>22.819490083424608</v>
      </c>
      <c r="W359" s="37">
        <v>0</v>
      </c>
      <c r="X359">
        <v>5</v>
      </c>
      <c r="Y359" s="40">
        <v>0</v>
      </c>
      <c r="Z359" s="5">
        <v>6.0209999999999999</v>
      </c>
      <c r="AA359" s="5">
        <v>1.0971599999999999</v>
      </c>
      <c r="AB359" s="85">
        <v>0</v>
      </c>
      <c r="AC359" s="5">
        <v>4.0999999999999996</v>
      </c>
      <c r="AD359" s="37">
        <v>0</v>
      </c>
      <c r="AE359">
        <v>3</v>
      </c>
      <c r="AF359" s="5">
        <v>6.47</v>
      </c>
      <c r="AG359" s="37">
        <v>1</v>
      </c>
      <c r="AH359" s="5">
        <v>0.57999999999999996</v>
      </c>
      <c r="AI359" s="1">
        <v>1</v>
      </c>
      <c r="AJ359" s="13">
        <v>4.7</v>
      </c>
      <c r="AK359" s="1">
        <v>0</v>
      </c>
      <c r="AL359" s="13">
        <v>1.51</v>
      </c>
      <c r="AM359" s="1">
        <v>0</v>
      </c>
      <c r="AN359" s="82">
        <f t="shared" si="59"/>
        <v>4.2847682119205297</v>
      </c>
      <c r="AO359" s="1">
        <v>1</v>
      </c>
      <c r="AP359">
        <v>104</v>
      </c>
      <c r="AQ359" s="37">
        <v>0</v>
      </c>
      <c r="AR359">
        <v>75</v>
      </c>
      <c r="AS359" s="37">
        <v>0</v>
      </c>
      <c r="AT359">
        <v>79</v>
      </c>
      <c r="AU359">
        <v>28</v>
      </c>
      <c r="AV359">
        <v>5.2</v>
      </c>
      <c r="AW359">
        <v>1</v>
      </c>
      <c r="AX359">
        <v>1761</v>
      </c>
      <c r="AY359">
        <v>47.7</v>
      </c>
      <c r="AZ359">
        <v>54.1</v>
      </c>
      <c r="BA359">
        <v>287.8</v>
      </c>
      <c r="BB359">
        <v>9.4</v>
      </c>
      <c r="BC359">
        <v>204.7</v>
      </c>
      <c r="BD359">
        <v>70.8</v>
      </c>
      <c r="BE359">
        <v>60.5</v>
      </c>
      <c r="BF359">
        <v>63.5</v>
      </c>
      <c r="BG359">
        <v>27.7</v>
      </c>
      <c r="BH359">
        <v>10.8</v>
      </c>
      <c r="BI359">
        <v>61.3</v>
      </c>
      <c r="BJ359">
        <v>14.9</v>
      </c>
      <c r="BK359">
        <v>12.9</v>
      </c>
      <c r="BL359">
        <v>29.1</v>
      </c>
      <c r="BM359">
        <v>11.1</v>
      </c>
      <c r="BN359">
        <v>5.4</v>
      </c>
      <c r="BO359">
        <v>4.43</v>
      </c>
      <c r="BP359">
        <v>0.8</v>
      </c>
      <c r="BQ359">
        <v>0.34</v>
      </c>
      <c r="BR359">
        <v>369</v>
      </c>
      <c r="BS359">
        <v>164.3</v>
      </c>
      <c r="BT359">
        <v>2351</v>
      </c>
      <c r="BU359">
        <v>1336</v>
      </c>
      <c r="BV359">
        <v>9.73</v>
      </c>
      <c r="BW359">
        <v>4.4000000000000004</v>
      </c>
      <c r="BX359">
        <v>1.22</v>
      </c>
      <c r="BY359">
        <v>33.5</v>
      </c>
      <c r="BZ359">
        <v>36.4</v>
      </c>
      <c r="CA359">
        <v>0.91</v>
      </c>
      <c r="CB359">
        <v>1.38</v>
      </c>
      <c r="CC359">
        <v>10.1</v>
      </c>
      <c r="CD359">
        <v>0.77</v>
      </c>
      <c r="CE359">
        <v>3.08</v>
      </c>
      <c r="CF359">
        <v>233.2</v>
      </c>
      <c r="CG359">
        <v>9.6</v>
      </c>
      <c r="CH359">
        <v>246</v>
      </c>
      <c r="CI359">
        <v>5.33</v>
      </c>
      <c r="CJ359">
        <v>3.2</v>
      </c>
      <c r="CK359">
        <v>0</v>
      </c>
      <c r="CL359" s="42" t="str">
        <f t="shared" si="61"/>
        <v>1</v>
      </c>
      <c r="CM359" s="4">
        <v>0</v>
      </c>
      <c r="CN359" s="4">
        <f t="shared" si="60"/>
        <v>1.1066666666666667</v>
      </c>
      <c r="CO359">
        <v>5</v>
      </c>
      <c r="CP359" s="42" t="str">
        <f t="shared" si="62"/>
        <v>1</v>
      </c>
      <c r="CQ359" s="4">
        <v>55.333333333333336</v>
      </c>
      <c r="CR359" s="4">
        <v>1.0246913580246915</v>
      </c>
      <c r="CS359" s="43" t="str">
        <f t="shared" si="63"/>
        <v>1</v>
      </c>
      <c r="CT359" s="4">
        <f t="shared" si="64"/>
        <v>55.333333333333336</v>
      </c>
      <c r="CU359" s="4">
        <f t="shared" si="65"/>
        <v>2.1313580246913579</v>
      </c>
      <c r="CV359" s="4">
        <v>2</v>
      </c>
    </row>
    <row r="360" spans="1:100" x14ac:dyDescent="0.3">
      <c r="A360" s="8" t="s">
        <v>211</v>
      </c>
      <c r="B360" s="18">
        <v>1</v>
      </c>
      <c r="C360">
        <v>53</v>
      </c>
      <c r="D360">
        <v>3</v>
      </c>
      <c r="E360">
        <v>1</v>
      </c>
      <c r="F360">
        <v>1</v>
      </c>
      <c r="G360">
        <v>0</v>
      </c>
      <c r="H360">
        <v>0</v>
      </c>
      <c r="I360">
        <v>1</v>
      </c>
      <c r="J360">
        <v>67.5</v>
      </c>
      <c r="K360">
        <v>1.5329999999999999</v>
      </c>
      <c r="L360">
        <f t="shared" si="58"/>
        <v>153.29999999999998</v>
      </c>
      <c r="M360" s="82">
        <v>27.81</v>
      </c>
      <c r="N360" s="4">
        <v>37.5</v>
      </c>
      <c r="O360" s="4">
        <v>41.2</v>
      </c>
      <c r="P360" s="39">
        <v>1</v>
      </c>
      <c r="Q360">
        <v>94</v>
      </c>
      <c r="R360" s="40">
        <v>1</v>
      </c>
      <c r="S360">
        <v>104</v>
      </c>
      <c r="T360" s="5">
        <v>0.90384615384615385</v>
      </c>
      <c r="U360" s="39">
        <v>1</v>
      </c>
      <c r="V360" s="4">
        <v>28.722316473971841</v>
      </c>
      <c r="W360" s="37">
        <v>1</v>
      </c>
      <c r="X360">
        <v>9</v>
      </c>
      <c r="Y360" s="40">
        <v>0</v>
      </c>
      <c r="Z360" s="5">
        <v>12.423</v>
      </c>
      <c r="AA360" s="5">
        <v>3.0698613333333329</v>
      </c>
      <c r="AB360" s="85">
        <v>1</v>
      </c>
      <c r="AC360" s="5">
        <v>5.56</v>
      </c>
      <c r="AD360" s="37">
        <v>1</v>
      </c>
      <c r="AE360">
        <v>50.75</v>
      </c>
      <c r="AF360" s="5">
        <v>7.65</v>
      </c>
      <c r="AG360" s="37">
        <v>1</v>
      </c>
      <c r="AH360" s="5">
        <v>1.92</v>
      </c>
      <c r="AI360" s="1">
        <v>1</v>
      </c>
      <c r="AJ360" s="13">
        <v>5.32</v>
      </c>
      <c r="AK360" s="1">
        <v>0</v>
      </c>
      <c r="AL360" s="13">
        <v>1.45</v>
      </c>
      <c r="AM360" s="1">
        <v>0</v>
      </c>
      <c r="AN360" s="82">
        <f t="shared" si="59"/>
        <v>5.2758620689655178</v>
      </c>
      <c r="AO360" s="1">
        <v>1</v>
      </c>
      <c r="AP360">
        <v>137</v>
      </c>
      <c r="AQ360" s="37">
        <v>1</v>
      </c>
      <c r="AR360">
        <v>84</v>
      </c>
      <c r="AS360" s="37">
        <v>0</v>
      </c>
      <c r="AT360">
        <v>90</v>
      </c>
      <c r="AU360">
        <v>53</v>
      </c>
      <c r="AV360">
        <v>8</v>
      </c>
      <c r="AW360">
        <v>1</v>
      </c>
      <c r="AX360">
        <v>906</v>
      </c>
      <c r="AY360">
        <v>124.8</v>
      </c>
      <c r="AZ360">
        <v>34.200000000000003</v>
      </c>
      <c r="BA360">
        <v>135.19999999999999</v>
      </c>
      <c r="BB360">
        <v>6.1</v>
      </c>
      <c r="BC360">
        <v>96.3</v>
      </c>
      <c r="BD360">
        <v>28.7</v>
      </c>
      <c r="BE360">
        <v>18.7</v>
      </c>
      <c r="BF360">
        <v>42.5</v>
      </c>
      <c r="BG360">
        <v>34</v>
      </c>
      <c r="BH360">
        <v>55.1</v>
      </c>
      <c r="BI360">
        <v>56</v>
      </c>
      <c r="BJ360">
        <v>21.9</v>
      </c>
      <c r="BK360">
        <v>7.7</v>
      </c>
      <c r="BL360">
        <v>22.1</v>
      </c>
      <c r="BM360">
        <v>4.5999999999999996</v>
      </c>
      <c r="BN360">
        <v>1.5</v>
      </c>
      <c r="BO360">
        <v>0.85</v>
      </c>
      <c r="BP360">
        <v>0.62</v>
      </c>
      <c r="BQ360">
        <v>0.15</v>
      </c>
      <c r="BR360">
        <v>290</v>
      </c>
      <c r="BS360">
        <v>112.5</v>
      </c>
      <c r="BT360">
        <v>1553</v>
      </c>
      <c r="BU360">
        <v>1105</v>
      </c>
      <c r="BV360">
        <v>4.76</v>
      </c>
      <c r="BW360">
        <v>2.2799999999999998</v>
      </c>
      <c r="BX360">
        <v>0.51</v>
      </c>
      <c r="BY360">
        <v>26.9</v>
      </c>
      <c r="BZ360">
        <v>22.5</v>
      </c>
      <c r="CA360">
        <v>0.63</v>
      </c>
      <c r="CB360">
        <v>0.95</v>
      </c>
      <c r="CC360">
        <v>10.5</v>
      </c>
      <c r="CD360">
        <v>0.51</v>
      </c>
      <c r="CE360">
        <v>4</v>
      </c>
      <c r="CF360">
        <v>90.5</v>
      </c>
      <c r="CG360">
        <v>14.8</v>
      </c>
      <c r="CH360">
        <v>111</v>
      </c>
      <c r="CI360">
        <v>5.18</v>
      </c>
      <c r="CJ360">
        <v>1</v>
      </c>
      <c r="CK360">
        <v>1</v>
      </c>
      <c r="CL360" s="42" t="str">
        <f t="shared" si="61"/>
        <v>1</v>
      </c>
      <c r="CM360" s="4">
        <v>13</v>
      </c>
      <c r="CN360" s="4">
        <f t="shared" si="60"/>
        <v>1.2266666666666668</v>
      </c>
      <c r="CO360">
        <v>5</v>
      </c>
      <c r="CP360" s="42" t="str">
        <f t="shared" si="62"/>
        <v>1</v>
      </c>
      <c r="CQ360" s="4">
        <v>61.333333333333336</v>
      </c>
      <c r="CR360" s="4">
        <v>1.2098765432098766</v>
      </c>
      <c r="CS360" s="43" t="str">
        <f t="shared" si="63"/>
        <v>1</v>
      </c>
      <c r="CT360" s="4">
        <f t="shared" si="64"/>
        <v>74.333333333333343</v>
      </c>
      <c r="CU360" s="4">
        <f t="shared" si="65"/>
        <v>2.4365432098765432</v>
      </c>
      <c r="CV360" s="4">
        <v>2</v>
      </c>
    </row>
    <row r="361" spans="1:100" x14ac:dyDescent="0.3">
      <c r="A361" s="8" t="s">
        <v>210</v>
      </c>
      <c r="B361" s="18">
        <v>1</v>
      </c>
      <c r="C361">
        <v>57</v>
      </c>
      <c r="D361">
        <v>3</v>
      </c>
      <c r="E361">
        <v>0</v>
      </c>
      <c r="F361">
        <v>1</v>
      </c>
      <c r="G361">
        <v>0</v>
      </c>
      <c r="H361">
        <v>0</v>
      </c>
      <c r="I361">
        <v>1</v>
      </c>
      <c r="J361">
        <v>46.6</v>
      </c>
      <c r="K361">
        <v>1.55</v>
      </c>
      <c r="L361">
        <f t="shared" si="58"/>
        <v>155</v>
      </c>
      <c r="M361" s="82">
        <v>12.395600000000002</v>
      </c>
      <c r="N361" s="4">
        <v>32.5</v>
      </c>
      <c r="O361" s="4">
        <v>26.6</v>
      </c>
      <c r="P361" s="39">
        <v>0</v>
      </c>
      <c r="Q361">
        <v>71</v>
      </c>
      <c r="R361" s="40">
        <v>0</v>
      </c>
      <c r="S361">
        <v>88</v>
      </c>
      <c r="T361" s="5">
        <v>0.80681818181818177</v>
      </c>
      <c r="U361" s="39">
        <v>0</v>
      </c>
      <c r="V361" s="4">
        <v>19.396462018730489</v>
      </c>
      <c r="W361" s="37">
        <v>0</v>
      </c>
      <c r="X361">
        <v>4</v>
      </c>
      <c r="Y361" s="40">
        <v>0</v>
      </c>
      <c r="Z361" s="5">
        <v>5.2809999999999997</v>
      </c>
      <c r="AA361" s="5">
        <v>1.0585471111111111</v>
      </c>
      <c r="AB361" s="85">
        <v>0</v>
      </c>
      <c r="AC361" s="5">
        <v>4.51</v>
      </c>
      <c r="AD361" s="37">
        <v>0</v>
      </c>
      <c r="AE361">
        <v>11.77</v>
      </c>
      <c r="AF361" s="5">
        <v>5.25</v>
      </c>
      <c r="AG361" s="37">
        <v>1</v>
      </c>
      <c r="AH361" s="5">
        <v>0.75</v>
      </c>
      <c r="AI361" s="1">
        <v>0</v>
      </c>
      <c r="AJ361" s="13">
        <v>3.37</v>
      </c>
      <c r="AK361" s="1">
        <v>0</v>
      </c>
      <c r="AL361" s="13">
        <v>1.54</v>
      </c>
      <c r="AM361" s="1">
        <v>0</v>
      </c>
      <c r="AN361" s="82">
        <f t="shared" si="59"/>
        <v>3.4090909090909092</v>
      </c>
      <c r="AO361" s="1">
        <v>0</v>
      </c>
      <c r="AP361">
        <v>119</v>
      </c>
      <c r="AQ361" s="37">
        <v>0</v>
      </c>
      <c r="AR361">
        <v>79</v>
      </c>
      <c r="AS361" s="37">
        <v>0</v>
      </c>
      <c r="AT361">
        <v>86</v>
      </c>
      <c r="AU361">
        <v>40</v>
      </c>
      <c r="AV361">
        <v>8.1</v>
      </c>
      <c r="AW361">
        <v>1</v>
      </c>
      <c r="AX361">
        <v>2470</v>
      </c>
      <c r="AY361">
        <v>72.3</v>
      </c>
      <c r="AZ361">
        <v>58.2</v>
      </c>
      <c r="BA361">
        <v>440.3</v>
      </c>
      <c r="BB361">
        <v>15.1</v>
      </c>
      <c r="BC361">
        <v>409.7</v>
      </c>
      <c r="BD361">
        <v>22.9</v>
      </c>
      <c r="BE361">
        <v>14.5</v>
      </c>
      <c r="BF361">
        <v>183.1</v>
      </c>
      <c r="BG361">
        <v>21.2</v>
      </c>
      <c r="BH361">
        <v>11.7</v>
      </c>
      <c r="BI361">
        <v>66.900000000000006</v>
      </c>
      <c r="BJ361">
        <v>15.1</v>
      </c>
      <c r="BK361">
        <v>2.2000000000000002</v>
      </c>
      <c r="BL361">
        <v>41.5</v>
      </c>
      <c r="BM361">
        <v>6.5</v>
      </c>
      <c r="BN361">
        <v>4</v>
      </c>
      <c r="BO361">
        <v>3.34</v>
      </c>
      <c r="BP361">
        <v>0.16</v>
      </c>
      <c r="BQ361">
        <v>0</v>
      </c>
      <c r="BR361">
        <v>445</v>
      </c>
      <c r="BS361">
        <v>209.9</v>
      </c>
      <c r="BT361">
        <v>3161</v>
      </c>
      <c r="BU361">
        <v>1726</v>
      </c>
      <c r="BV361">
        <v>12.51</v>
      </c>
      <c r="BW361">
        <v>8.93</v>
      </c>
      <c r="BX361">
        <v>1.81</v>
      </c>
      <c r="BY361">
        <v>137</v>
      </c>
      <c r="BZ361">
        <v>67.5</v>
      </c>
      <c r="CA361">
        <v>6.8</v>
      </c>
      <c r="CB361">
        <v>5.88</v>
      </c>
      <c r="CC361">
        <v>22.8</v>
      </c>
      <c r="CD361">
        <v>1.1200000000000001</v>
      </c>
      <c r="CE361">
        <v>1.57</v>
      </c>
      <c r="CF361">
        <v>190.8</v>
      </c>
      <c r="CG361">
        <v>11.7</v>
      </c>
      <c r="CH361">
        <v>235</v>
      </c>
      <c r="CI361">
        <v>3.15</v>
      </c>
      <c r="CJ361">
        <v>28.8</v>
      </c>
      <c r="CK361">
        <v>0</v>
      </c>
      <c r="CL361" s="42" t="str">
        <f t="shared" si="61"/>
        <v>1</v>
      </c>
      <c r="CM361" s="4">
        <v>0</v>
      </c>
      <c r="CN361" s="4">
        <f t="shared" si="60"/>
        <v>0.32</v>
      </c>
      <c r="CO361">
        <v>1</v>
      </c>
      <c r="CP361" s="42" t="str">
        <f t="shared" si="62"/>
        <v>1</v>
      </c>
      <c r="CQ361" s="4">
        <v>16</v>
      </c>
      <c r="CR361" s="4">
        <v>1.6</v>
      </c>
      <c r="CS361" s="43" t="str">
        <f t="shared" si="63"/>
        <v>1</v>
      </c>
      <c r="CT361" s="4">
        <f t="shared" si="64"/>
        <v>16</v>
      </c>
      <c r="CU361" s="4">
        <f t="shared" si="65"/>
        <v>1.9200000000000002</v>
      </c>
      <c r="CV361" s="4">
        <v>1</v>
      </c>
    </row>
    <row r="362" spans="1:100" x14ac:dyDescent="0.3">
      <c r="A362" s="8" t="s">
        <v>209</v>
      </c>
      <c r="B362" s="18">
        <v>1</v>
      </c>
      <c r="C362">
        <v>44</v>
      </c>
      <c r="D362">
        <v>3</v>
      </c>
      <c r="E362">
        <v>0</v>
      </c>
      <c r="F362">
        <v>1</v>
      </c>
      <c r="G362">
        <v>0</v>
      </c>
      <c r="H362">
        <v>0</v>
      </c>
      <c r="I362">
        <v>1</v>
      </c>
      <c r="J362">
        <v>50.2</v>
      </c>
      <c r="K362">
        <v>1.51</v>
      </c>
      <c r="L362">
        <f t="shared" si="58"/>
        <v>151</v>
      </c>
      <c r="M362" s="82">
        <v>16.7668</v>
      </c>
      <c r="N362" s="4">
        <v>31.6</v>
      </c>
      <c r="O362" s="4">
        <v>33.4</v>
      </c>
      <c r="P362" s="39">
        <v>1</v>
      </c>
      <c r="Q362">
        <v>73</v>
      </c>
      <c r="R362" s="40">
        <v>0</v>
      </c>
      <c r="S362">
        <v>88</v>
      </c>
      <c r="T362" s="5">
        <v>0.82954545454545459</v>
      </c>
      <c r="U362" s="39">
        <v>0</v>
      </c>
      <c r="V362" s="4">
        <v>22.0165782202535</v>
      </c>
      <c r="W362" s="37">
        <v>0</v>
      </c>
      <c r="X362">
        <v>5</v>
      </c>
      <c r="Y362" s="40">
        <v>0</v>
      </c>
      <c r="Z362" s="5">
        <v>5.4729999999999999</v>
      </c>
      <c r="AA362" s="5">
        <v>0.94622088888888889</v>
      </c>
      <c r="AB362" s="85">
        <v>0</v>
      </c>
      <c r="AC362" s="5">
        <v>3.89</v>
      </c>
      <c r="AD362" s="37">
        <v>0</v>
      </c>
      <c r="AE362">
        <v>27.05</v>
      </c>
      <c r="AF362" s="5">
        <v>5.08</v>
      </c>
      <c r="AG362" s="37">
        <v>1</v>
      </c>
      <c r="AH362" s="5">
        <v>0.95</v>
      </c>
      <c r="AI362" s="1">
        <v>0</v>
      </c>
      <c r="AJ362" s="13">
        <v>3.33</v>
      </c>
      <c r="AK362" s="1">
        <v>0</v>
      </c>
      <c r="AL362" s="13">
        <v>1.32</v>
      </c>
      <c r="AM362" s="1">
        <v>0</v>
      </c>
      <c r="AN362" s="82">
        <f t="shared" si="59"/>
        <v>3.8484848484848482</v>
      </c>
      <c r="AO362" s="1">
        <v>0</v>
      </c>
      <c r="AP362">
        <v>121</v>
      </c>
      <c r="AQ362" s="37">
        <v>0</v>
      </c>
      <c r="AR362">
        <v>80</v>
      </c>
      <c r="AS362" s="37">
        <v>0</v>
      </c>
      <c r="AT362">
        <v>87</v>
      </c>
      <c r="AU362">
        <v>41</v>
      </c>
      <c r="AV362">
        <v>6.6</v>
      </c>
      <c r="AW362">
        <v>1</v>
      </c>
      <c r="AX362">
        <v>2234</v>
      </c>
      <c r="AY362">
        <v>156.9</v>
      </c>
      <c r="AZ362">
        <v>74.7</v>
      </c>
      <c r="BA362">
        <v>357.7</v>
      </c>
      <c r="BB362">
        <v>16.3</v>
      </c>
      <c r="BC362">
        <v>266.3</v>
      </c>
      <c r="BD362">
        <v>63.7</v>
      </c>
      <c r="BE362">
        <v>43.2</v>
      </c>
      <c r="BF362">
        <v>110.6</v>
      </c>
      <c r="BG362">
        <v>30.1</v>
      </c>
      <c r="BH362">
        <v>28.1</v>
      </c>
      <c r="BI362">
        <v>60.1</v>
      </c>
      <c r="BJ362">
        <v>20</v>
      </c>
      <c r="BK362">
        <v>7.3</v>
      </c>
      <c r="BL362">
        <v>49.6</v>
      </c>
      <c r="BM362">
        <v>7.8</v>
      </c>
      <c r="BN362">
        <v>2.7</v>
      </c>
      <c r="BO362">
        <v>1.43</v>
      </c>
      <c r="BP362">
        <v>0.72</v>
      </c>
      <c r="BQ362">
        <v>0.09</v>
      </c>
      <c r="BR362">
        <v>426</v>
      </c>
      <c r="BS362">
        <v>226.9</v>
      </c>
      <c r="BT362">
        <v>2940</v>
      </c>
      <c r="BU362">
        <v>2212</v>
      </c>
      <c r="BV362">
        <v>12.67</v>
      </c>
      <c r="BW362">
        <v>6.07</v>
      </c>
      <c r="BX362">
        <v>1.56</v>
      </c>
      <c r="BY362">
        <v>27.9</v>
      </c>
      <c r="BZ362">
        <v>58.8</v>
      </c>
      <c r="CA362">
        <v>1.92</v>
      </c>
      <c r="CB362">
        <v>2.93</v>
      </c>
      <c r="CC362">
        <v>10.7</v>
      </c>
      <c r="CD362">
        <v>0.7</v>
      </c>
      <c r="CE362">
        <v>4.07</v>
      </c>
      <c r="CF362">
        <v>204.6</v>
      </c>
      <c r="CG362">
        <v>28.1</v>
      </c>
      <c r="CH362">
        <v>227</v>
      </c>
      <c r="CI362">
        <v>9.34</v>
      </c>
      <c r="CJ362">
        <v>1.7</v>
      </c>
      <c r="CK362">
        <v>2</v>
      </c>
      <c r="CL362" s="42" t="str">
        <f t="shared" si="61"/>
        <v>1</v>
      </c>
      <c r="CM362" s="4">
        <v>78.333333333333329</v>
      </c>
      <c r="CN362" s="4">
        <f t="shared" si="60"/>
        <v>1.5466666666666666</v>
      </c>
      <c r="CO362">
        <v>5</v>
      </c>
      <c r="CP362" s="42" t="str">
        <f t="shared" si="62"/>
        <v>1</v>
      </c>
      <c r="CQ362" s="4">
        <v>77.333333333333329</v>
      </c>
      <c r="CR362" s="4">
        <v>2.2407407407407405</v>
      </c>
      <c r="CS362" s="43" t="str">
        <f t="shared" si="63"/>
        <v>2</v>
      </c>
      <c r="CT362" s="4">
        <f t="shared" si="64"/>
        <v>155.66666666666666</v>
      </c>
      <c r="CU362" s="4">
        <f t="shared" si="65"/>
        <v>3.7874074074074073</v>
      </c>
      <c r="CV362" s="4">
        <v>3</v>
      </c>
    </row>
    <row r="363" spans="1:100" x14ac:dyDescent="0.3">
      <c r="A363" s="8" t="s">
        <v>208</v>
      </c>
      <c r="B363" s="18">
        <v>1</v>
      </c>
      <c r="C363">
        <v>40</v>
      </c>
      <c r="D363">
        <v>3</v>
      </c>
      <c r="E363">
        <v>1</v>
      </c>
      <c r="F363">
        <v>1</v>
      </c>
      <c r="G363">
        <v>0</v>
      </c>
      <c r="H363">
        <v>0</v>
      </c>
      <c r="I363">
        <v>1</v>
      </c>
      <c r="J363">
        <v>50.8</v>
      </c>
      <c r="K363">
        <v>1.57</v>
      </c>
      <c r="L363">
        <f t="shared" si="58"/>
        <v>157</v>
      </c>
      <c r="M363" s="82">
        <v>15.3924</v>
      </c>
      <c r="N363" s="4">
        <v>33.5</v>
      </c>
      <c r="O363" s="4">
        <v>30.3</v>
      </c>
      <c r="P363" s="39">
        <v>0</v>
      </c>
      <c r="Q363">
        <v>70</v>
      </c>
      <c r="R363" s="40">
        <v>0</v>
      </c>
      <c r="S363">
        <v>78</v>
      </c>
      <c r="T363" s="5">
        <v>0.89743589743589747</v>
      </c>
      <c r="U363" s="39">
        <v>1</v>
      </c>
      <c r="V363" s="4">
        <v>20.609355349101381</v>
      </c>
      <c r="W363" s="37">
        <v>0</v>
      </c>
      <c r="X363">
        <v>4</v>
      </c>
      <c r="Y363" s="40">
        <v>0</v>
      </c>
      <c r="Z363" s="5">
        <v>15.776</v>
      </c>
      <c r="AA363" s="5">
        <v>3.1201422222222219</v>
      </c>
      <c r="AB363" s="85">
        <v>1</v>
      </c>
      <c r="AC363" s="5">
        <v>4.45</v>
      </c>
      <c r="AD363" s="37">
        <v>0</v>
      </c>
      <c r="AE363">
        <v>3</v>
      </c>
      <c r="AF363" s="5">
        <v>5.94</v>
      </c>
      <c r="AG363" s="37">
        <v>1</v>
      </c>
      <c r="AH363" s="5">
        <v>0.76</v>
      </c>
      <c r="AI363" s="1">
        <v>1</v>
      </c>
      <c r="AJ363" s="13">
        <v>4.25</v>
      </c>
      <c r="AK363" s="1">
        <v>0</v>
      </c>
      <c r="AL363" s="13">
        <v>1.35</v>
      </c>
      <c r="AM363" s="1">
        <v>0</v>
      </c>
      <c r="AN363" s="82">
        <f t="shared" si="59"/>
        <v>4.4000000000000004</v>
      </c>
      <c r="AO363" s="1">
        <v>1</v>
      </c>
      <c r="AP363">
        <v>106</v>
      </c>
      <c r="AQ363" s="37">
        <v>0</v>
      </c>
      <c r="AR363">
        <v>71</v>
      </c>
      <c r="AS363" s="37">
        <v>0</v>
      </c>
      <c r="AT363">
        <v>90</v>
      </c>
      <c r="AU363">
        <v>35</v>
      </c>
      <c r="AV363">
        <v>5.6</v>
      </c>
      <c r="AW363">
        <v>1</v>
      </c>
      <c r="AX363">
        <v>1552</v>
      </c>
      <c r="AY363">
        <v>59.4</v>
      </c>
      <c r="AZ363">
        <v>40</v>
      </c>
      <c r="BA363">
        <v>253.5</v>
      </c>
      <c r="BB363">
        <v>16.899999999999999</v>
      </c>
      <c r="BC363">
        <v>192.8</v>
      </c>
      <c r="BD363">
        <v>39.9</v>
      </c>
      <c r="BE363">
        <v>21.6</v>
      </c>
      <c r="BF363">
        <v>79.099999999999994</v>
      </c>
      <c r="BG363">
        <v>23.2</v>
      </c>
      <c r="BH363">
        <v>15.3</v>
      </c>
      <c r="BI363">
        <v>61.3</v>
      </c>
      <c r="BJ363">
        <v>14.4</v>
      </c>
      <c r="BK363">
        <v>5.2</v>
      </c>
      <c r="BL363">
        <v>24.9</v>
      </c>
      <c r="BM363">
        <v>4.9000000000000004</v>
      </c>
      <c r="BN363">
        <v>1.8</v>
      </c>
      <c r="BO363">
        <v>1.56</v>
      </c>
      <c r="BP363">
        <v>0.23</v>
      </c>
      <c r="BQ363">
        <v>0.05</v>
      </c>
      <c r="BR363">
        <v>491</v>
      </c>
      <c r="BS363">
        <v>206.8</v>
      </c>
      <c r="BT363">
        <v>18569</v>
      </c>
      <c r="BU363">
        <v>1757</v>
      </c>
      <c r="BV363">
        <v>13.89</v>
      </c>
      <c r="BW363">
        <v>4.97</v>
      </c>
      <c r="BX363">
        <v>1.2</v>
      </c>
      <c r="BY363">
        <v>45</v>
      </c>
      <c r="BZ363">
        <v>34.799999999999997</v>
      </c>
      <c r="CA363">
        <v>16.829999999999998</v>
      </c>
      <c r="CB363">
        <v>17.350000000000001</v>
      </c>
      <c r="CC363">
        <v>15.9</v>
      </c>
      <c r="CD363">
        <v>1.37</v>
      </c>
      <c r="CE363">
        <v>0.85</v>
      </c>
      <c r="CF363">
        <v>195.2</v>
      </c>
      <c r="CG363">
        <v>27.7</v>
      </c>
      <c r="CH363">
        <v>900</v>
      </c>
      <c r="CI363">
        <v>3.36</v>
      </c>
      <c r="CJ363">
        <v>94.7</v>
      </c>
      <c r="CK363">
        <v>0</v>
      </c>
      <c r="CL363" s="42" t="str">
        <f t="shared" si="61"/>
        <v>1</v>
      </c>
      <c r="CM363" s="4">
        <v>0</v>
      </c>
      <c r="CN363" s="4">
        <f t="shared" si="60"/>
        <v>1.56</v>
      </c>
      <c r="CO363">
        <v>6</v>
      </c>
      <c r="CP363" s="42" t="str">
        <f t="shared" si="62"/>
        <v>1</v>
      </c>
      <c r="CQ363" s="4">
        <v>78</v>
      </c>
      <c r="CR363" s="4">
        <v>2.5481481481481483</v>
      </c>
      <c r="CS363" s="43" t="str">
        <f t="shared" si="63"/>
        <v>1</v>
      </c>
      <c r="CT363" s="4">
        <f t="shared" si="64"/>
        <v>78</v>
      </c>
      <c r="CU363" s="4">
        <f t="shared" si="65"/>
        <v>4.1081481481481479</v>
      </c>
      <c r="CV363" s="4">
        <v>4</v>
      </c>
    </row>
    <row r="364" spans="1:100" x14ac:dyDescent="0.3">
      <c r="A364" s="8" t="s">
        <v>207</v>
      </c>
      <c r="B364" s="18">
        <v>1</v>
      </c>
      <c r="C364">
        <v>37</v>
      </c>
      <c r="D364">
        <v>3</v>
      </c>
      <c r="E364">
        <v>1</v>
      </c>
      <c r="F364">
        <v>1</v>
      </c>
      <c r="G364">
        <v>0</v>
      </c>
      <c r="H364">
        <v>0</v>
      </c>
      <c r="I364">
        <v>1</v>
      </c>
      <c r="J364">
        <v>62.5</v>
      </c>
      <c r="K364">
        <v>1.56</v>
      </c>
      <c r="L364">
        <f t="shared" si="58"/>
        <v>156</v>
      </c>
      <c r="M364" s="82">
        <v>14.6875</v>
      </c>
      <c r="N364" s="4">
        <v>37</v>
      </c>
      <c r="O364" s="4">
        <v>23.5</v>
      </c>
      <c r="P364" s="39">
        <v>0</v>
      </c>
      <c r="Q364">
        <v>86</v>
      </c>
      <c r="R364" s="40">
        <v>1</v>
      </c>
      <c r="S364">
        <v>96</v>
      </c>
      <c r="T364" s="5">
        <v>0.89583333333333337</v>
      </c>
      <c r="U364" s="39">
        <v>1</v>
      </c>
      <c r="V364" s="4">
        <v>25.682117028270874</v>
      </c>
      <c r="W364" s="37">
        <v>1</v>
      </c>
      <c r="X364">
        <v>7</v>
      </c>
      <c r="Y364" s="40">
        <v>0</v>
      </c>
      <c r="Z364" s="5">
        <v>7.0880000000000001</v>
      </c>
      <c r="AA364" s="5">
        <v>1.1813333333333333</v>
      </c>
      <c r="AB364" s="85">
        <v>0</v>
      </c>
      <c r="AC364" s="5">
        <v>3.75</v>
      </c>
      <c r="AD364" s="37">
        <v>0</v>
      </c>
      <c r="AE364">
        <v>3</v>
      </c>
      <c r="AF364" s="5">
        <v>5.26</v>
      </c>
      <c r="AG364" s="37">
        <v>1</v>
      </c>
      <c r="AH364" s="5">
        <v>1.7</v>
      </c>
      <c r="AI364" s="1">
        <v>0</v>
      </c>
      <c r="AJ364" s="13">
        <v>2.72</v>
      </c>
      <c r="AK364" s="1">
        <v>0</v>
      </c>
      <c r="AL364" s="13">
        <v>1.77</v>
      </c>
      <c r="AM364" s="1">
        <v>0</v>
      </c>
      <c r="AN364" s="82">
        <f t="shared" si="59"/>
        <v>2.9717514124293785</v>
      </c>
      <c r="AO364" s="1">
        <v>0</v>
      </c>
      <c r="AP364">
        <v>128</v>
      </c>
      <c r="AQ364" s="37">
        <v>0</v>
      </c>
      <c r="AR364">
        <v>87</v>
      </c>
      <c r="AS364" s="37">
        <v>1</v>
      </c>
      <c r="AT364">
        <v>92</v>
      </c>
      <c r="AU364">
        <v>41</v>
      </c>
      <c r="AV364">
        <v>6.1</v>
      </c>
      <c r="AW364">
        <v>1</v>
      </c>
      <c r="AX364">
        <v>2049</v>
      </c>
      <c r="AY364">
        <v>46.5</v>
      </c>
      <c r="AZ364">
        <v>44.4</v>
      </c>
      <c r="BA364">
        <v>389.8</v>
      </c>
      <c r="BB364">
        <v>5.7</v>
      </c>
      <c r="BC364">
        <v>348.7</v>
      </c>
      <c r="BD364">
        <v>27.7</v>
      </c>
      <c r="BE364">
        <v>14.3</v>
      </c>
      <c r="BF364">
        <v>45.4</v>
      </c>
      <c r="BG364">
        <v>19.5</v>
      </c>
      <c r="BH364">
        <v>9.1</v>
      </c>
      <c r="BI364">
        <v>71.3</v>
      </c>
      <c r="BJ364">
        <v>9</v>
      </c>
      <c r="BK364">
        <v>2.6</v>
      </c>
      <c r="BL364">
        <v>20.5</v>
      </c>
      <c r="BM364">
        <v>4.7</v>
      </c>
      <c r="BN364">
        <v>1.3</v>
      </c>
      <c r="BO364">
        <v>0.99</v>
      </c>
      <c r="BP364">
        <v>0.17</v>
      </c>
      <c r="BQ364">
        <v>0.32</v>
      </c>
      <c r="BR364">
        <v>427</v>
      </c>
      <c r="BS364">
        <v>117.2</v>
      </c>
      <c r="BT364">
        <v>1903</v>
      </c>
      <c r="BU364">
        <v>1325</v>
      </c>
      <c r="BV364">
        <v>34.97</v>
      </c>
      <c r="BW364">
        <v>6.03</v>
      </c>
      <c r="BX364">
        <v>0.53</v>
      </c>
      <c r="BY364">
        <v>9.3000000000000007</v>
      </c>
      <c r="BZ364">
        <v>25.3</v>
      </c>
      <c r="CA364">
        <v>16.48</v>
      </c>
      <c r="CB364">
        <v>14.6</v>
      </c>
      <c r="CC364">
        <v>26.9</v>
      </c>
      <c r="CD364">
        <v>0.39</v>
      </c>
      <c r="CE364">
        <v>1.1399999999999999</v>
      </c>
      <c r="CF364">
        <v>88.4</v>
      </c>
      <c r="CG364">
        <v>31.4</v>
      </c>
      <c r="CH364">
        <v>325</v>
      </c>
      <c r="CI364">
        <v>7.41</v>
      </c>
      <c r="CJ364">
        <v>70</v>
      </c>
      <c r="CK364">
        <v>1</v>
      </c>
      <c r="CL364" s="42" t="str">
        <f t="shared" si="61"/>
        <v>1</v>
      </c>
      <c r="CM364" s="4">
        <v>19.5</v>
      </c>
      <c r="CN364" s="4">
        <f t="shared" si="60"/>
        <v>2.0299999999999998</v>
      </c>
      <c r="CO364">
        <v>4</v>
      </c>
      <c r="CP364" s="42" t="str">
        <f t="shared" si="62"/>
        <v>1</v>
      </c>
      <c r="CQ364" s="4">
        <v>101.5</v>
      </c>
      <c r="CR364" s="4">
        <v>2.55679012345679</v>
      </c>
      <c r="CS364" s="43" t="str">
        <f t="shared" si="63"/>
        <v>1</v>
      </c>
      <c r="CT364" s="4">
        <f t="shared" si="64"/>
        <v>121</v>
      </c>
      <c r="CU364" s="4">
        <f t="shared" si="65"/>
        <v>4.5867901234567903</v>
      </c>
      <c r="CV364" s="4">
        <v>4</v>
      </c>
    </row>
    <row r="365" spans="1:100" x14ac:dyDescent="0.3">
      <c r="A365" s="8" t="s">
        <v>206</v>
      </c>
      <c r="B365" s="18">
        <v>1</v>
      </c>
      <c r="C365">
        <v>42</v>
      </c>
      <c r="D365">
        <v>3</v>
      </c>
      <c r="E365">
        <v>1</v>
      </c>
      <c r="F365">
        <v>1</v>
      </c>
      <c r="G365">
        <v>0</v>
      </c>
      <c r="H365">
        <v>0</v>
      </c>
      <c r="I365">
        <v>1</v>
      </c>
      <c r="J365">
        <v>49.7</v>
      </c>
      <c r="K365">
        <v>1.56</v>
      </c>
      <c r="L365">
        <f t="shared" si="58"/>
        <v>156</v>
      </c>
      <c r="M365" s="82">
        <v>13.816600000000001</v>
      </c>
      <c r="N365" s="4">
        <v>34</v>
      </c>
      <c r="O365" s="4">
        <v>27.8</v>
      </c>
      <c r="P365" s="39">
        <v>0</v>
      </c>
      <c r="Q365">
        <v>66</v>
      </c>
      <c r="R365" s="40">
        <v>0</v>
      </c>
      <c r="S365">
        <v>90</v>
      </c>
      <c r="T365" s="5">
        <v>0.73333333333333328</v>
      </c>
      <c r="U365" s="39">
        <v>0</v>
      </c>
      <c r="V365" s="4">
        <v>20.422419460880999</v>
      </c>
      <c r="W365" s="37">
        <v>0</v>
      </c>
      <c r="X365">
        <v>4</v>
      </c>
      <c r="Y365" s="40">
        <v>0</v>
      </c>
      <c r="Z365" s="5">
        <v>5.7759999999999998</v>
      </c>
      <c r="AA365" s="5">
        <v>1.0987235555555555</v>
      </c>
      <c r="AB365" s="85">
        <v>0</v>
      </c>
      <c r="AC365" s="5">
        <v>4.28</v>
      </c>
      <c r="AD365" s="37">
        <v>0</v>
      </c>
      <c r="AE365">
        <v>16.190000000000001</v>
      </c>
      <c r="AF365" s="5">
        <v>7.46</v>
      </c>
      <c r="AG365" s="37">
        <v>1</v>
      </c>
      <c r="AH365" s="5">
        <v>1.68</v>
      </c>
      <c r="AI365" s="1">
        <v>1</v>
      </c>
      <c r="AJ365" s="13">
        <v>5.19</v>
      </c>
      <c r="AK365" s="1">
        <v>0</v>
      </c>
      <c r="AL365" s="13">
        <v>1.51</v>
      </c>
      <c r="AM365" s="1">
        <v>0</v>
      </c>
      <c r="AN365" s="82">
        <f t="shared" si="59"/>
        <v>4.9403973509933774</v>
      </c>
      <c r="AO365" s="1">
        <v>1</v>
      </c>
      <c r="AP365">
        <v>106</v>
      </c>
      <c r="AQ365" s="37">
        <v>0</v>
      </c>
      <c r="AR365">
        <v>76</v>
      </c>
      <c r="AS365" s="37">
        <v>0</v>
      </c>
      <c r="AT365">
        <v>79</v>
      </c>
      <c r="AU365">
        <v>30</v>
      </c>
      <c r="AV365">
        <v>5.8</v>
      </c>
      <c r="AW365">
        <v>1</v>
      </c>
      <c r="AX365">
        <v>2447</v>
      </c>
      <c r="AY365">
        <v>62.2</v>
      </c>
      <c r="AZ365">
        <v>67.599999999999994</v>
      </c>
      <c r="BA365">
        <v>422.5</v>
      </c>
      <c r="BB365">
        <v>14.7</v>
      </c>
      <c r="BC365">
        <v>296</v>
      </c>
      <c r="BD365">
        <v>103.7</v>
      </c>
      <c r="BE365">
        <v>76.3</v>
      </c>
      <c r="BF365">
        <v>203.6</v>
      </c>
      <c r="BG365">
        <v>24.9</v>
      </c>
      <c r="BH365">
        <v>10.199999999999999</v>
      </c>
      <c r="BI365">
        <v>64.8</v>
      </c>
      <c r="BJ365">
        <v>13.9</v>
      </c>
      <c r="BK365">
        <v>11.7</v>
      </c>
      <c r="BL365">
        <v>37.9</v>
      </c>
      <c r="BM365">
        <v>7.8</v>
      </c>
      <c r="BN365">
        <v>3.9</v>
      </c>
      <c r="BO365">
        <v>2.73</v>
      </c>
      <c r="BP365">
        <v>0.28999999999999998</v>
      </c>
      <c r="BQ365">
        <v>0.04</v>
      </c>
      <c r="BR365">
        <v>541</v>
      </c>
      <c r="BS365">
        <v>209.2</v>
      </c>
      <c r="BT365">
        <v>3808</v>
      </c>
      <c r="BU365">
        <v>1794</v>
      </c>
      <c r="BV365">
        <v>11.53</v>
      </c>
      <c r="BW365">
        <v>5.53</v>
      </c>
      <c r="BX365">
        <v>1.86</v>
      </c>
      <c r="BY365">
        <v>52.9</v>
      </c>
      <c r="BZ365">
        <v>41.6</v>
      </c>
      <c r="CA365">
        <v>2.08</v>
      </c>
      <c r="CB365">
        <v>2.98</v>
      </c>
      <c r="CC365">
        <v>12.9</v>
      </c>
      <c r="CD365">
        <v>0.74</v>
      </c>
      <c r="CE365">
        <v>1.77</v>
      </c>
      <c r="CF365">
        <v>233.1</v>
      </c>
      <c r="CG365">
        <v>23.7</v>
      </c>
      <c r="CH365">
        <v>502</v>
      </c>
      <c r="CI365">
        <v>5.94</v>
      </c>
      <c r="CJ365">
        <v>2.8</v>
      </c>
      <c r="CK365">
        <v>0</v>
      </c>
      <c r="CL365" s="42" t="str">
        <f t="shared" si="61"/>
        <v>1</v>
      </c>
      <c r="CM365" s="4">
        <v>0</v>
      </c>
      <c r="CN365" s="4">
        <f t="shared" si="60"/>
        <v>2.833333333333333</v>
      </c>
      <c r="CO365">
        <v>8</v>
      </c>
      <c r="CP365" s="42" t="str">
        <f t="shared" si="62"/>
        <v>1</v>
      </c>
      <c r="CQ365" s="4">
        <v>141.66666666666666</v>
      </c>
      <c r="CR365" s="4">
        <v>2.5123456790123457</v>
      </c>
      <c r="CS365" s="43" t="str">
        <f t="shared" si="63"/>
        <v>1</v>
      </c>
      <c r="CT365" s="4">
        <f t="shared" si="64"/>
        <v>141.66666666666666</v>
      </c>
      <c r="CU365" s="4">
        <f t="shared" si="65"/>
        <v>5.3456790123456788</v>
      </c>
      <c r="CV365" s="4">
        <v>4</v>
      </c>
    </row>
    <row r="366" spans="1:100" x14ac:dyDescent="0.3">
      <c r="A366" s="8" t="s">
        <v>205</v>
      </c>
      <c r="B366" s="18">
        <v>1</v>
      </c>
      <c r="C366">
        <v>44</v>
      </c>
      <c r="D366">
        <v>1</v>
      </c>
      <c r="E366">
        <v>3</v>
      </c>
      <c r="F366">
        <v>0</v>
      </c>
      <c r="G366">
        <v>0</v>
      </c>
      <c r="H366">
        <v>0</v>
      </c>
      <c r="I366">
        <v>1</v>
      </c>
      <c r="J366">
        <v>63.4</v>
      </c>
      <c r="K366">
        <v>1.57</v>
      </c>
      <c r="L366">
        <f t="shared" si="58"/>
        <v>157</v>
      </c>
      <c r="M366" s="82">
        <v>23.8384</v>
      </c>
      <c r="N366" s="4">
        <v>37.299999999999997</v>
      </c>
      <c r="O366" s="4">
        <v>37.6</v>
      </c>
      <c r="P366" s="39">
        <v>1</v>
      </c>
      <c r="Q366">
        <v>81</v>
      </c>
      <c r="R366" s="40">
        <v>0</v>
      </c>
      <c r="S366">
        <v>105</v>
      </c>
      <c r="T366" s="5">
        <v>0.77142857142857146</v>
      </c>
      <c r="U366" s="39">
        <v>0</v>
      </c>
      <c r="V366" s="4">
        <v>25.721124589232826</v>
      </c>
      <c r="W366" s="37">
        <v>1</v>
      </c>
      <c r="X366">
        <v>7</v>
      </c>
      <c r="Y366" s="40">
        <v>0</v>
      </c>
      <c r="Z366" s="5">
        <v>11.894</v>
      </c>
      <c r="AA366" s="5">
        <v>2.7118319999999998</v>
      </c>
      <c r="AB366" s="85">
        <v>0</v>
      </c>
      <c r="AC366" s="5">
        <v>5.13</v>
      </c>
      <c r="AD366" s="37">
        <v>0</v>
      </c>
      <c r="AE366">
        <v>3</v>
      </c>
      <c r="AF366" s="5">
        <v>5.89</v>
      </c>
      <c r="AG366" s="37">
        <v>1</v>
      </c>
      <c r="AH366" s="5">
        <v>1.72</v>
      </c>
      <c r="AI366" s="1">
        <v>1</v>
      </c>
      <c r="AJ366" s="13">
        <v>3.71</v>
      </c>
      <c r="AK366" s="1">
        <v>0</v>
      </c>
      <c r="AL366" s="13">
        <v>1.39</v>
      </c>
      <c r="AM366" s="1">
        <v>0</v>
      </c>
      <c r="AN366" s="82">
        <f t="shared" si="59"/>
        <v>4.2374100719424463</v>
      </c>
      <c r="AO366" s="1">
        <v>1</v>
      </c>
      <c r="AP366">
        <v>119</v>
      </c>
      <c r="AQ366" s="37">
        <v>0</v>
      </c>
      <c r="AR366">
        <v>76</v>
      </c>
      <c r="AS366" s="37">
        <v>0</v>
      </c>
      <c r="AT366">
        <v>92</v>
      </c>
      <c r="AU366">
        <v>43</v>
      </c>
      <c r="AV366">
        <v>6.1</v>
      </c>
      <c r="AW366">
        <v>1</v>
      </c>
      <c r="AX366">
        <v>1413</v>
      </c>
      <c r="AY366">
        <v>45</v>
      </c>
      <c r="AZ366">
        <v>51.9</v>
      </c>
      <c r="BA366">
        <v>204.1</v>
      </c>
      <c r="BB366">
        <v>11.7</v>
      </c>
      <c r="BC366">
        <v>155.80000000000001</v>
      </c>
      <c r="BD366">
        <v>36.6</v>
      </c>
      <c r="BE366">
        <v>22</v>
      </c>
      <c r="BF366">
        <v>47.3</v>
      </c>
      <c r="BG366">
        <v>33</v>
      </c>
      <c r="BH366">
        <v>12.7</v>
      </c>
      <c r="BI366">
        <v>54.2</v>
      </c>
      <c r="BJ366">
        <v>20.100000000000001</v>
      </c>
      <c r="BK366">
        <v>5.8</v>
      </c>
      <c r="BL366">
        <v>31.5</v>
      </c>
      <c r="BM366">
        <v>5.9</v>
      </c>
      <c r="BN366">
        <v>1.7</v>
      </c>
      <c r="BO366">
        <v>1.18</v>
      </c>
      <c r="BP366">
        <v>0.09</v>
      </c>
      <c r="BQ366">
        <v>0.28000000000000003</v>
      </c>
      <c r="BR366">
        <v>460</v>
      </c>
      <c r="BS366">
        <v>151.4</v>
      </c>
      <c r="BT366">
        <v>2648</v>
      </c>
      <c r="BU366">
        <v>1465</v>
      </c>
      <c r="BV366">
        <v>7.61</v>
      </c>
      <c r="BW366">
        <v>3.86</v>
      </c>
      <c r="BX366">
        <v>0.99</v>
      </c>
      <c r="BY366">
        <v>38.200000000000003</v>
      </c>
      <c r="BZ366">
        <v>44.3</v>
      </c>
      <c r="CA366">
        <v>0.76</v>
      </c>
      <c r="CB366">
        <v>1.19</v>
      </c>
      <c r="CC366">
        <v>7.4</v>
      </c>
      <c r="CD366">
        <v>0.51</v>
      </c>
      <c r="CE366">
        <v>1.77</v>
      </c>
      <c r="CF366">
        <v>136.5</v>
      </c>
      <c r="CG366">
        <v>10.3</v>
      </c>
      <c r="CH366">
        <v>126</v>
      </c>
      <c r="CI366">
        <v>3.99</v>
      </c>
      <c r="CJ366">
        <v>1.5</v>
      </c>
      <c r="CK366">
        <v>0</v>
      </c>
      <c r="CL366" s="42" t="str">
        <f t="shared" si="61"/>
        <v>1</v>
      </c>
      <c r="CM366" s="4">
        <v>0</v>
      </c>
      <c r="CN366" s="4">
        <f t="shared" si="60"/>
        <v>1.56</v>
      </c>
      <c r="CO366">
        <v>4</v>
      </c>
      <c r="CP366" s="42" t="str">
        <f t="shared" si="62"/>
        <v>1</v>
      </c>
      <c r="CQ366" s="4">
        <v>78</v>
      </c>
      <c r="CR366" s="4">
        <v>1.4444444444444444</v>
      </c>
      <c r="CS366" s="43" t="str">
        <f t="shared" si="63"/>
        <v>1</v>
      </c>
      <c r="CT366" s="4">
        <f t="shared" si="64"/>
        <v>78</v>
      </c>
      <c r="CU366" s="4">
        <f t="shared" si="65"/>
        <v>3.0044444444444443</v>
      </c>
      <c r="CV366" s="4">
        <v>3</v>
      </c>
    </row>
    <row r="367" spans="1:100" x14ac:dyDescent="0.3">
      <c r="A367" s="8" t="s">
        <v>204</v>
      </c>
      <c r="B367" s="18">
        <v>1</v>
      </c>
      <c r="C367">
        <v>34</v>
      </c>
      <c r="D367">
        <v>1</v>
      </c>
      <c r="E367">
        <v>3</v>
      </c>
      <c r="F367">
        <v>0</v>
      </c>
      <c r="G367">
        <v>0</v>
      </c>
      <c r="H367">
        <v>0</v>
      </c>
      <c r="I367">
        <v>1</v>
      </c>
      <c r="J367">
        <v>53.2</v>
      </c>
      <c r="K367">
        <v>1.52</v>
      </c>
      <c r="L367">
        <f t="shared" si="58"/>
        <v>152</v>
      </c>
      <c r="M367" s="82">
        <v>17.502800000000001</v>
      </c>
      <c r="N367" s="4">
        <v>33.700000000000003</v>
      </c>
      <c r="O367" s="4">
        <v>32.9</v>
      </c>
      <c r="P367" s="39">
        <v>1</v>
      </c>
      <c r="Q367">
        <v>69</v>
      </c>
      <c r="R367" s="40">
        <v>0</v>
      </c>
      <c r="S367">
        <v>94</v>
      </c>
      <c r="T367" s="5">
        <v>0.73404255319148937</v>
      </c>
      <c r="U367" s="39">
        <v>0</v>
      </c>
      <c r="V367" s="4">
        <v>23.026315789473685</v>
      </c>
      <c r="W367" s="37">
        <v>1</v>
      </c>
      <c r="X367">
        <v>5</v>
      </c>
      <c r="Y367" s="40">
        <v>0</v>
      </c>
      <c r="Z367" s="5">
        <v>7.1989999999999998</v>
      </c>
      <c r="AA367" s="5">
        <v>1.3534120000000001</v>
      </c>
      <c r="AB367" s="85">
        <v>0</v>
      </c>
      <c r="AC367" s="5">
        <v>4.2300000000000004</v>
      </c>
      <c r="AD367" s="37">
        <v>0</v>
      </c>
      <c r="AE367">
        <v>17.8</v>
      </c>
      <c r="AF367" s="5">
        <v>4.8899999999999997</v>
      </c>
      <c r="AG367" s="37">
        <v>0</v>
      </c>
      <c r="AH367" s="5">
        <v>0.45</v>
      </c>
      <c r="AI367" s="1">
        <v>0</v>
      </c>
      <c r="AJ367" s="13">
        <v>3.38</v>
      </c>
      <c r="AK367" s="1">
        <v>0</v>
      </c>
      <c r="AL367" s="13">
        <v>1.31</v>
      </c>
      <c r="AM367" s="1">
        <v>0</v>
      </c>
      <c r="AN367" s="82">
        <f t="shared" si="59"/>
        <v>3.7328244274809155</v>
      </c>
      <c r="AO367" s="1">
        <v>0</v>
      </c>
      <c r="AP367">
        <v>107</v>
      </c>
      <c r="AQ367" s="37">
        <v>0</v>
      </c>
      <c r="AR367">
        <v>75</v>
      </c>
      <c r="AS367" s="37">
        <v>0</v>
      </c>
      <c r="AT367">
        <v>96</v>
      </c>
      <c r="AU367">
        <v>32</v>
      </c>
      <c r="AV367">
        <v>5.2</v>
      </c>
      <c r="AW367">
        <v>1</v>
      </c>
      <c r="AX367">
        <v>1380</v>
      </c>
      <c r="AY367">
        <v>69.900000000000006</v>
      </c>
      <c r="AZ367">
        <v>47.5</v>
      </c>
      <c r="BA367">
        <v>215.7</v>
      </c>
      <c r="BB367">
        <v>10.8</v>
      </c>
      <c r="BC367">
        <v>156.80000000000001</v>
      </c>
      <c r="BD367">
        <v>48.4</v>
      </c>
      <c r="BE367">
        <v>39.6</v>
      </c>
      <c r="BF367">
        <v>112.1</v>
      </c>
      <c r="BG367">
        <v>31</v>
      </c>
      <c r="BH367">
        <v>20.3</v>
      </c>
      <c r="BI367">
        <v>58.6</v>
      </c>
      <c r="BJ367">
        <v>18</v>
      </c>
      <c r="BK367">
        <v>10.8</v>
      </c>
      <c r="BL367">
        <v>27.6</v>
      </c>
      <c r="BM367">
        <v>7.3</v>
      </c>
      <c r="BN367">
        <v>2.8</v>
      </c>
      <c r="BO367">
        <v>2.33</v>
      </c>
      <c r="BP367">
        <v>0.4</v>
      </c>
      <c r="BQ367">
        <v>0.27</v>
      </c>
      <c r="BR367">
        <v>258</v>
      </c>
      <c r="BS367">
        <v>115.2</v>
      </c>
      <c r="BT367">
        <v>2000</v>
      </c>
      <c r="BU367">
        <v>1083</v>
      </c>
      <c r="BV367">
        <v>6.83</v>
      </c>
      <c r="BW367">
        <v>3.11</v>
      </c>
      <c r="BX367">
        <v>0.87</v>
      </c>
      <c r="BY367">
        <v>24.7</v>
      </c>
      <c r="BZ367">
        <v>25.5</v>
      </c>
      <c r="CA367">
        <v>4.0599999999999996</v>
      </c>
      <c r="CB367">
        <v>4.16</v>
      </c>
      <c r="CC367">
        <v>8.8000000000000007</v>
      </c>
      <c r="CD367">
        <v>0.38</v>
      </c>
      <c r="CE367">
        <v>1.64</v>
      </c>
      <c r="CF367">
        <v>93.5</v>
      </c>
      <c r="CG367">
        <v>70</v>
      </c>
      <c r="CH367">
        <v>329</v>
      </c>
      <c r="CI367">
        <v>3.3</v>
      </c>
      <c r="CJ367">
        <v>17.899999999999999</v>
      </c>
      <c r="CK367">
        <v>1</v>
      </c>
      <c r="CL367" s="42" t="str">
        <f t="shared" si="61"/>
        <v>1</v>
      </c>
      <c r="CM367" s="4">
        <v>10</v>
      </c>
      <c r="CN367" s="4">
        <f t="shared" si="60"/>
        <v>1.8133333333333335</v>
      </c>
      <c r="CO367">
        <v>9</v>
      </c>
      <c r="CP367" s="42" t="str">
        <f t="shared" si="62"/>
        <v>1</v>
      </c>
      <c r="CQ367" s="4">
        <v>90.666666666666671</v>
      </c>
      <c r="CR367" s="4">
        <v>2.2308641975308641</v>
      </c>
      <c r="CS367" s="43" t="str">
        <f t="shared" si="63"/>
        <v>1</v>
      </c>
      <c r="CT367" s="4">
        <f t="shared" si="64"/>
        <v>100.66666666666667</v>
      </c>
      <c r="CU367" s="4">
        <f t="shared" si="65"/>
        <v>4.0441975308641975</v>
      </c>
      <c r="CV367" s="4">
        <v>4</v>
      </c>
    </row>
    <row r="368" spans="1:100" x14ac:dyDescent="0.3">
      <c r="A368" s="8" t="s">
        <v>203</v>
      </c>
      <c r="B368" s="18">
        <v>1</v>
      </c>
      <c r="C368">
        <v>35</v>
      </c>
      <c r="D368">
        <v>1</v>
      </c>
      <c r="E368">
        <v>3</v>
      </c>
      <c r="F368">
        <v>0</v>
      </c>
      <c r="G368">
        <v>0</v>
      </c>
      <c r="H368">
        <v>0</v>
      </c>
      <c r="I368">
        <v>1</v>
      </c>
      <c r="J368">
        <v>50.4</v>
      </c>
      <c r="K368">
        <v>1.42</v>
      </c>
      <c r="L368">
        <f t="shared" si="58"/>
        <v>142</v>
      </c>
      <c r="M368" s="82">
        <v>18.143999999999998</v>
      </c>
      <c r="N368" s="4">
        <v>30.6</v>
      </c>
      <c r="O368" s="4">
        <v>36</v>
      </c>
      <c r="P368" s="39">
        <v>1</v>
      </c>
      <c r="Q368">
        <v>82</v>
      </c>
      <c r="R368" s="40">
        <v>1</v>
      </c>
      <c r="S368">
        <v>94</v>
      </c>
      <c r="T368" s="5">
        <v>0.87234042553191493</v>
      </c>
      <c r="U368" s="39">
        <v>0</v>
      </c>
      <c r="V368" s="4">
        <v>24.995040666534418</v>
      </c>
      <c r="W368" s="37">
        <v>1</v>
      </c>
      <c r="X368">
        <v>6</v>
      </c>
      <c r="Y368" s="40">
        <v>0</v>
      </c>
      <c r="Z368" s="5">
        <v>10.302</v>
      </c>
      <c r="AA368" s="5">
        <v>1.9917199999999999</v>
      </c>
      <c r="AB368" s="85">
        <v>0</v>
      </c>
      <c r="AC368" s="5">
        <v>4.3499999999999996</v>
      </c>
      <c r="AD368" s="37">
        <v>0</v>
      </c>
      <c r="AE368">
        <v>13.99</v>
      </c>
      <c r="AF368" s="5">
        <v>5.39</v>
      </c>
      <c r="AG368" s="37">
        <v>1</v>
      </c>
      <c r="AH368" s="5">
        <v>1.29</v>
      </c>
      <c r="AI368" s="1">
        <v>1</v>
      </c>
      <c r="AJ368" s="13">
        <v>3.6</v>
      </c>
      <c r="AK368" s="1">
        <v>1</v>
      </c>
      <c r="AL368" s="13">
        <v>1.21</v>
      </c>
      <c r="AM368" s="1">
        <v>1</v>
      </c>
      <c r="AN368" s="82">
        <f t="shared" si="59"/>
        <v>4.4545454545454541</v>
      </c>
      <c r="AO368" s="1">
        <v>1</v>
      </c>
      <c r="AP368">
        <v>104</v>
      </c>
      <c r="AQ368" s="37">
        <v>0</v>
      </c>
      <c r="AR368">
        <v>62</v>
      </c>
      <c r="AS368" s="37">
        <v>0</v>
      </c>
      <c r="AT368">
        <v>86</v>
      </c>
      <c r="AU368">
        <v>42</v>
      </c>
      <c r="AV368">
        <v>5.2</v>
      </c>
      <c r="AW368">
        <v>1</v>
      </c>
      <c r="AX368">
        <v>1123</v>
      </c>
      <c r="AY368">
        <v>20.6</v>
      </c>
      <c r="AZ368">
        <v>32.299999999999997</v>
      </c>
      <c r="BA368">
        <v>199</v>
      </c>
      <c r="BB368">
        <v>7.2</v>
      </c>
      <c r="BC368">
        <v>128.6</v>
      </c>
      <c r="BD368">
        <v>56</v>
      </c>
      <c r="BE368">
        <v>39.5</v>
      </c>
      <c r="BF368">
        <v>10.1</v>
      </c>
      <c r="BG368">
        <v>25.9</v>
      </c>
      <c r="BH368">
        <v>7.3</v>
      </c>
      <c r="BI368">
        <v>66.5</v>
      </c>
      <c r="BJ368">
        <v>18.3</v>
      </c>
      <c r="BK368">
        <v>13.2</v>
      </c>
      <c r="BL368">
        <v>22.9</v>
      </c>
      <c r="BM368">
        <v>2.2000000000000002</v>
      </c>
      <c r="BN368">
        <v>1.3</v>
      </c>
      <c r="BO368">
        <v>0.96</v>
      </c>
      <c r="BP368">
        <v>0.11</v>
      </c>
      <c r="BQ368">
        <v>0</v>
      </c>
      <c r="BR368">
        <v>196</v>
      </c>
      <c r="BS368">
        <v>124.9</v>
      </c>
      <c r="BT368">
        <v>2005</v>
      </c>
      <c r="BU368">
        <v>1320</v>
      </c>
      <c r="BV368">
        <v>6.05</v>
      </c>
      <c r="BW368">
        <v>3.98</v>
      </c>
      <c r="BX368">
        <v>0.89</v>
      </c>
      <c r="BY368">
        <v>15.5</v>
      </c>
      <c r="BZ368">
        <v>22.5</v>
      </c>
      <c r="CA368">
        <v>5.44</v>
      </c>
      <c r="CB368">
        <v>4.9800000000000004</v>
      </c>
      <c r="CC368">
        <v>7.3</v>
      </c>
      <c r="CD368">
        <v>0.42</v>
      </c>
      <c r="CE368">
        <v>0.38</v>
      </c>
      <c r="CF368">
        <v>116.8</v>
      </c>
      <c r="CG368">
        <v>23</v>
      </c>
      <c r="CH368">
        <v>185</v>
      </c>
      <c r="CI368">
        <v>3.21</v>
      </c>
      <c r="CJ368">
        <v>24</v>
      </c>
      <c r="CK368">
        <v>2</v>
      </c>
      <c r="CL368" s="42" t="str">
        <f t="shared" si="61"/>
        <v>1</v>
      </c>
      <c r="CM368" s="4">
        <v>76</v>
      </c>
      <c r="CN368" s="4">
        <f t="shared" si="60"/>
        <v>2.3933333333333335</v>
      </c>
      <c r="CO368">
        <v>8</v>
      </c>
      <c r="CP368" s="42" t="str">
        <f t="shared" si="62"/>
        <v>1</v>
      </c>
      <c r="CQ368" s="4">
        <v>119.66666666666667</v>
      </c>
      <c r="CR368" s="4">
        <v>2.3123456790123456</v>
      </c>
      <c r="CS368" s="43" t="str">
        <f t="shared" si="63"/>
        <v>2</v>
      </c>
      <c r="CT368" s="4">
        <f t="shared" si="64"/>
        <v>195.66666666666669</v>
      </c>
      <c r="CU368" s="4">
        <f t="shared" si="65"/>
        <v>4.7056790123456791</v>
      </c>
      <c r="CV368" s="4">
        <v>4</v>
      </c>
    </row>
    <row r="369" spans="1:100" x14ac:dyDescent="0.3">
      <c r="A369" s="8" t="s">
        <v>202</v>
      </c>
      <c r="B369" s="18">
        <v>1</v>
      </c>
      <c r="C369">
        <v>32</v>
      </c>
      <c r="D369">
        <v>1</v>
      </c>
      <c r="E369">
        <v>3</v>
      </c>
      <c r="F369">
        <v>0</v>
      </c>
      <c r="G369">
        <v>0</v>
      </c>
      <c r="H369">
        <v>0</v>
      </c>
      <c r="I369">
        <v>0</v>
      </c>
      <c r="J369">
        <v>50.1</v>
      </c>
      <c r="K369">
        <v>1.58</v>
      </c>
      <c r="L369">
        <f t="shared" si="58"/>
        <v>158</v>
      </c>
      <c r="M369" s="82">
        <v>13.877699999999999</v>
      </c>
      <c r="N369" s="4">
        <v>34.4</v>
      </c>
      <c r="O369" s="4">
        <v>27.7</v>
      </c>
      <c r="P369" s="39">
        <v>0</v>
      </c>
      <c r="Q369">
        <v>79</v>
      </c>
      <c r="R369" s="40">
        <v>0</v>
      </c>
      <c r="S369">
        <v>89</v>
      </c>
      <c r="T369" s="5">
        <v>0.88764044943820219</v>
      </c>
      <c r="U369" s="39">
        <v>1</v>
      </c>
      <c r="V369" s="4">
        <v>20.068899214869408</v>
      </c>
      <c r="W369" s="37">
        <v>0</v>
      </c>
      <c r="X369">
        <v>3</v>
      </c>
      <c r="Y369" s="40">
        <v>0</v>
      </c>
      <c r="Z369" s="5">
        <v>6.57</v>
      </c>
      <c r="AA369" s="5">
        <v>1.1796800000000001</v>
      </c>
      <c r="AB369" s="85">
        <v>0</v>
      </c>
      <c r="AC369" s="5">
        <v>4.04</v>
      </c>
      <c r="AD369" s="37">
        <v>0</v>
      </c>
      <c r="AE369" s="21">
        <v>3</v>
      </c>
      <c r="AF369" s="5">
        <v>4.41</v>
      </c>
      <c r="AG369" s="37">
        <v>0</v>
      </c>
      <c r="AH369" s="5">
        <v>0.74</v>
      </c>
      <c r="AI369" s="1">
        <v>0</v>
      </c>
      <c r="AJ369" s="13">
        <v>2.71</v>
      </c>
      <c r="AK369" s="1">
        <v>0</v>
      </c>
      <c r="AL369" s="13">
        <v>1.36</v>
      </c>
      <c r="AM369" s="1">
        <v>0</v>
      </c>
      <c r="AN369" s="82">
        <f t="shared" si="59"/>
        <v>3.2426470588235294</v>
      </c>
      <c r="AO369" s="1">
        <v>0</v>
      </c>
      <c r="AP369">
        <v>107</v>
      </c>
      <c r="AQ369" s="37">
        <v>0</v>
      </c>
      <c r="AR369">
        <v>74</v>
      </c>
      <c r="AS369" s="37">
        <v>0</v>
      </c>
      <c r="AT369">
        <v>94</v>
      </c>
      <c r="AU369">
        <v>33</v>
      </c>
      <c r="AV369">
        <v>5.0999999999999996</v>
      </c>
      <c r="AW369">
        <v>1</v>
      </c>
      <c r="AX369">
        <v>1804</v>
      </c>
      <c r="AY369">
        <v>52.4</v>
      </c>
      <c r="AZ369">
        <v>52.6</v>
      </c>
      <c r="BA369">
        <v>297.60000000000002</v>
      </c>
      <c r="BB369">
        <v>12.3</v>
      </c>
      <c r="BC369">
        <v>190.2</v>
      </c>
      <c r="BD369">
        <v>64.900000000000006</v>
      </c>
      <c r="BE369">
        <v>49.9</v>
      </c>
      <c r="BF369">
        <v>133.4</v>
      </c>
      <c r="BG369">
        <v>26.3</v>
      </c>
      <c r="BH369">
        <v>11.6</v>
      </c>
      <c r="BI369">
        <v>61.9</v>
      </c>
      <c r="BJ369">
        <v>15.4</v>
      </c>
      <c r="BK369">
        <v>10.4</v>
      </c>
      <c r="BL369">
        <v>30.8</v>
      </c>
      <c r="BM369">
        <v>4.7</v>
      </c>
      <c r="BN369">
        <v>2</v>
      </c>
      <c r="BO369">
        <v>1.68</v>
      </c>
      <c r="BP369">
        <v>0.17</v>
      </c>
      <c r="BQ369">
        <v>0.04</v>
      </c>
      <c r="BR369">
        <v>418</v>
      </c>
      <c r="BS369">
        <v>229.5</v>
      </c>
      <c r="BT369">
        <v>2956</v>
      </c>
      <c r="BU369">
        <v>2068</v>
      </c>
      <c r="BV369">
        <v>11.43</v>
      </c>
      <c r="BW369">
        <v>6.62</v>
      </c>
      <c r="BX369">
        <v>1.55</v>
      </c>
      <c r="BY369">
        <v>16.100000000000001</v>
      </c>
      <c r="BZ369">
        <v>48.8</v>
      </c>
      <c r="CA369">
        <v>8.5299999999999994</v>
      </c>
      <c r="CB369">
        <v>8.7100000000000009</v>
      </c>
      <c r="CC369">
        <v>13.1</v>
      </c>
      <c r="CD369">
        <v>0.81</v>
      </c>
      <c r="CE369">
        <v>1.19</v>
      </c>
      <c r="CF369">
        <v>161</v>
      </c>
      <c r="CG369">
        <v>54.4</v>
      </c>
      <c r="CH369">
        <v>417</v>
      </c>
      <c r="CI369">
        <v>7.49</v>
      </c>
      <c r="CJ369">
        <v>39</v>
      </c>
      <c r="CK369">
        <v>4</v>
      </c>
      <c r="CL369" s="42" t="str">
        <f t="shared" si="61"/>
        <v>2</v>
      </c>
      <c r="CM369" s="4">
        <v>143.66666666666666</v>
      </c>
      <c r="CN369" s="4">
        <f t="shared" si="60"/>
        <v>1.8066666666666666</v>
      </c>
      <c r="CO369">
        <v>6</v>
      </c>
      <c r="CP369" s="42" t="str">
        <f t="shared" si="62"/>
        <v>1</v>
      </c>
      <c r="CQ369" s="4">
        <v>90.333333333333329</v>
      </c>
      <c r="CR369" s="4">
        <v>1.8506172839506172</v>
      </c>
      <c r="CS369" s="43" t="str">
        <f t="shared" si="63"/>
        <v>2</v>
      </c>
      <c r="CT369" s="4">
        <f t="shared" si="64"/>
        <v>234</v>
      </c>
      <c r="CU369" s="4">
        <f t="shared" si="65"/>
        <v>3.6572839506172841</v>
      </c>
      <c r="CV369" s="4">
        <v>3</v>
      </c>
    </row>
    <row r="370" spans="1:100" x14ac:dyDescent="0.3">
      <c r="A370" s="8" t="s">
        <v>201</v>
      </c>
      <c r="B370" s="18">
        <v>1</v>
      </c>
      <c r="C370">
        <v>49</v>
      </c>
      <c r="D370">
        <v>1</v>
      </c>
      <c r="E370">
        <v>3</v>
      </c>
      <c r="F370">
        <v>1</v>
      </c>
      <c r="G370">
        <v>0</v>
      </c>
      <c r="H370">
        <v>0</v>
      </c>
      <c r="I370">
        <v>1</v>
      </c>
      <c r="J370">
        <v>66.900000000000006</v>
      </c>
      <c r="K370">
        <v>1.56</v>
      </c>
      <c r="L370">
        <f t="shared" si="58"/>
        <v>156</v>
      </c>
      <c r="M370" s="82">
        <v>26.091000000000005</v>
      </c>
      <c r="N370" s="4">
        <v>38.5</v>
      </c>
      <c r="O370" s="4">
        <v>39</v>
      </c>
      <c r="P370" s="39">
        <v>1</v>
      </c>
      <c r="Q370">
        <v>92</v>
      </c>
      <c r="R370" s="40">
        <v>1</v>
      </c>
      <c r="S370">
        <v>102</v>
      </c>
      <c r="T370" s="5">
        <v>0.90196078431372551</v>
      </c>
      <c r="U370" s="39">
        <v>1</v>
      </c>
      <c r="V370" s="4">
        <v>27.490138067061142</v>
      </c>
      <c r="W370" s="37">
        <v>1</v>
      </c>
      <c r="X370">
        <v>8</v>
      </c>
      <c r="Y370" s="40">
        <v>0</v>
      </c>
      <c r="Z370" s="5">
        <v>15.553000000000001</v>
      </c>
      <c r="AA370" s="5">
        <v>3.4976968888888886</v>
      </c>
      <c r="AB370" s="85">
        <v>1</v>
      </c>
      <c r="AC370" s="5">
        <v>5.0599999999999996</v>
      </c>
      <c r="AD370" s="37">
        <v>0</v>
      </c>
      <c r="AE370">
        <v>40.46</v>
      </c>
      <c r="AF370" s="5">
        <v>8.57</v>
      </c>
      <c r="AG370" s="37">
        <v>1</v>
      </c>
      <c r="AH370" s="5">
        <v>2.0099999999999998</v>
      </c>
      <c r="AI370" s="1">
        <v>1</v>
      </c>
      <c r="AJ370" s="13">
        <v>6.53</v>
      </c>
      <c r="AK370" s="1">
        <v>1</v>
      </c>
      <c r="AL370" s="13">
        <v>1.1299999999999999</v>
      </c>
      <c r="AM370" s="1">
        <v>1</v>
      </c>
      <c r="AN370" s="82">
        <f t="shared" si="59"/>
        <v>7.5840707964601783</v>
      </c>
      <c r="AO370" s="1">
        <v>1</v>
      </c>
      <c r="AP370">
        <v>125</v>
      </c>
      <c r="AQ370" s="37">
        <v>0</v>
      </c>
      <c r="AR370">
        <v>82</v>
      </c>
      <c r="AS370" s="37">
        <v>0</v>
      </c>
      <c r="AT370">
        <v>76</v>
      </c>
      <c r="AU370">
        <v>43</v>
      </c>
      <c r="AV370">
        <v>7.1</v>
      </c>
      <c r="AW370">
        <v>1</v>
      </c>
      <c r="AX370">
        <v>1687</v>
      </c>
      <c r="AY370">
        <v>172.5</v>
      </c>
      <c r="AZ370">
        <v>56.6</v>
      </c>
      <c r="BA370">
        <v>273.89999999999998</v>
      </c>
      <c r="BB370">
        <v>6.9</v>
      </c>
      <c r="BC370">
        <v>204.8</v>
      </c>
      <c r="BD370">
        <v>48.5</v>
      </c>
      <c r="BE370">
        <v>34.9</v>
      </c>
      <c r="BF370">
        <v>93.1</v>
      </c>
      <c r="BG370">
        <v>30.2</v>
      </c>
      <c r="BH370">
        <v>40.9</v>
      </c>
      <c r="BI370">
        <v>60.9</v>
      </c>
      <c r="BJ370">
        <v>20.3</v>
      </c>
      <c r="BK370">
        <v>7.8</v>
      </c>
      <c r="BL370">
        <v>38</v>
      </c>
      <c r="BM370">
        <v>7.2</v>
      </c>
      <c r="BN370">
        <v>3</v>
      </c>
      <c r="BO370">
        <v>1.87</v>
      </c>
      <c r="BP370">
        <v>0.87</v>
      </c>
      <c r="BQ370">
        <v>0</v>
      </c>
      <c r="BR370">
        <v>364</v>
      </c>
      <c r="BS370">
        <v>196</v>
      </c>
      <c r="BT370">
        <v>17563</v>
      </c>
      <c r="BU370">
        <v>1626</v>
      </c>
      <c r="BV370">
        <v>10.16</v>
      </c>
      <c r="BW370">
        <v>6.48</v>
      </c>
      <c r="BX370">
        <v>1.66</v>
      </c>
      <c r="BY370">
        <v>45.4</v>
      </c>
      <c r="BZ370">
        <v>68.7</v>
      </c>
      <c r="CA370">
        <v>9.3800000000000008</v>
      </c>
      <c r="CB370">
        <v>10.44</v>
      </c>
      <c r="CC370">
        <v>14.9</v>
      </c>
      <c r="CD370">
        <v>0.87</v>
      </c>
      <c r="CE370">
        <v>5.13</v>
      </c>
      <c r="CF370">
        <v>138.4</v>
      </c>
      <c r="CG370">
        <v>16.899999999999999</v>
      </c>
      <c r="CH370">
        <v>377</v>
      </c>
      <c r="CI370">
        <v>8.9700000000000006</v>
      </c>
      <c r="CJ370">
        <v>63.1</v>
      </c>
      <c r="CK370">
        <v>1</v>
      </c>
      <c r="CL370" s="42" t="str">
        <f t="shared" si="61"/>
        <v>1</v>
      </c>
      <c r="CM370" s="4">
        <v>10</v>
      </c>
      <c r="CN370" s="4">
        <f t="shared" si="60"/>
        <v>2.8866666666666667</v>
      </c>
      <c r="CO370">
        <v>7</v>
      </c>
      <c r="CP370" s="42" t="str">
        <f t="shared" si="62"/>
        <v>1</v>
      </c>
      <c r="CQ370" s="4">
        <v>144.33333333333334</v>
      </c>
      <c r="CR370" s="4">
        <v>2.8209876543209873</v>
      </c>
      <c r="CS370" s="43" t="str">
        <f t="shared" si="63"/>
        <v>2</v>
      </c>
      <c r="CT370" s="4">
        <f t="shared" si="64"/>
        <v>154.33333333333334</v>
      </c>
      <c r="CU370" s="4">
        <f t="shared" si="65"/>
        <v>5.707654320987654</v>
      </c>
      <c r="CV370" s="4">
        <v>4</v>
      </c>
    </row>
    <row r="371" spans="1:100" x14ac:dyDescent="0.3">
      <c r="A371" s="8" t="s">
        <v>200</v>
      </c>
      <c r="B371" s="18">
        <v>1</v>
      </c>
      <c r="C371">
        <v>32</v>
      </c>
      <c r="D371">
        <v>1</v>
      </c>
      <c r="E371">
        <v>3</v>
      </c>
      <c r="F371">
        <v>0</v>
      </c>
      <c r="G371">
        <v>0</v>
      </c>
      <c r="H371">
        <v>0</v>
      </c>
      <c r="I371">
        <v>1</v>
      </c>
      <c r="J371">
        <v>50.2</v>
      </c>
      <c r="K371">
        <v>1.54</v>
      </c>
      <c r="L371">
        <f t="shared" si="58"/>
        <v>154</v>
      </c>
      <c r="M371" s="82">
        <v>13.9054</v>
      </c>
      <c r="N371" s="4">
        <v>34.4</v>
      </c>
      <c r="O371" s="4">
        <v>27.7</v>
      </c>
      <c r="P371" s="39">
        <v>0</v>
      </c>
      <c r="Q371">
        <v>80</v>
      </c>
      <c r="R371" s="40">
        <v>0</v>
      </c>
      <c r="S371">
        <v>89</v>
      </c>
      <c r="T371" s="5">
        <v>0.898876404494382</v>
      </c>
      <c r="U371" s="39">
        <v>1</v>
      </c>
      <c r="V371" s="4">
        <v>21.167144543767922</v>
      </c>
      <c r="W371" s="37">
        <v>0</v>
      </c>
      <c r="X371">
        <v>4</v>
      </c>
      <c r="Y371" s="40">
        <v>0</v>
      </c>
      <c r="Z371" s="5">
        <v>7.5359999999999996</v>
      </c>
      <c r="AA371" s="5">
        <v>1.5373439999999998</v>
      </c>
      <c r="AB371" s="85">
        <v>0</v>
      </c>
      <c r="AC371" s="5">
        <v>4.59</v>
      </c>
      <c r="AD371" s="37">
        <v>0</v>
      </c>
      <c r="AE371">
        <v>3</v>
      </c>
      <c r="AF371" s="5">
        <v>3.84</v>
      </c>
      <c r="AG371" s="37">
        <v>0</v>
      </c>
      <c r="AH371" s="5">
        <v>0.7</v>
      </c>
      <c r="AI371" s="1">
        <v>0</v>
      </c>
      <c r="AJ371" s="13">
        <v>2.2599999999999998</v>
      </c>
      <c r="AK371" s="1">
        <v>1</v>
      </c>
      <c r="AL371" s="13">
        <v>1.26</v>
      </c>
      <c r="AM371" s="1">
        <v>1</v>
      </c>
      <c r="AN371" s="82">
        <f t="shared" si="59"/>
        <v>3.0476190476190474</v>
      </c>
      <c r="AO371" s="1">
        <v>0</v>
      </c>
      <c r="AP371">
        <v>88</v>
      </c>
      <c r="AQ371" s="37">
        <v>0</v>
      </c>
      <c r="AR371">
        <v>60</v>
      </c>
      <c r="AS371" s="37">
        <v>0</v>
      </c>
      <c r="AT371">
        <v>102</v>
      </c>
      <c r="AU371">
        <v>28</v>
      </c>
      <c r="AV371">
        <v>4.5</v>
      </c>
      <c r="AW371">
        <v>1</v>
      </c>
      <c r="AX371">
        <v>2172</v>
      </c>
      <c r="AY371">
        <v>240.3</v>
      </c>
      <c r="AZ371">
        <v>72.2</v>
      </c>
      <c r="BA371">
        <v>345.2</v>
      </c>
      <c r="BB371">
        <v>14.2</v>
      </c>
      <c r="BC371">
        <v>256.60000000000002</v>
      </c>
      <c r="BD371">
        <v>63.3</v>
      </c>
      <c r="BE371">
        <v>52.8</v>
      </c>
      <c r="BF371">
        <v>135.9</v>
      </c>
      <c r="BG371">
        <v>29.9</v>
      </c>
      <c r="BH371">
        <v>44.2</v>
      </c>
      <c r="BI371">
        <v>59.6</v>
      </c>
      <c r="BJ371">
        <v>17.7</v>
      </c>
      <c r="BK371">
        <v>9.1</v>
      </c>
      <c r="BL371">
        <v>42.8</v>
      </c>
      <c r="BM371">
        <v>7.9</v>
      </c>
      <c r="BN371">
        <v>3.1</v>
      </c>
      <c r="BO371">
        <v>1.78</v>
      </c>
      <c r="BP371">
        <v>1.1000000000000001</v>
      </c>
      <c r="BQ371">
        <v>0.15</v>
      </c>
      <c r="BR371">
        <v>534</v>
      </c>
      <c r="BS371">
        <v>263.7</v>
      </c>
      <c r="BT371">
        <v>17778</v>
      </c>
      <c r="BU371">
        <v>2243</v>
      </c>
      <c r="BV371">
        <v>14.6</v>
      </c>
      <c r="BW371">
        <v>7.58</v>
      </c>
      <c r="BX371">
        <v>1.89</v>
      </c>
      <c r="BY371">
        <v>46.8</v>
      </c>
      <c r="BZ371">
        <v>76.2</v>
      </c>
      <c r="CA371">
        <v>10.14</v>
      </c>
      <c r="CB371">
        <v>11.86</v>
      </c>
      <c r="CC371">
        <v>17.3</v>
      </c>
      <c r="CD371">
        <v>0.85</v>
      </c>
      <c r="CE371">
        <v>8.2200000000000006</v>
      </c>
      <c r="CF371">
        <v>220.8</v>
      </c>
      <c r="CG371">
        <v>19.3</v>
      </c>
      <c r="CH371">
        <v>558</v>
      </c>
      <c r="CI371">
        <v>14.08</v>
      </c>
      <c r="CJ371">
        <v>63.6</v>
      </c>
      <c r="CK371">
        <v>1</v>
      </c>
      <c r="CL371" s="42" t="str">
        <f t="shared" si="61"/>
        <v>1</v>
      </c>
      <c r="CM371" s="4">
        <v>24</v>
      </c>
      <c r="CN371" s="4">
        <f t="shared" si="60"/>
        <v>2.4933333333333336</v>
      </c>
      <c r="CO371">
        <v>7</v>
      </c>
      <c r="CP371" s="42" t="str">
        <f t="shared" si="62"/>
        <v>1</v>
      </c>
      <c r="CQ371" s="4">
        <v>124.66666666666667</v>
      </c>
      <c r="CR371" s="4">
        <v>2.3283950617283948</v>
      </c>
      <c r="CS371" s="43" t="str">
        <f t="shared" si="63"/>
        <v>1</v>
      </c>
      <c r="CT371" s="4">
        <f t="shared" si="64"/>
        <v>148.66666666666669</v>
      </c>
      <c r="CU371" s="4">
        <f t="shared" si="65"/>
        <v>4.8217283950617285</v>
      </c>
      <c r="CV371" s="4">
        <v>4</v>
      </c>
    </row>
    <row r="372" spans="1:100" x14ac:dyDescent="0.3">
      <c r="A372" s="8" t="s">
        <v>199</v>
      </c>
      <c r="B372" s="18">
        <v>1</v>
      </c>
      <c r="C372">
        <v>39</v>
      </c>
      <c r="D372">
        <v>1</v>
      </c>
      <c r="E372">
        <v>3</v>
      </c>
      <c r="F372">
        <v>0</v>
      </c>
      <c r="G372">
        <v>0</v>
      </c>
      <c r="H372">
        <v>0</v>
      </c>
      <c r="I372">
        <v>1</v>
      </c>
      <c r="J372">
        <v>50.4</v>
      </c>
      <c r="K372">
        <v>1.53</v>
      </c>
      <c r="L372">
        <f t="shared" si="58"/>
        <v>153</v>
      </c>
      <c r="M372" s="82">
        <v>15.6744</v>
      </c>
      <c r="N372" s="4">
        <v>33</v>
      </c>
      <c r="O372" s="4">
        <v>31.1</v>
      </c>
      <c r="P372" s="39">
        <v>0</v>
      </c>
      <c r="Q372">
        <v>80</v>
      </c>
      <c r="R372" s="40">
        <v>0</v>
      </c>
      <c r="S372">
        <v>92</v>
      </c>
      <c r="T372" s="5">
        <v>0.86956521739130432</v>
      </c>
      <c r="U372" s="39">
        <v>0</v>
      </c>
      <c r="V372" s="4">
        <v>21.530180699730874</v>
      </c>
      <c r="W372" s="37">
        <v>0</v>
      </c>
      <c r="X372">
        <v>4</v>
      </c>
      <c r="Y372" s="40">
        <v>0</v>
      </c>
      <c r="Z372" s="5">
        <v>12.749000000000001</v>
      </c>
      <c r="AA372" s="5">
        <v>2.5554662222222224</v>
      </c>
      <c r="AB372" s="85">
        <v>0</v>
      </c>
      <c r="AC372" s="5">
        <v>4.51</v>
      </c>
      <c r="AD372" s="37">
        <v>0</v>
      </c>
      <c r="AE372">
        <v>31.24</v>
      </c>
      <c r="AF372" s="5">
        <v>4.49</v>
      </c>
      <c r="AG372" s="37">
        <v>0</v>
      </c>
      <c r="AH372" s="5">
        <v>1.35</v>
      </c>
      <c r="AI372" s="1">
        <v>0</v>
      </c>
      <c r="AJ372" s="13">
        <v>2.77</v>
      </c>
      <c r="AK372" s="1">
        <v>1</v>
      </c>
      <c r="AL372" s="13">
        <v>1.1100000000000001</v>
      </c>
      <c r="AM372" s="1">
        <v>1</v>
      </c>
      <c r="AN372" s="82">
        <f t="shared" si="59"/>
        <v>4.045045045045045</v>
      </c>
      <c r="AO372" s="1">
        <v>1</v>
      </c>
      <c r="AP372">
        <v>124</v>
      </c>
      <c r="AQ372" s="37">
        <v>0</v>
      </c>
      <c r="AR372">
        <v>83</v>
      </c>
      <c r="AS372" s="37">
        <v>0</v>
      </c>
      <c r="AT372">
        <v>90</v>
      </c>
      <c r="AU372">
        <v>41</v>
      </c>
      <c r="AV372">
        <v>6.1</v>
      </c>
      <c r="AW372">
        <v>1</v>
      </c>
      <c r="AX372">
        <v>1758</v>
      </c>
      <c r="AY372">
        <v>56.7</v>
      </c>
      <c r="AZ372">
        <v>66.5</v>
      </c>
      <c r="BA372">
        <v>248</v>
      </c>
      <c r="BB372">
        <v>15.5</v>
      </c>
      <c r="BC372">
        <v>192.6</v>
      </c>
      <c r="BD372">
        <v>38.5</v>
      </c>
      <c r="BE372">
        <v>16.100000000000001</v>
      </c>
      <c r="BF372">
        <v>304.89999999999998</v>
      </c>
      <c r="BG372">
        <v>34</v>
      </c>
      <c r="BH372">
        <v>12.9</v>
      </c>
      <c r="BI372">
        <v>52.9</v>
      </c>
      <c r="BJ372">
        <v>20.6</v>
      </c>
      <c r="BK372">
        <v>3.4</v>
      </c>
      <c r="BL372">
        <v>40.299999999999997</v>
      </c>
      <c r="BM372">
        <v>8.1999999999999993</v>
      </c>
      <c r="BN372">
        <v>3.9</v>
      </c>
      <c r="BO372">
        <v>3.25</v>
      </c>
      <c r="BP372">
        <v>0.28999999999999998</v>
      </c>
      <c r="BQ372">
        <v>7.0000000000000007E-2</v>
      </c>
      <c r="BR372">
        <v>358</v>
      </c>
      <c r="BS372">
        <v>187.7</v>
      </c>
      <c r="BT372">
        <v>2645</v>
      </c>
      <c r="BU372">
        <v>1720</v>
      </c>
      <c r="BV372">
        <v>10.19</v>
      </c>
      <c r="BW372">
        <v>5.21</v>
      </c>
      <c r="BX372">
        <v>1.2</v>
      </c>
      <c r="BY372">
        <v>32.6</v>
      </c>
      <c r="BZ372">
        <v>51.3</v>
      </c>
      <c r="CA372">
        <v>0.97</v>
      </c>
      <c r="CB372">
        <v>1.62</v>
      </c>
      <c r="CC372">
        <v>13.9</v>
      </c>
      <c r="CD372">
        <v>0.66</v>
      </c>
      <c r="CE372">
        <v>1.39</v>
      </c>
      <c r="CF372">
        <v>207.8</v>
      </c>
      <c r="CG372">
        <v>107.4</v>
      </c>
      <c r="CH372">
        <v>557</v>
      </c>
      <c r="CI372">
        <v>3.8</v>
      </c>
      <c r="CJ372">
        <v>3.3</v>
      </c>
      <c r="CK372">
        <v>4</v>
      </c>
      <c r="CL372" s="42" t="str">
        <f t="shared" si="61"/>
        <v>1</v>
      </c>
      <c r="CM372" s="4">
        <v>85.666666666666671</v>
      </c>
      <c r="CN372" s="4">
        <f t="shared" si="60"/>
        <v>2.58</v>
      </c>
      <c r="CO372">
        <v>6</v>
      </c>
      <c r="CP372" s="42" t="str">
        <f t="shared" si="62"/>
        <v>1</v>
      </c>
      <c r="CQ372" s="4">
        <v>129</v>
      </c>
      <c r="CR372" s="4">
        <v>3.0864197530864197</v>
      </c>
      <c r="CS372" s="43" t="str">
        <f t="shared" si="63"/>
        <v>2</v>
      </c>
      <c r="CT372" s="4">
        <f t="shared" si="64"/>
        <v>214.66666666666669</v>
      </c>
      <c r="CU372" s="4">
        <f t="shared" si="65"/>
        <v>5.6664197530864193</v>
      </c>
      <c r="CV372" s="4">
        <v>4</v>
      </c>
    </row>
    <row r="373" spans="1:100" x14ac:dyDescent="0.3">
      <c r="A373" s="8" t="s">
        <v>198</v>
      </c>
      <c r="B373" s="18">
        <v>1</v>
      </c>
      <c r="C373">
        <v>30</v>
      </c>
      <c r="D373">
        <v>1</v>
      </c>
      <c r="E373">
        <v>3</v>
      </c>
      <c r="F373">
        <v>1</v>
      </c>
      <c r="G373">
        <v>0</v>
      </c>
      <c r="H373">
        <v>0</v>
      </c>
      <c r="I373">
        <v>1</v>
      </c>
      <c r="J373">
        <v>51.7</v>
      </c>
      <c r="K373">
        <v>1.4</v>
      </c>
      <c r="L373">
        <f t="shared" si="58"/>
        <v>140</v>
      </c>
      <c r="M373" s="82">
        <v>19.697700000000001</v>
      </c>
      <c r="N373" s="4">
        <v>30.4</v>
      </c>
      <c r="O373" s="4">
        <v>38.1</v>
      </c>
      <c r="P373" s="39">
        <v>1</v>
      </c>
      <c r="Q373">
        <v>77</v>
      </c>
      <c r="R373" s="40">
        <v>0</v>
      </c>
      <c r="S373">
        <v>87</v>
      </c>
      <c r="T373" s="5">
        <v>0.88505747126436785</v>
      </c>
      <c r="U373" s="39">
        <v>1</v>
      </c>
      <c r="V373" s="4">
        <v>26.37755102040817</v>
      </c>
      <c r="W373" s="37">
        <v>1</v>
      </c>
      <c r="X373">
        <v>6</v>
      </c>
      <c r="Y373" s="40">
        <v>0</v>
      </c>
      <c r="Z373" s="5">
        <v>9.27</v>
      </c>
      <c r="AA373" s="5">
        <v>1.76336</v>
      </c>
      <c r="AB373" s="85">
        <v>0</v>
      </c>
      <c r="AC373" s="5">
        <v>4.28</v>
      </c>
      <c r="AD373" s="37">
        <v>0</v>
      </c>
      <c r="AE373">
        <v>12.84</v>
      </c>
      <c r="AF373" s="5">
        <v>5.88</v>
      </c>
      <c r="AG373" s="37">
        <v>1</v>
      </c>
      <c r="AH373" s="5">
        <v>1.53</v>
      </c>
      <c r="AI373" s="1">
        <v>1</v>
      </c>
      <c r="AJ373" s="13">
        <v>4.03</v>
      </c>
      <c r="AK373" s="1">
        <v>1</v>
      </c>
      <c r="AL373" s="13">
        <v>1.1599999999999999</v>
      </c>
      <c r="AM373" s="1">
        <v>1</v>
      </c>
      <c r="AN373" s="82">
        <f t="shared" si="59"/>
        <v>5.0689655172413799</v>
      </c>
      <c r="AO373" s="1">
        <v>1</v>
      </c>
      <c r="AP373">
        <v>120</v>
      </c>
      <c r="AQ373" s="37">
        <v>0</v>
      </c>
      <c r="AR373">
        <v>70</v>
      </c>
      <c r="AS373" s="37">
        <v>0</v>
      </c>
      <c r="AT373">
        <v>86</v>
      </c>
      <c r="AU373">
        <v>50</v>
      </c>
      <c r="AV373">
        <v>5.4</v>
      </c>
      <c r="AW373">
        <v>1</v>
      </c>
      <c r="AX373">
        <v>1098</v>
      </c>
      <c r="AY373">
        <v>40.200000000000003</v>
      </c>
      <c r="AZ373">
        <v>39.700000000000003</v>
      </c>
      <c r="BA373">
        <v>154.30000000000001</v>
      </c>
      <c r="BB373">
        <v>7</v>
      </c>
      <c r="BC373">
        <v>105.8</v>
      </c>
      <c r="BD373">
        <v>37.700000000000003</v>
      </c>
      <c r="BE373">
        <v>33</v>
      </c>
      <c r="BF373">
        <v>150.4</v>
      </c>
      <c r="BG373">
        <v>32.6</v>
      </c>
      <c r="BH373">
        <v>14.6</v>
      </c>
      <c r="BI373">
        <v>52.7</v>
      </c>
      <c r="BJ373">
        <v>20.6</v>
      </c>
      <c r="BK373">
        <v>11.3</v>
      </c>
      <c r="BL373">
        <v>25.2</v>
      </c>
      <c r="BM373">
        <v>5</v>
      </c>
      <c r="BN373">
        <v>2.2000000000000002</v>
      </c>
      <c r="BO373">
        <v>1.82</v>
      </c>
      <c r="BP373">
        <v>0.15</v>
      </c>
      <c r="BQ373">
        <v>0.1</v>
      </c>
      <c r="BR373">
        <v>214</v>
      </c>
      <c r="BS373">
        <v>131.9</v>
      </c>
      <c r="BT373">
        <v>2873</v>
      </c>
      <c r="BU373">
        <v>1268</v>
      </c>
      <c r="BV373">
        <v>6.72</v>
      </c>
      <c r="BW373">
        <v>4.2300000000000004</v>
      </c>
      <c r="BX373">
        <v>0.84</v>
      </c>
      <c r="BY373">
        <v>29</v>
      </c>
      <c r="BZ373">
        <v>31.8</v>
      </c>
      <c r="CA373">
        <v>0.37</v>
      </c>
      <c r="CB373">
        <v>0.65</v>
      </c>
      <c r="CC373">
        <v>10.3</v>
      </c>
      <c r="CD373">
        <v>0.45</v>
      </c>
      <c r="CE373">
        <v>1.34</v>
      </c>
      <c r="CF373">
        <v>80.7</v>
      </c>
      <c r="CG373">
        <v>11.9</v>
      </c>
      <c r="CH373">
        <v>190</v>
      </c>
      <c r="CI373">
        <v>2.73</v>
      </c>
      <c r="CJ373">
        <v>1.6</v>
      </c>
      <c r="CK373">
        <v>1</v>
      </c>
      <c r="CL373" s="42" t="str">
        <f t="shared" si="61"/>
        <v>1</v>
      </c>
      <c r="CM373" s="4">
        <v>25.333333333333332</v>
      </c>
      <c r="CN373" s="4">
        <f t="shared" si="60"/>
        <v>1.6066666666666665</v>
      </c>
      <c r="CO373">
        <v>9</v>
      </c>
      <c r="CP373" s="42" t="str">
        <f t="shared" si="62"/>
        <v>1</v>
      </c>
      <c r="CQ373" s="4">
        <v>80.333333333333329</v>
      </c>
      <c r="CR373" s="4">
        <v>1.3580246913580245</v>
      </c>
      <c r="CS373" s="43" t="str">
        <f t="shared" si="63"/>
        <v>1</v>
      </c>
      <c r="CT373" s="4">
        <f t="shared" si="64"/>
        <v>105.66666666666666</v>
      </c>
      <c r="CU373" s="4">
        <f t="shared" si="65"/>
        <v>2.964691358024691</v>
      </c>
      <c r="CV373" s="4">
        <v>3</v>
      </c>
    </row>
    <row r="374" spans="1:100" x14ac:dyDescent="0.3">
      <c r="A374" s="8" t="s">
        <v>197</v>
      </c>
      <c r="B374" s="18">
        <v>1</v>
      </c>
      <c r="C374">
        <v>43</v>
      </c>
      <c r="D374">
        <v>3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74</v>
      </c>
      <c r="K374">
        <v>1.59</v>
      </c>
      <c r="L374">
        <f t="shared" si="58"/>
        <v>159</v>
      </c>
      <c r="M374" s="82">
        <v>30.635999999999999</v>
      </c>
      <c r="N374" s="4">
        <v>40.9</v>
      </c>
      <c r="O374" s="4">
        <v>41.4</v>
      </c>
      <c r="P374" s="39">
        <v>1</v>
      </c>
      <c r="Q374">
        <v>96</v>
      </c>
      <c r="R374" s="40">
        <v>1</v>
      </c>
      <c r="S374">
        <v>107</v>
      </c>
      <c r="T374" s="5">
        <v>0.89719626168224298</v>
      </c>
      <c r="U374" s="39">
        <v>1</v>
      </c>
      <c r="V374" s="4">
        <v>29.270994027135</v>
      </c>
      <c r="W374" s="37">
        <v>1</v>
      </c>
      <c r="X374">
        <v>9</v>
      </c>
      <c r="Y374" s="40">
        <v>0</v>
      </c>
      <c r="Z374" s="5">
        <v>12.185</v>
      </c>
      <c r="AA374" s="5">
        <v>2.9081533333333338</v>
      </c>
      <c r="AB374" s="85">
        <v>1</v>
      </c>
      <c r="AC374" s="5">
        <v>5.37</v>
      </c>
      <c r="AD374" s="37">
        <v>0</v>
      </c>
      <c r="AE374" s="21">
        <v>3</v>
      </c>
      <c r="AF374" s="5">
        <v>6.89</v>
      </c>
      <c r="AG374" s="37">
        <v>1</v>
      </c>
      <c r="AH374" s="5">
        <v>1.63</v>
      </c>
      <c r="AI374" s="1">
        <v>1</v>
      </c>
      <c r="AJ374" s="13">
        <v>5.08</v>
      </c>
      <c r="AK374" s="1">
        <v>1</v>
      </c>
      <c r="AL374" s="13">
        <v>1.07</v>
      </c>
      <c r="AM374" s="1">
        <v>1</v>
      </c>
      <c r="AN374" s="82">
        <f t="shared" si="59"/>
        <v>6.4392523364485976</v>
      </c>
      <c r="AO374" s="1">
        <v>1</v>
      </c>
      <c r="AP374">
        <v>112</v>
      </c>
      <c r="AQ374" s="37">
        <v>0</v>
      </c>
      <c r="AR374">
        <v>69</v>
      </c>
      <c r="AS374" s="37">
        <v>0</v>
      </c>
      <c r="AT374">
        <v>74</v>
      </c>
      <c r="AU374">
        <v>43</v>
      </c>
      <c r="AV374">
        <v>6.1</v>
      </c>
      <c r="AW374">
        <v>1</v>
      </c>
      <c r="AX374">
        <v>2141</v>
      </c>
      <c r="AY374">
        <v>65.099999999999994</v>
      </c>
      <c r="AZ374">
        <v>72.2</v>
      </c>
      <c r="BA374">
        <v>327.39999999999998</v>
      </c>
      <c r="BB374">
        <v>8.4</v>
      </c>
      <c r="BC374">
        <v>239.4</v>
      </c>
      <c r="BD374">
        <v>63.6</v>
      </c>
      <c r="BE374">
        <v>40.799999999999997</v>
      </c>
      <c r="BF374">
        <v>169.3</v>
      </c>
      <c r="BG374">
        <v>30.3</v>
      </c>
      <c r="BH374">
        <v>12.2</v>
      </c>
      <c r="BI374">
        <v>57.3</v>
      </c>
      <c r="BJ374">
        <v>22.8</v>
      </c>
      <c r="BK374">
        <v>7.2</v>
      </c>
      <c r="BL374">
        <v>54.3</v>
      </c>
      <c r="BM374">
        <v>6.3</v>
      </c>
      <c r="BN374">
        <v>2.6</v>
      </c>
      <c r="BO374">
        <v>1.55</v>
      </c>
      <c r="BP374">
        <v>0.45</v>
      </c>
      <c r="BQ374">
        <v>0.15</v>
      </c>
      <c r="BR374">
        <v>479</v>
      </c>
      <c r="BS374">
        <v>266.60000000000002</v>
      </c>
      <c r="BT374">
        <v>5354</v>
      </c>
      <c r="BU374">
        <v>2557</v>
      </c>
      <c r="BV374">
        <v>14.56</v>
      </c>
      <c r="BW374">
        <v>7.85</v>
      </c>
      <c r="BX374">
        <v>1.76</v>
      </c>
      <c r="BY374">
        <v>54.5</v>
      </c>
      <c r="BZ374">
        <v>58</v>
      </c>
      <c r="CA374">
        <v>25.16</v>
      </c>
      <c r="CB374">
        <v>23.4</v>
      </c>
      <c r="CC374">
        <v>17.7</v>
      </c>
      <c r="CD374">
        <v>0.9</v>
      </c>
      <c r="CE374">
        <v>3.8</v>
      </c>
      <c r="CF374">
        <v>250.2</v>
      </c>
      <c r="CG374">
        <v>40.9</v>
      </c>
      <c r="CH374">
        <v>459</v>
      </c>
      <c r="CI374">
        <v>6.92</v>
      </c>
      <c r="CJ374">
        <v>109.4</v>
      </c>
      <c r="CK374">
        <v>1</v>
      </c>
      <c r="CL374" s="42" t="str">
        <f t="shared" si="61"/>
        <v>1</v>
      </c>
      <c r="CM374" s="4">
        <v>66.666666666666671</v>
      </c>
      <c r="CN374" s="4">
        <f t="shared" si="60"/>
        <v>3.5466666666666669</v>
      </c>
      <c r="CO374">
        <v>5</v>
      </c>
      <c r="CP374" s="42" t="str">
        <f t="shared" si="62"/>
        <v>2</v>
      </c>
      <c r="CQ374" s="4">
        <v>177.33333333333334</v>
      </c>
      <c r="CR374" s="4">
        <v>6.1407407407407408</v>
      </c>
      <c r="CS374" s="43" t="str">
        <f t="shared" si="63"/>
        <v>2</v>
      </c>
      <c r="CT374" s="4">
        <f t="shared" si="64"/>
        <v>244</v>
      </c>
      <c r="CU374" s="4">
        <f t="shared" si="65"/>
        <v>9.6874074074074077</v>
      </c>
      <c r="CV374" s="4">
        <v>4</v>
      </c>
    </row>
    <row r="375" spans="1:100" x14ac:dyDescent="0.3">
      <c r="A375" s="8" t="s">
        <v>196</v>
      </c>
      <c r="B375" s="18">
        <v>1</v>
      </c>
      <c r="C375">
        <v>40</v>
      </c>
      <c r="D375">
        <v>3</v>
      </c>
      <c r="E375">
        <v>1</v>
      </c>
      <c r="F375">
        <v>1</v>
      </c>
      <c r="G375">
        <v>0</v>
      </c>
      <c r="H375">
        <v>0</v>
      </c>
      <c r="I375">
        <v>1</v>
      </c>
      <c r="J375">
        <v>103</v>
      </c>
      <c r="K375">
        <v>1.57</v>
      </c>
      <c r="L375">
        <f t="shared" si="58"/>
        <v>157</v>
      </c>
      <c r="M375" s="82">
        <v>57.68</v>
      </c>
      <c r="N375" s="4">
        <v>42.7</v>
      </c>
      <c r="O375" s="4">
        <v>56</v>
      </c>
      <c r="P375" s="39">
        <v>1</v>
      </c>
      <c r="Q375">
        <v>112</v>
      </c>
      <c r="R375" s="40">
        <v>1</v>
      </c>
      <c r="S375">
        <v>127</v>
      </c>
      <c r="T375" s="5">
        <v>0.88188976377952755</v>
      </c>
      <c r="U375" s="39">
        <v>1</v>
      </c>
      <c r="V375" s="4">
        <v>41.786685058217373</v>
      </c>
      <c r="W375" s="37">
        <v>1</v>
      </c>
      <c r="X375">
        <v>15</v>
      </c>
      <c r="Y375" s="40">
        <v>1</v>
      </c>
      <c r="Z375" s="5">
        <v>13.792999999999999</v>
      </c>
      <c r="AA375" s="5">
        <v>3.1080226666666664</v>
      </c>
      <c r="AB375" s="85">
        <v>1</v>
      </c>
      <c r="AC375" s="5">
        <v>5.07</v>
      </c>
      <c r="AD375" s="37">
        <v>0</v>
      </c>
      <c r="AE375">
        <v>14.32</v>
      </c>
      <c r="AF375" s="5">
        <v>4.5199999999999996</v>
      </c>
      <c r="AG375" s="37">
        <v>0</v>
      </c>
      <c r="AH375" s="5">
        <v>1.27</v>
      </c>
      <c r="AI375" s="1">
        <v>0</v>
      </c>
      <c r="AJ375" s="13">
        <v>3.14</v>
      </c>
      <c r="AK375" s="1">
        <v>1</v>
      </c>
      <c r="AL375" s="13">
        <v>0.8</v>
      </c>
      <c r="AM375" s="1">
        <v>1</v>
      </c>
      <c r="AN375" s="82">
        <f t="shared" si="59"/>
        <v>5.6499999999999995</v>
      </c>
      <c r="AO375" s="1">
        <v>1</v>
      </c>
      <c r="AP375">
        <v>128</v>
      </c>
      <c r="AQ375" s="37">
        <v>0</v>
      </c>
      <c r="AR375">
        <v>84</v>
      </c>
      <c r="AS375" s="37">
        <v>0</v>
      </c>
      <c r="AT375">
        <v>98</v>
      </c>
      <c r="AU375">
        <v>44</v>
      </c>
      <c r="AV375">
        <v>6.4</v>
      </c>
      <c r="AW375">
        <v>1</v>
      </c>
      <c r="AX375">
        <v>1266</v>
      </c>
      <c r="AY375">
        <v>32</v>
      </c>
      <c r="AZ375">
        <v>36.5</v>
      </c>
      <c r="BA375">
        <v>215.1</v>
      </c>
      <c r="BB375">
        <v>5.2</v>
      </c>
      <c r="BC375">
        <v>165.9</v>
      </c>
      <c r="BD375">
        <v>37.700000000000003</v>
      </c>
      <c r="BE375">
        <v>32.5</v>
      </c>
      <c r="BF375">
        <v>108.5</v>
      </c>
      <c r="BG375">
        <v>26</v>
      </c>
      <c r="BH375">
        <v>10.1</v>
      </c>
      <c r="BI375">
        <v>63.7</v>
      </c>
      <c r="BJ375">
        <v>18.399999999999999</v>
      </c>
      <c r="BK375">
        <v>9.6</v>
      </c>
      <c r="BL375">
        <v>25.9</v>
      </c>
      <c r="BM375">
        <v>4.2</v>
      </c>
      <c r="BN375">
        <v>2.2000000000000002</v>
      </c>
      <c r="BO375">
        <v>1.36</v>
      </c>
      <c r="BP375">
        <v>0.46</v>
      </c>
      <c r="BQ375">
        <v>0</v>
      </c>
      <c r="BR375">
        <v>188</v>
      </c>
      <c r="BS375">
        <v>131.4</v>
      </c>
      <c r="BT375">
        <v>2554</v>
      </c>
      <c r="BU375">
        <v>1258</v>
      </c>
      <c r="BV375">
        <v>7.9</v>
      </c>
      <c r="BW375">
        <v>5.07</v>
      </c>
      <c r="BX375">
        <v>0.99</v>
      </c>
      <c r="BY375">
        <v>49.2</v>
      </c>
      <c r="BZ375">
        <v>45.8</v>
      </c>
      <c r="CA375">
        <v>14.05</v>
      </c>
      <c r="CB375">
        <v>12.77</v>
      </c>
      <c r="CC375">
        <v>9</v>
      </c>
      <c r="CD375">
        <v>0.64</v>
      </c>
      <c r="CE375">
        <v>3.6</v>
      </c>
      <c r="CF375">
        <v>113.5</v>
      </c>
      <c r="CG375">
        <v>15.4</v>
      </c>
      <c r="CH375">
        <v>352</v>
      </c>
      <c r="CI375">
        <v>6.74</v>
      </c>
      <c r="CJ375">
        <v>62.5</v>
      </c>
      <c r="CK375">
        <v>1</v>
      </c>
      <c r="CL375" s="42" t="str">
        <f t="shared" si="61"/>
        <v>1</v>
      </c>
      <c r="CM375" s="4">
        <v>13.333333333333334</v>
      </c>
      <c r="CN375" s="4">
        <f t="shared" si="60"/>
        <v>1.58</v>
      </c>
      <c r="CO375">
        <v>5</v>
      </c>
      <c r="CP375" s="42" t="str">
        <f t="shared" si="62"/>
        <v>1</v>
      </c>
      <c r="CQ375" s="4">
        <v>79</v>
      </c>
      <c r="CR375" s="4">
        <v>3.0160493827160493</v>
      </c>
      <c r="CS375" s="43" t="str">
        <f t="shared" si="63"/>
        <v>1</v>
      </c>
      <c r="CT375" s="4">
        <f t="shared" si="64"/>
        <v>92.333333333333329</v>
      </c>
      <c r="CU375" s="4">
        <f t="shared" si="65"/>
        <v>4.5960493827160498</v>
      </c>
      <c r="CV375" s="4">
        <v>4</v>
      </c>
    </row>
    <row r="376" spans="1:100" x14ac:dyDescent="0.3">
      <c r="A376" s="8" t="s">
        <v>195</v>
      </c>
      <c r="B376" s="18">
        <v>1</v>
      </c>
      <c r="C376">
        <v>58</v>
      </c>
      <c r="D376">
        <v>3</v>
      </c>
      <c r="E376">
        <v>0</v>
      </c>
      <c r="F376">
        <v>1</v>
      </c>
      <c r="G376">
        <v>0</v>
      </c>
      <c r="H376">
        <v>0</v>
      </c>
      <c r="I376">
        <v>1</v>
      </c>
      <c r="J376">
        <v>57.2</v>
      </c>
      <c r="K376">
        <v>1.486</v>
      </c>
      <c r="L376">
        <f t="shared" ref="L376:L404" si="66">K376*100</f>
        <v>148.6</v>
      </c>
      <c r="M376" s="82">
        <v>21.221200000000003</v>
      </c>
      <c r="N376" s="4">
        <v>34</v>
      </c>
      <c r="O376" s="4">
        <v>37.1</v>
      </c>
      <c r="P376" s="39">
        <v>1</v>
      </c>
      <c r="Q376">
        <v>83</v>
      </c>
      <c r="R376" s="40">
        <v>1</v>
      </c>
      <c r="S376">
        <v>97</v>
      </c>
      <c r="T376" s="5">
        <v>0.85567010309278346</v>
      </c>
      <c r="U376" s="39">
        <v>0</v>
      </c>
      <c r="V376" s="4">
        <v>25.903497696762425</v>
      </c>
      <c r="W376" s="37">
        <v>1</v>
      </c>
      <c r="X376">
        <v>8</v>
      </c>
      <c r="Y376" s="40">
        <v>0</v>
      </c>
      <c r="Z376" s="5">
        <v>6.34</v>
      </c>
      <c r="AA376" s="5">
        <v>1.1355644444444444</v>
      </c>
      <c r="AB376" s="85">
        <v>0</v>
      </c>
      <c r="AC376" s="5">
        <v>4.03</v>
      </c>
      <c r="AD376" s="37">
        <v>0</v>
      </c>
      <c r="AE376">
        <v>3</v>
      </c>
      <c r="AF376" s="5">
        <v>5.23</v>
      </c>
      <c r="AG376" s="37">
        <v>1</v>
      </c>
      <c r="AH376" s="5">
        <v>1.1000000000000001</v>
      </c>
      <c r="AI376" s="1">
        <v>0</v>
      </c>
      <c r="AJ376" s="13">
        <v>3.27</v>
      </c>
      <c r="AK376" s="1">
        <v>0</v>
      </c>
      <c r="AL376" s="13">
        <v>1.45</v>
      </c>
      <c r="AM376" s="1">
        <v>0</v>
      </c>
      <c r="AN376" s="82">
        <f t="shared" ref="AN376:AN404" si="67">AF376/AL376</f>
        <v>3.6068965517241383</v>
      </c>
      <c r="AO376" s="1">
        <v>0</v>
      </c>
      <c r="AP376">
        <v>145</v>
      </c>
      <c r="AQ376" s="37">
        <v>1</v>
      </c>
      <c r="AR376">
        <v>72</v>
      </c>
      <c r="AS376" s="37">
        <v>0</v>
      </c>
      <c r="AT376">
        <v>73</v>
      </c>
      <c r="AU376">
        <v>72</v>
      </c>
      <c r="AV376">
        <v>9</v>
      </c>
      <c r="AW376">
        <v>1</v>
      </c>
      <c r="AX376">
        <v>2056</v>
      </c>
      <c r="AY376">
        <v>59.3</v>
      </c>
      <c r="AZ376">
        <v>41.8</v>
      </c>
      <c r="BA376">
        <v>383.9</v>
      </c>
      <c r="BB376">
        <v>14.9</v>
      </c>
      <c r="BC376">
        <v>276</v>
      </c>
      <c r="BD376">
        <v>87.2</v>
      </c>
      <c r="BE376">
        <v>67.5</v>
      </c>
      <c r="BF376">
        <v>145.4</v>
      </c>
      <c r="BG376">
        <v>18.3</v>
      </c>
      <c r="BH376">
        <v>11.5</v>
      </c>
      <c r="BI376">
        <v>70</v>
      </c>
      <c r="BJ376">
        <v>10.3</v>
      </c>
      <c r="BK376">
        <v>12.3</v>
      </c>
      <c r="BL376">
        <v>23.6</v>
      </c>
      <c r="BM376">
        <v>5</v>
      </c>
      <c r="BN376">
        <v>3.1</v>
      </c>
      <c r="BO376">
        <v>2.52</v>
      </c>
      <c r="BP376">
        <v>0.19</v>
      </c>
      <c r="BQ376">
        <v>0.04</v>
      </c>
      <c r="BR376">
        <v>401</v>
      </c>
      <c r="BS376">
        <v>210.6</v>
      </c>
      <c r="BT376">
        <v>3305</v>
      </c>
      <c r="BU376">
        <v>1959</v>
      </c>
      <c r="BV376">
        <v>12.12</v>
      </c>
      <c r="BW376">
        <v>6.61</v>
      </c>
      <c r="BX376">
        <v>1.24</v>
      </c>
      <c r="BY376">
        <v>43.8</v>
      </c>
      <c r="BZ376">
        <v>38.799999999999997</v>
      </c>
      <c r="CA376">
        <v>7.86</v>
      </c>
      <c r="CB376">
        <v>7.75</v>
      </c>
      <c r="CC376">
        <v>17.399999999999999</v>
      </c>
      <c r="CD376">
        <v>0.86</v>
      </c>
      <c r="CE376">
        <v>1.42</v>
      </c>
      <c r="CF376">
        <v>164.9</v>
      </c>
      <c r="CG376">
        <v>21.5</v>
      </c>
      <c r="CH376">
        <v>264</v>
      </c>
      <c r="CI376">
        <v>3.26</v>
      </c>
      <c r="CJ376">
        <v>32.4</v>
      </c>
      <c r="CK376">
        <v>1</v>
      </c>
      <c r="CL376" s="42" t="str">
        <f t="shared" si="61"/>
        <v>1</v>
      </c>
      <c r="CM376" s="4">
        <v>80.333333333333329</v>
      </c>
      <c r="CN376" s="4">
        <f t="shared" ref="CN376:CN404" si="68">CQ376/50</f>
        <v>1.6333333333333335</v>
      </c>
      <c r="CO376">
        <v>6</v>
      </c>
      <c r="CP376" s="42" t="str">
        <f t="shared" si="62"/>
        <v>1</v>
      </c>
      <c r="CQ376" s="4">
        <v>81.666666666666671</v>
      </c>
      <c r="CR376" s="4">
        <v>3.2209876543209877</v>
      </c>
      <c r="CS376" s="43" t="str">
        <f t="shared" si="63"/>
        <v>2</v>
      </c>
      <c r="CT376" s="4">
        <f t="shared" si="64"/>
        <v>162</v>
      </c>
      <c r="CU376" s="4">
        <f t="shared" si="65"/>
        <v>4.8543209876543214</v>
      </c>
      <c r="CV376" s="4">
        <v>4</v>
      </c>
    </row>
    <row r="377" spans="1:100" x14ac:dyDescent="0.3">
      <c r="A377" s="8" t="s">
        <v>194</v>
      </c>
      <c r="B377" s="18">
        <v>1</v>
      </c>
      <c r="C377">
        <v>42</v>
      </c>
      <c r="D377">
        <v>2</v>
      </c>
      <c r="E377">
        <v>3</v>
      </c>
      <c r="F377">
        <v>1</v>
      </c>
      <c r="G377">
        <v>0</v>
      </c>
      <c r="H377">
        <v>0</v>
      </c>
      <c r="I377">
        <v>1</v>
      </c>
      <c r="J377">
        <v>68.900000000000006</v>
      </c>
      <c r="K377">
        <v>1.58</v>
      </c>
      <c r="L377">
        <f t="shared" si="66"/>
        <v>158</v>
      </c>
      <c r="M377" s="82">
        <v>26.802099999999999</v>
      </c>
      <c r="N377" s="4">
        <v>39.700000000000003</v>
      </c>
      <c r="O377" s="4">
        <v>38.9</v>
      </c>
      <c r="P377" s="39">
        <v>1</v>
      </c>
      <c r="Q377">
        <v>87</v>
      </c>
      <c r="R377" s="40">
        <v>1</v>
      </c>
      <c r="S377">
        <v>100</v>
      </c>
      <c r="T377" s="5">
        <v>0.87</v>
      </c>
      <c r="U377" s="39">
        <v>0</v>
      </c>
      <c r="V377" s="4">
        <v>27.599743630828392</v>
      </c>
      <c r="W377" s="37">
        <v>1</v>
      </c>
      <c r="X377">
        <v>8</v>
      </c>
      <c r="Y377" s="40">
        <v>0</v>
      </c>
      <c r="Z377" s="5">
        <v>7.2530000000000001</v>
      </c>
      <c r="AA377" s="5">
        <v>1.3829053333333334</v>
      </c>
      <c r="AB377" s="85">
        <v>0</v>
      </c>
      <c r="AC377" s="5">
        <v>4.29</v>
      </c>
      <c r="AD377" s="37">
        <v>0</v>
      </c>
      <c r="AE377">
        <v>19.03</v>
      </c>
      <c r="AF377" s="5">
        <v>5.68</v>
      </c>
      <c r="AG377" s="37">
        <v>1</v>
      </c>
      <c r="AH377" s="5">
        <v>1.71</v>
      </c>
      <c r="AI377" s="1">
        <v>1</v>
      </c>
      <c r="AJ377" s="13">
        <v>3.77</v>
      </c>
      <c r="AK377" s="1">
        <v>1</v>
      </c>
      <c r="AL377" s="13">
        <v>1.1399999999999999</v>
      </c>
      <c r="AM377" s="1">
        <v>1</v>
      </c>
      <c r="AN377" s="82">
        <f t="shared" si="67"/>
        <v>4.9824561403508776</v>
      </c>
      <c r="AO377" s="1">
        <v>1</v>
      </c>
      <c r="AP377">
        <v>132</v>
      </c>
      <c r="AQ377" s="37">
        <v>1</v>
      </c>
      <c r="AR377">
        <v>81</v>
      </c>
      <c r="AS377" s="37">
        <v>0</v>
      </c>
      <c r="AT377">
        <v>83</v>
      </c>
      <c r="AU377">
        <v>51</v>
      </c>
      <c r="AV377">
        <v>6.7</v>
      </c>
      <c r="AW377">
        <v>0</v>
      </c>
      <c r="AX377">
        <v>2771</v>
      </c>
      <c r="AY377">
        <v>77.599999999999994</v>
      </c>
      <c r="AZ377">
        <v>89.4</v>
      </c>
      <c r="BA377">
        <v>440.8</v>
      </c>
      <c r="BB377">
        <v>23.5</v>
      </c>
      <c r="BC377">
        <v>286.3</v>
      </c>
      <c r="BD377">
        <v>75.599999999999994</v>
      </c>
      <c r="BE377">
        <v>48</v>
      </c>
      <c r="BF377">
        <v>18.600000000000001</v>
      </c>
      <c r="BG377">
        <v>29</v>
      </c>
      <c r="BH377">
        <v>11.2</v>
      </c>
      <c r="BI377">
        <v>59.6</v>
      </c>
      <c r="BJ377">
        <v>14.4</v>
      </c>
      <c r="BK377">
        <v>6.5</v>
      </c>
      <c r="BL377">
        <v>44.3</v>
      </c>
      <c r="BM377">
        <v>6.9</v>
      </c>
      <c r="BN377">
        <v>5.2</v>
      </c>
      <c r="BO377">
        <v>4.7699999999999996</v>
      </c>
      <c r="BP377">
        <v>0.28000000000000003</v>
      </c>
      <c r="BQ377">
        <v>0.08</v>
      </c>
      <c r="BR377">
        <v>1133</v>
      </c>
      <c r="BS377">
        <v>583.29999999999995</v>
      </c>
      <c r="BT377">
        <v>47914</v>
      </c>
      <c r="BU377">
        <v>4620</v>
      </c>
      <c r="BV377">
        <v>29.45</v>
      </c>
      <c r="BW377">
        <v>16.899999999999999</v>
      </c>
      <c r="BX377">
        <v>3.24</v>
      </c>
      <c r="BY377">
        <v>62.2</v>
      </c>
      <c r="BZ377">
        <v>99.1</v>
      </c>
      <c r="CA377">
        <v>28.16</v>
      </c>
      <c r="CB377">
        <v>30.74</v>
      </c>
      <c r="CC377">
        <v>24.2</v>
      </c>
      <c r="CD377">
        <v>1.56</v>
      </c>
      <c r="CE377">
        <v>1.26</v>
      </c>
      <c r="CF377">
        <v>454.6</v>
      </c>
      <c r="CG377">
        <v>174.9</v>
      </c>
      <c r="CH377">
        <v>76332</v>
      </c>
      <c r="CI377">
        <v>11.73</v>
      </c>
      <c r="CJ377">
        <v>186.8</v>
      </c>
      <c r="CK377">
        <v>3</v>
      </c>
      <c r="CL377" s="42" t="str">
        <f t="shared" si="61"/>
        <v>4</v>
      </c>
      <c r="CM377" s="4">
        <v>308</v>
      </c>
      <c r="CN377" s="4">
        <f t="shared" si="68"/>
        <v>5.0333333333333332</v>
      </c>
      <c r="CO377">
        <v>6</v>
      </c>
      <c r="CP377" s="42" t="str">
        <f t="shared" si="62"/>
        <v>2</v>
      </c>
      <c r="CQ377" s="4">
        <v>251.66666666666666</v>
      </c>
      <c r="CR377" s="4">
        <v>8.7728395061728399</v>
      </c>
      <c r="CS377" s="43" t="str">
        <f t="shared" si="63"/>
        <v>4</v>
      </c>
      <c r="CT377" s="4">
        <f t="shared" si="64"/>
        <v>559.66666666666663</v>
      </c>
      <c r="CU377" s="4">
        <f t="shared" si="65"/>
        <v>13.806172839506173</v>
      </c>
      <c r="CV377" s="4">
        <v>4</v>
      </c>
    </row>
    <row r="378" spans="1:100" x14ac:dyDescent="0.3">
      <c r="A378" s="8" t="s">
        <v>193</v>
      </c>
      <c r="B378" s="18">
        <v>1</v>
      </c>
      <c r="C378">
        <v>35</v>
      </c>
      <c r="D378">
        <v>3</v>
      </c>
      <c r="E378">
        <v>1</v>
      </c>
      <c r="F378">
        <v>1</v>
      </c>
      <c r="G378">
        <v>0</v>
      </c>
      <c r="H378">
        <v>0</v>
      </c>
      <c r="I378">
        <v>1</v>
      </c>
      <c r="J378">
        <v>65.209999999999994</v>
      </c>
      <c r="K378">
        <v>1.619</v>
      </c>
      <c r="L378">
        <f t="shared" si="66"/>
        <v>161.9</v>
      </c>
      <c r="M378" s="82">
        <v>24.127700000000001</v>
      </c>
      <c r="N378" s="4">
        <v>38.700000000000003</v>
      </c>
      <c r="O378" s="4">
        <v>37</v>
      </c>
      <c r="P378" s="39">
        <v>1</v>
      </c>
      <c r="Q378">
        <v>90</v>
      </c>
      <c r="R378" s="40">
        <v>1</v>
      </c>
      <c r="S378">
        <v>99</v>
      </c>
      <c r="T378" s="5">
        <v>0.90909090909090906</v>
      </c>
      <c r="U378" s="39">
        <v>1</v>
      </c>
      <c r="V378" s="4">
        <v>24.87828866673966</v>
      </c>
      <c r="W378" s="37">
        <v>1</v>
      </c>
      <c r="X378">
        <v>6</v>
      </c>
      <c r="Y378" s="40">
        <v>0</v>
      </c>
      <c r="Z378" s="5">
        <v>7.149</v>
      </c>
      <c r="AA378" s="5">
        <v>1.4139133333333334</v>
      </c>
      <c r="AB378" s="85">
        <v>0</v>
      </c>
      <c r="AC378" s="5">
        <v>4.45</v>
      </c>
      <c r="AD378" s="37">
        <v>0</v>
      </c>
      <c r="AE378" s="21">
        <v>3</v>
      </c>
      <c r="AF378" s="5">
        <v>7.1</v>
      </c>
      <c r="AG378" s="37">
        <v>1</v>
      </c>
      <c r="AH378" s="5">
        <v>0.5</v>
      </c>
      <c r="AI378" s="1">
        <v>1</v>
      </c>
      <c r="AJ378" s="13">
        <v>4.37</v>
      </c>
      <c r="AK378" s="1">
        <v>0</v>
      </c>
      <c r="AL378" s="13">
        <v>2.5</v>
      </c>
      <c r="AM378" s="1">
        <v>0</v>
      </c>
      <c r="AN378" s="82">
        <f t="shared" si="67"/>
        <v>2.84</v>
      </c>
      <c r="AO378" s="1">
        <v>0</v>
      </c>
      <c r="AP378">
        <v>128</v>
      </c>
      <c r="AQ378" s="37">
        <v>0</v>
      </c>
      <c r="AR378">
        <v>75</v>
      </c>
      <c r="AS378" s="37">
        <v>0</v>
      </c>
      <c r="AT378">
        <v>81</v>
      </c>
      <c r="AU378">
        <v>52</v>
      </c>
      <c r="AV378">
        <v>6</v>
      </c>
      <c r="AW378">
        <v>1</v>
      </c>
      <c r="AX378">
        <v>1701</v>
      </c>
      <c r="AY378">
        <v>52.4</v>
      </c>
      <c r="AZ378">
        <v>50</v>
      </c>
      <c r="BA378">
        <v>277.2</v>
      </c>
      <c r="BB378">
        <v>10.199999999999999</v>
      </c>
      <c r="BC378">
        <v>207.3</v>
      </c>
      <c r="BD378">
        <v>55.9</v>
      </c>
      <c r="BE378">
        <v>41.9</v>
      </c>
      <c r="BF378">
        <v>98.3</v>
      </c>
      <c r="BG378">
        <v>26.5</v>
      </c>
      <c r="BH378">
        <v>12.3</v>
      </c>
      <c r="BI378">
        <v>61.1</v>
      </c>
      <c r="BJ378">
        <v>18.100000000000001</v>
      </c>
      <c r="BK378">
        <v>9.1999999999999993</v>
      </c>
      <c r="BL378">
        <v>34.200000000000003</v>
      </c>
      <c r="BM378">
        <v>5.5</v>
      </c>
      <c r="BN378">
        <v>2.7</v>
      </c>
      <c r="BO378">
        <v>2.15</v>
      </c>
      <c r="BP378">
        <v>0.25</v>
      </c>
      <c r="BQ378">
        <v>0.11</v>
      </c>
      <c r="BR378">
        <v>308</v>
      </c>
      <c r="BS378">
        <v>201.9</v>
      </c>
      <c r="BT378">
        <v>3473</v>
      </c>
      <c r="BU378">
        <v>1692</v>
      </c>
      <c r="BV378">
        <v>10.66</v>
      </c>
      <c r="BW378">
        <v>5.2</v>
      </c>
      <c r="BX378">
        <v>1.45</v>
      </c>
      <c r="BY378">
        <v>40.200000000000003</v>
      </c>
      <c r="BZ378">
        <v>25.4</v>
      </c>
      <c r="CA378">
        <v>0.86</v>
      </c>
      <c r="CB378">
        <v>1.0900000000000001</v>
      </c>
      <c r="CC378">
        <v>12.2</v>
      </c>
      <c r="CD378">
        <v>0.61</v>
      </c>
      <c r="CE378">
        <v>1.35</v>
      </c>
      <c r="CF378">
        <v>194</v>
      </c>
      <c r="CG378">
        <v>58.3</v>
      </c>
      <c r="CH378">
        <v>302</v>
      </c>
      <c r="CI378">
        <v>1.56</v>
      </c>
      <c r="CJ378">
        <v>1.6</v>
      </c>
      <c r="CK378">
        <v>1</v>
      </c>
      <c r="CL378" s="42" t="str">
        <f t="shared" si="61"/>
        <v>1</v>
      </c>
      <c r="CM378" s="4">
        <v>16.666666666666668</v>
      </c>
      <c r="CN378" s="4">
        <f t="shared" si="68"/>
        <v>1.8</v>
      </c>
      <c r="CO378">
        <v>5</v>
      </c>
      <c r="CP378" s="42" t="str">
        <f t="shared" si="62"/>
        <v>1</v>
      </c>
      <c r="CQ378" s="4">
        <v>90</v>
      </c>
      <c r="CR378" s="4">
        <v>1.1111111111111112</v>
      </c>
      <c r="CS378" s="43" t="str">
        <f t="shared" si="63"/>
        <v>1</v>
      </c>
      <c r="CT378" s="4">
        <f t="shared" si="64"/>
        <v>106.66666666666667</v>
      </c>
      <c r="CU378" s="4">
        <f t="shared" si="65"/>
        <v>2.9111111111111114</v>
      </c>
      <c r="CV378" s="4">
        <v>2</v>
      </c>
    </row>
    <row r="379" spans="1:100" x14ac:dyDescent="0.3">
      <c r="A379" s="8" t="s">
        <v>182</v>
      </c>
      <c r="B379" s="18">
        <v>1</v>
      </c>
      <c r="C379">
        <v>33</v>
      </c>
      <c r="D379">
        <v>3</v>
      </c>
      <c r="E379">
        <v>1</v>
      </c>
      <c r="F379">
        <v>1</v>
      </c>
      <c r="G379">
        <v>0</v>
      </c>
      <c r="H379">
        <v>0</v>
      </c>
      <c r="I379">
        <v>1</v>
      </c>
      <c r="J379">
        <v>60.5</v>
      </c>
      <c r="K379">
        <v>1.6259999999999999</v>
      </c>
      <c r="L379">
        <f t="shared" si="66"/>
        <v>162.6</v>
      </c>
      <c r="M379" s="82">
        <v>18.875999999999998</v>
      </c>
      <c r="N379" s="4">
        <v>39.1</v>
      </c>
      <c r="O379" s="4">
        <v>31.2</v>
      </c>
      <c r="P379" s="39">
        <v>0</v>
      </c>
      <c r="Q379">
        <v>79</v>
      </c>
      <c r="R379" s="40">
        <v>0</v>
      </c>
      <c r="S379">
        <v>94</v>
      </c>
      <c r="T379" s="5">
        <v>0.84042553191489366</v>
      </c>
      <c r="U379" s="39">
        <v>0</v>
      </c>
      <c r="V379" s="4">
        <v>22.88307015911488</v>
      </c>
      <c r="W379" s="37">
        <v>0</v>
      </c>
      <c r="X379">
        <v>5</v>
      </c>
      <c r="Y379" s="40">
        <v>0</v>
      </c>
      <c r="Z379" s="5">
        <v>11.645</v>
      </c>
      <c r="AA379" s="5">
        <v>1.8580244444444443</v>
      </c>
      <c r="AB379" s="85">
        <v>0</v>
      </c>
      <c r="AC379" s="5">
        <v>3.59</v>
      </c>
      <c r="AD379" s="37">
        <v>0</v>
      </c>
      <c r="AE379" s="21">
        <v>3</v>
      </c>
      <c r="AF379" s="5">
        <v>5.05</v>
      </c>
      <c r="AG379" s="37">
        <v>1</v>
      </c>
      <c r="AH379" s="5">
        <v>1.01</v>
      </c>
      <c r="AI379" s="1">
        <v>0</v>
      </c>
      <c r="AJ379" s="13">
        <v>3.16</v>
      </c>
      <c r="AK379" s="1">
        <v>0</v>
      </c>
      <c r="AL379" s="13">
        <v>1.44</v>
      </c>
      <c r="AM379" s="1">
        <v>0</v>
      </c>
      <c r="AN379" s="82">
        <f t="shared" si="67"/>
        <v>3.5069444444444446</v>
      </c>
      <c r="AO379" s="1">
        <v>0</v>
      </c>
      <c r="AP379">
        <v>115</v>
      </c>
      <c r="AQ379" s="37">
        <v>0</v>
      </c>
      <c r="AR379">
        <v>70</v>
      </c>
      <c r="AS379" s="37">
        <v>0</v>
      </c>
      <c r="AT379">
        <v>86</v>
      </c>
      <c r="AU379">
        <v>45</v>
      </c>
      <c r="AV379">
        <v>5.3</v>
      </c>
      <c r="AW379">
        <v>1</v>
      </c>
      <c r="AX379">
        <v>1261</v>
      </c>
      <c r="AY379">
        <v>36.1</v>
      </c>
      <c r="AZ379">
        <v>38.1</v>
      </c>
      <c r="BA379">
        <v>205.7</v>
      </c>
      <c r="BB379">
        <v>7.9</v>
      </c>
      <c r="BC379">
        <v>143.5</v>
      </c>
      <c r="BD379">
        <v>50</v>
      </c>
      <c r="BE379">
        <v>38.200000000000003</v>
      </c>
      <c r="BF379">
        <v>31.1</v>
      </c>
      <c r="BG379">
        <v>27.2</v>
      </c>
      <c r="BH379">
        <v>11.4</v>
      </c>
      <c r="BI379">
        <v>61.2</v>
      </c>
      <c r="BJ379">
        <v>18.5</v>
      </c>
      <c r="BK379">
        <v>11.4</v>
      </c>
      <c r="BL379">
        <v>26</v>
      </c>
      <c r="BM379">
        <v>3.6</v>
      </c>
      <c r="BN379">
        <v>1.5</v>
      </c>
      <c r="BO379">
        <v>1.08</v>
      </c>
      <c r="BP379">
        <v>0.24</v>
      </c>
      <c r="BQ379">
        <v>0.06</v>
      </c>
      <c r="BR379">
        <v>328</v>
      </c>
      <c r="BS379">
        <v>138.4</v>
      </c>
      <c r="BT379">
        <v>3140</v>
      </c>
      <c r="BU379">
        <v>1234</v>
      </c>
      <c r="BV379">
        <v>7.94</v>
      </c>
      <c r="BW379">
        <v>3.38</v>
      </c>
      <c r="BX379">
        <v>0.82</v>
      </c>
      <c r="BY379">
        <v>18.899999999999999</v>
      </c>
      <c r="BZ379">
        <v>16</v>
      </c>
      <c r="CA379">
        <v>24.73</v>
      </c>
      <c r="CB379">
        <v>22.72</v>
      </c>
      <c r="CC379">
        <v>11.2</v>
      </c>
      <c r="CD379">
        <v>0.62</v>
      </c>
      <c r="CE379">
        <v>1.76</v>
      </c>
      <c r="CF379">
        <v>81</v>
      </c>
      <c r="CG379">
        <v>11.8</v>
      </c>
      <c r="CH379">
        <v>427</v>
      </c>
      <c r="CI379">
        <v>4.33</v>
      </c>
      <c r="CJ379">
        <v>108.2</v>
      </c>
      <c r="CK379">
        <v>0</v>
      </c>
      <c r="CL379" s="42" t="str">
        <f t="shared" si="61"/>
        <v>1</v>
      </c>
      <c r="CM379" s="4">
        <v>0</v>
      </c>
      <c r="CN379" s="4">
        <f t="shared" si="68"/>
        <v>1.84</v>
      </c>
      <c r="CO379">
        <v>6</v>
      </c>
      <c r="CP379" s="42" t="str">
        <f t="shared" si="62"/>
        <v>1</v>
      </c>
      <c r="CQ379" s="4">
        <v>92</v>
      </c>
      <c r="CR379" s="4">
        <v>4.276543209876543</v>
      </c>
      <c r="CS379" s="43" t="str">
        <f t="shared" si="63"/>
        <v>1</v>
      </c>
      <c r="CT379" s="4">
        <f t="shared" si="64"/>
        <v>92</v>
      </c>
      <c r="CU379" s="4">
        <f t="shared" si="65"/>
        <v>6.1165432098765429</v>
      </c>
      <c r="CV379" s="4">
        <v>4</v>
      </c>
    </row>
    <row r="380" spans="1:100" x14ac:dyDescent="0.3">
      <c r="A380" s="8" t="s">
        <v>181</v>
      </c>
      <c r="B380" s="18">
        <v>1</v>
      </c>
      <c r="C380">
        <v>46</v>
      </c>
      <c r="D380">
        <v>3</v>
      </c>
      <c r="E380">
        <v>3</v>
      </c>
      <c r="F380">
        <v>1</v>
      </c>
      <c r="G380">
        <v>0</v>
      </c>
      <c r="H380">
        <v>0</v>
      </c>
      <c r="I380">
        <v>1</v>
      </c>
      <c r="J380">
        <v>41.3</v>
      </c>
      <c r="K380">
        <v>1.49</v>
      </c>
      <c r="L380">
        <f t="shared" si="66"/>
        <v>149</v>
      </c>
      <c r="M380" s="82">
        <v>11.192299999999999</v>
      </c>
      <c r="N380" s="4">
        <v>28.6</v>
      </c>
      <c r="O380" s="4">
        <v>27.1</v>
      </c>
      <c r="P380" s="39">
        <v>0</v>
      </c>
      <c r="Q380">
        <v>63</v>
      </c>
      <c r="R380" s="40">
        <v>0</v>
      </c>
      <c r="S380">
        <v>83</v>
      </c>
      <c r="T380" s="5">
        <v>0.75903614457831325</v>
      </c>
      <c r="U380" s="39">
        <v>0</v>
      </c>
      <c r="V380" s="4">
        <v>18.602765641187332</v>
      </c>
      <c r="W380" s="37">
        <v>0</v>
      </c>
      <c r="X380">
        <v>3</v>
      </c>
      <c r="Y380" s="40">
        <v>0</v>
      </c>
      <c r="Z380" s="5">
        <v>5.0350000000000001</v>
      </c>
      <c r="AA380" s="5">
        <v>0.91748888888888891</v>
      </c>
      <c r="AB380" s="85">
        <v>0</v>
      </c>
      <c r="AC380" s="5">
        <v>4.0999999999999996</v>
      </c>
      <c r="AD380" s="37">
        <v>0</v>
      </c>
      <c r="AE380">
        <v>3</v>
      </c>
      <c r="AF380" s="5">
        <v>5.54</v>
      </c>
      <c r="AG380" s="37">
        <v>1</v>
      </c>
      <c r="AH380" s="5">
        <v>1.01</v>
      </c>
      <c r="AI380" s="1">
        <v>1</v>
      </c>
      <c r="AJ380" s="13">
        <v>3.48</v>
      </c>
      <c r="AK380" s="1">
        <v>0</v>
      </c>
      <c r="AL380" s="13">
        <v>1.6</v>
      </c>
      <c r="AM380" s="1">
        <v>0</v>
      </c>
      <c r="AN380" s="82">
        <f t="shared" si="67"/>
        <v>3.4624999999999999</v>
      </c>
      <c r="AO380" s="1">
        <v>0</v>
      </c>
      <c r="AP380">
        <v>114</v>
      </c>
      <c r="AQ380" s="37">
        <v>0</v>
      </c>
      <c r="AR380">
        <v>64</v>
      </c>
      <c r="AS380" s="37">
        <v>0</v>
      </c>
      <c r="AT380">
        <v>78</v>
      </c>
      <c r="AU380">
        <v>49</v>
      </c>
      <c r="AV380">
        <v>6.5</v>
      </c>
      <c r="AW380">
        <v>1</v>
      </c>
      <c r="AX380">
        <v>2041</v>
      </c>
      <c r="AY380">
        <v>55.8</v>
      </c>
      <c r="AZ380">
        <v>60.7</v>
      </c>
      <c r="BA380">
        <v>338.3</v>
      </c>
      <c r="BB380">
        <v>13</v>
      </c>
      <c r="BC380">
        <v>248.7</v>
      </c>
      <c r="BD380">
        <v>64.2</v>
      </c>
      <c r="BE380">
        <v>36.799999999999997</v>
      </c>
      <c r="BF380">
        <v>51.3</v>
      </c>
      <c r="BG380">
        <v>26.8</v>
      </c>
      <c r="BH380">
        <v>10.9</v>
      </c>
      <c r="BI380">
        <v>62.2</v>
      </c>
      <c r="BJ380">
        <v>16.5</v>
      </c>
      <c r="BK380">
        <v>6.8</v>
      </c>
      <c r="BL380">
        <v>37.299999999999997</v>
      </c>
      <c r="BM380">
        <v>6.2</v>
      </c>
      <c r="BN380">
        <v>2.4</v>
      </c>
      <c r="BO380">
        <v>1.92</v>
      </c>
      <c r="BP380">
        <v>0.23</v>
      </c>
      <c r="BQ380">
        <v>0.23</v>
      </c>
      <c r="BR380">
        <v>551</v>
      </c>
      <c r="BS380">
        <v>247.5</v>
      </c>
      <c r="BT380">
        <v>4066</v>
      </c>
      <c r="BU380">
        <v>2260</v>
      </c>
      <c r="BV380">
        <v>11.76</v>
      </c>
      <c r="BW380">
        <v>6.64</v>
      </c>
      <c r="BX380">
        <v>1.78</v>
      </c>
      <c r="BY380">
        <v>39.6</v>
      </c>
      <c r="BZ380">
        <v>68.3</v>
      </c>
      <c r="CA380">
        <v>25.34</v>
      </c>
      <c r="CB380">
        <v>23.79</v>
      </c>
      <c r="CC380">
        <v>10</v>
      </c>
      <c r="CD380">
        <v>1.21</v>
      </c>
      <c r="CE380">
        <v>2.0299999999999998</v>
      </c>
      <c r="CF380">
        <v>160.1</v>
      </c>
      <c r="CG380">
        <v>32.6</v>
      </c>
      <c r="CH380">
        <v>497</v>
      </c>
      <c r="CI380">
        <v>6.69</v>
      </c>
      <c r="CJ380">
        <v>109.7</v>
      </c>
      <c r="CK380">
        <v>1</v>
      </c>
      <c r="CL380" s="42" t="str">
        <f t="shared" si="61"/>
        <v>2</v>
      </c>
      <c r="CM380" s="4">
        <v>145.66666666666666</v>
      </c>
      <c r="CN380" s="4">
        <f t="shared" si="68"/>
        <v>2.3733333333333335</v>
      </c>
      <c r="CO380">
        <v>5</v>
      </c>
      <c r="CP380" s="42" t="str">
        <f t="shared" si="62"/>
        <v>1</v>
      </c>
      <c r="CQ380" s="4">
        <v>118.66666666666667</v>
      </c>
      <c r="CR380" s="4">
        <v>5.6469135802469133</v>
      </c>
      <c r="CS380" s="43" t="str">
        <f t="shared" si="63"/>
        <v>2</v>
      </c>
      <c r="CT380" s="4">
        <f t="shared" si="64"/>
        <v>264.33333333333331</v>
      </c>
      <c r="CU380" s="4">
        <f t="shared" si="65"/>
        <v>8.0202469135802463</v>
      </c>
      <c r="CV380" s="4">
        <v>4</v>
      </c>
    </row>
    <row r="381" spans="1:100" x14ac:dyDescent="0.3">
      <c r="A381" s="8" t="s">
        <v>180</v>
      </c>
      <c r="B381" s="18">
        <v>1</v>
      </c>
      <c r="C381">
        <v>31</v>
      </c>
      <c r="D381">
        <v>1</v>
      </c>
      <c r="E381">
        <v>3</v>
      </c>
      <c r="F381">
        <v>1</v>
      </c>
      <c r="G381">
        <v>0</v>
      </c>
      <c r="H381">
        <v>0</v>
      </c>
      <c r="I381">
        <v>1</v>
      </c>
      <c r="J381">
        <v>69.900000000000006</v>
      </c>
      <c r="K381">
        <v>1.571</v>
      </c>
      <c r="L381">
        <f t="shared" si="66"/>
        <v>157.1</v>
      </c>
      <c r="M381" s="82">
        <v>27.470700000000001</v>
      </c>
      <c r="N381" s="4">
        <v>39.9</v>
      </c>
      <c r="O381" s="4">
        <v>39.299999999999997</v>
      </c>
      <c r="P381" s="39">
        <v>1</v>
      </c>
      <c r="Q381">
        <v>86</v>
      </c>
      <c r="R381" s="40">
        <v>1</v>
      </c>
      <c r="S381">
        <v>102</v>
      </c>
      <c r="T381" s="5">
        <v>0.84313725490196079</v>
      </c>
      <c r="U381" s="39">
        <v>0</v>
      </c>
      <c r="V381" s="4">
        <v>28.322057858844325</v>
      </c>
      <c r="W381" s="37">
        <v>1</v>
      </c>
      <c r="X381">
        <v>8</v>
      </c>
      <c r="Y381" s="40">
        <v>0</v>
      </c>
      <c r="Z381" s="5">
        <v>15.231</v>
      </c>
      <c r="AA381" s="5">
        <v>2.8769666666666671</v>
      </c>
      <c r="AB381" s="85">
        <v>0</v>
      </c>
      <c r="AC381" s="5">
        <v>4.25</v>
      </c>
      <c r="AD381" s="37">
        <v>0</v>
      </c>
      <c r="AE381">
        <v>17.62</v>
      </c>
      <c r="AF381" s="5">
        <v>4.82</v>
      </c>
      <c r="AG381" s="37">
        <v>0</v>
      </c>
      <c r="AH381" s="5">
        <v>1.39</v>
      </c>
      <c r="AI381" s="1">
        <v>0</v>
      </c>
      <c r="AJ381" s="13">
        <v>3.26</v>
      </c>
      <c r="AK381" s="1">
        <v>1</v>
      </c>
      <c r="AL381" s="13">
        <v>0.92</v>
      </c>
      <c r="AM381" s="1">
        <v>1</v>
      </c>
      <c r="AN381" s="82">
        <f t="shared" si="67"/>
        <v>5.2391304347826084</v>
      </c>
      <c r="AO381" s="1">
        <v>1</v>
      </c>
      <c r="AP381">
        <v>103</v>
      </c>
      <c r="AQ381" s="37">
        <v>0</v>
      </c>
      <c r="AR381">
        <v>64</v>
      </c>
      <c r="AS381" s="37">
        <v>0</v>
      </c>
      <c r="AT381">
        <v>92</v>
      </c>
      <c r="AU381">
        <v>39</v>
      </c>
      <c r="AV381">
        <v>4.7</v>
      </c>
      <c r="AW381">
        <v>1</v>
      </c>
      <c r="AX381">
        <v>1831</v>
      </c>
      <c r="AY381">
        <v>42.3</v>
      </c>
      <c r="AZ381">
        <v>77.8</v>
      </c>
      <c r="BA381">
        <v>256.10000000000002</v>
      </c>
      <c r="BB381">
        <v>14</v>
      </c>
      <c r="BC381">
        <v>186.9</v>
      </c>
      <c r="BD381">
        <v>54</v>
      </c>
      <c r="BE381">
        <v>36.299999999999997</v>
      </c>
      <c r="BF381">
        <v>119.3</v>
      </c>
      <c r="BG381">
        <v>38.200000000000003</v>
      </c>
      <c r="BH381">
        <v>9.1999999999999993</v>
      </c>
      <c r="BI381">
        <v>52.4</v>
      </c>
      <c r="BJ381">
        <v>22.9</v>
      </c>
      <c r="BK381">
        <v>7.4</v>
      </c>
      <c r="BL381">
        <v>46.7</v>
      </c>
      <c r="BM381">
        <v>8.5</v>
      </c>
      <c r="BN381">
        <v>3.3</v>
      </c>
      <c r="BO381">
        <v>2.96</v>
      </c>
      <c r="BP381">
        <v>0.26</v>
      </c>
      <c r="BQ381">
        <v>0.31</v>
      </c>
      <c r="BR381">
        <v>518</v>
      </c>
      <c r="BS381">
        <v>189.1</v>
      </c>
      <c r="BT381">
        <v>3911</v>
      </c>
      <c r="BU381">
        <v>1760</v>
      </c>
      <c r="BV381">
        <v>11.92</v>
      </c>
      <c r="BW381">
        <v>5.92</v>
      </c>
      <c r="BX381">
        <v>1.57</v>
      </c>
      <c r="BY381">
        <v>50</v>
      </c>
      <c r="BZ381">
        <v>59.3</v>
      </c>
      <c r="CA381">
        <v>0.61</v>
      </c>
      <c r="CB381">
        <v>0.57999999999999996</v>
      </c>
      <c r="CC381">
        <v>12.4</v>
      </c>
      <c r="CD381">
        <v>0.61</v>
      </c>
      <c r="CE381">
        <v>0.9</v>
      </c>
      <c r="CF381">
        <v>198.7</v>
      </c>
      <c r="CG381">
        <v>66</v>
      </c>
      <c r="CH381">
        <v>327</v>
      </c>
      <c r="CI381">
        <v>6.69</v>
      </c>
      <c r="CJ381">
        <v>2.1</v>
      </c>
      <c r="CK381">
        <v>0</v>
      </c>
      <c r="CL381" s="42" t="str">
        <f t="shared" si="61"/>
        <v>1</v>
      </c>
      <c r="CM381" s="4">
        <v>0</v>
      </c>
      <c r="CN381" s="4">
        <f t="shared" si="68"/>
        <v>2.9</v>
      </c>
      <c r="CO381">
        <v>3</v>
      </c>
      <c r="CP381" s="42" t="str">
        <f t="shared" si="62"/>
        <v>1</v>
      </c>
      <c r="CQ381" s="4">
        <v>145</v>
      </c>
      <c r="CR381" s="4">
        <v>2.6851851851851851</v>
      </c>
      <c r="CS381" s="43" t="str">
        <f t="shared" si="63"/>
        <v>1</v>
      </c>
      <c r="CT381" s="4">
        <f t="shared" si="64"/>
        <v>145</v>
      </c>
      <c r="CU381" s="4">
        <f t="shared" si="65"/>
        <v>5.5851851851851855</v>
      </c>
      <c r="CV381" s="4">
        <v>4</v>
      </c>
    </row>
    <row r="382" spans="1:100" x14ac:dyDescent="0.3">
      <c r="A382" s="8" t="s">
        <v>179</v>
      </c>
      <c r="B382" s="18">
        <v>1</v>
      </c>
      <c r="C382">
        <v>45</v>
      </c>
      <c r="D382">
        <v>1</v>
      </c>
      <c r="E382">
        <v>3</v>
      </c>
      <c r="F382">
        <v>0</v>
      </c>
      <c r="G382">
        <v>0</v>
      </c>
      <c r="H382">
        <v>0</v>
      </c>
      <c r="I382">
        <v>1</v>
      </c>
      <c r="J382">
        <v>57.3</v>
      </c>
      <c r="K382">
        <v>1.5609999999999999</v>
      </c>
      <c r="L382">
        <f t="shared" si="66"/>
        <v>156.1</v>
      </c>
      <c r="M382" s="82">
        <v>19.424699999999998</v>
      </c>
      <c r="N382" s="4">
        <v>35.700000000000003</v>
      </c>
      <c r="O382" s="4">
        <v>33.9</v>
      </c>
      <c r="P382" s="39">
        <v>1</v>
      </c>
      <c r="Q382">
        <v>80</v>
      </c>
      <c r="R382" s="40">
        <v>0</v>
      </c>
      <c r="S382">
        <v>93</v>
      </c>
      <c r="T382" s="5">
        <v>0.86021505376344087</v>
      </c>
      <c r="U382" s="39">
        <v>0</v>
      </c>
      <c r="V382" s="4">
        <v>23.515207526836267</v>
      </c>
      <c r="W382" s="37">
        <v>1</v>
      </c>
      <c r="X382">
        <v>6</v>
      </c>
      <c r="Y382" s="40">
        <v>0</v>
      </c>
      <c r="Z382" s="5">
        <v>5.0090000000000003</v>
      </c>
      <c r="AA382" s="5">
        <v>0.93501333333333336</v>
      </c>
      <c r="AB382" s="85">
        <v>0</v>
      </c>
      <c r="AC382" s="5">
        <v>4.2</v>
      </c>
      <c r="AD382" s="37">
        <v>0</v>
      </c>
      <c r="AE382">
        <v>12.74</v>
      </c>
      <c r="AF382" s="5">
        <v>6.48</v>
      </c>
      <c r="AG382" s="37">
        <v>1</v>
      </c>
      <c r="AH382" s="5">
        <v>0.98</v>
      </c>
      <c r="AI382" s="1">
        <v>1</v>
      </c>
      <c r="AJ382" s="13">
        <v>4.38</v>
      </c>
      <c r="AK382" s="1">
        <v>0</v>
      </c>
      <c r="AL382" s="13">
        <v>1.65</v>
      </c>
      <c r="AM382" s="1">
        <v>0</v>
      </c>
      <c r="AN382" s="82">
        <f t="shared" si="67"/>
        <v>3.9272727272727277</v>
      </c>
      <c r="AO382" s="1">
        <v>0</v>
      </c>
      <c r="AP382">
        <v>118</v>
      </c>
      <c r="AQ382" s="37">
        <v>0</v>
      </c>
      <c r="AR382">
        <v>79</v>
      </c>
      <c r="AS382" s="37">
        <v>0</v>
      </c>
      <c r="AT382">
        <v>81</v>
      </c>
      <c r="AU382">
        <v>39</v>
      </c>
      <c r="AV382">
        <v>6.5</v>
      </c>
      <c r="AW382">
        <v>1</v>
      </c>
      <c r="AX382">
        <v>1344</v>
      </c>
      <c r="AY382">
        <v>39.4</v>
      </c>
      <c r="AZ382">
        <v>36.799999999999997</v>
      </c>
      <c r="BA382">
        <v>227.9</v>
      </c>
      <c r="BB382">
        <v>9.9</v>
      </c>
      <c r="BC382">
        <v>197.6</v>
      </c>
      <c r="BD382">
        <v>24.2</v>
      </c>
      <c r="BE382">
        <v>10.199999999999999</v>
      </c>
      <c r="BF382">
        <v>47.7</v>
      </c>
      <c r="BG382">
        <v>24.7</v>
      </c>
      <c r="BH382">
        <v>11.7</v>
      </c>
      <c r="BI382">
        <v>63.6</v>
      </c>
      <c r="BJ382">
        <v>16.5</v>
      </c>
      <c r="BK382">
        <v>2.8</v>
      </c>
      <c r="BL382">
        <v>24.7</v>
      </c>
      <c r="BM382">
        <v>4.5999999999999996</v>
      </c>
      <c r="BN382">
        <v>1.4</v>
      </c>
      <c r="BO382">
        <v>1.1499999999999999</v>
      </c>
      <c r="BP382">
        <v>0.09</v>
      </c>
      <c r="BQ382">
        <v>0.1</v>
      </c>
      <c r="BR382">
        <v>270</v>
      </c>
      <c r="BS382">
        <v>131</v>
      </c>
      <c r="BT382">
        <v>2727</v>
      </c>
      <c r="BU382">
        <v>1213</v>
      </c>
      <c r="BV382">
        <v>7.07</v>
      </c>
      <c r="BW382">
        <v>3.37</v>
      </c>
      <c r="BX382">
        <v>0.98</v>
      </c>
      <c r="BY382">
        <v>29.4</v>
      </c>
      <c r="BZ382">
        <v>23.2</v>
      </c>
      <c r="CA382">
        <v>1.0900000000000001</v>
      </c>
      <c r="CB382">
        <v>1.65</v>
      </c>
      <c r="CC382">
        <v>10.4</v>
      </c>
      <c r="CD382">
        <v>0.52</v>
      </c>
      <c r="CE382">
        <v>1.1399999999999999</v>
      </c>
      <c r="CF382">
        <v>105.7</v>
      </c>
      <c r="CG382">
        <v>8.8000000000000007</v>
      </c>
      <c r="CH382">
        <v>71</v>
      </c>
      <c r="CI382">
        <v>0.49</v>
      </c>
      <c r="CJ382">
        <v>1.4</v>
      </c>
      <c r="CK382">
        <v>0</v>
      </c>
      <c r="CL382" s="42" t="str">
        <f t="shared" si="61"/>
        <v>1</v>
      </c>
      <c r="CM382" s="4">
        <v>0</v>
      </c>
      <c r="CN382" s="4">
        <f t="shared" si="68"/>
        <v>1.08</v>
      </c>
      <c r="CO382">
        <v>5</v>
      </c>
      <c r="CP382" s="42" t="str">
        <f t="shared" si="62"/>
        <v>1</v>
      </c>
      <c r="CQ382" s="4">
        <v>54</v>
      </c>
      <c r="CR382" s="4">
        <v>0.70370370370370372</v>
      </c>
      <c r="CS382" s="43" t="str">
        <f t="shared" si="63"/>
        <v>1</v>
      </c>
      <c r="CT382" s="4">
        <f t="shared" si="64"/>
        <v>54</v>
      </c>
      <c r="CU382" s="4">
        <f t="shared" si="65"/>
        <v>1.7837037037037038</v>
      </c>
      <c r="CV382" s="4">
        <v>1</v>
      </c>
    </row>
    <row r="383" spans="1:100" x14ac:dyDescent="0.3">
      <c r="A383" s="8" t="s">
        <v>178</v>
      </c>
      <c r="B383" s="18">
        <v>1</v>
      </c>
      <c r="C383">
        <v>52</v>
      </c>
      <c r="D383">
        <v>1</v>
      </c>
      <c r="E383">
        <v>3</v>
      </c>
      <c r="F383">
        <v>0</v>
      </c>
      <c r="G383">
        <v>0</v>
      </c>
      <c r="H383">
        <v>0</v>
      </c>
      <c r="I383">
        <v>1</v>
      </c>
      <c r="J383">
        <v>61.3</v>
      </c>
      <c r="K383">
        <v>1.5609999999999999</v>
      </c>
      <c r="L383">
        <f t="shared" si="66"/>
        <v>156.1</v>
      </c>
      <c r="M383" s="82">
        <v>21.822800000000001</v>
      </c>
      <c r="N383" s="4">
        <v>37.200000000000003</v>
      </c>
      <c r="O383" s="4">
        <v>35.6</v>
      </c>
      <c r="P383" s="39">
        <v>1</v>
      </c>
      <c r="Q383">
        <v>86</v>
      </c>
      <c r="R383" s="40">
        <v>1</v>
      </c>
      <c r="S383">
        <v>99</v>
      </c>
      <c r="T383" s="5">
        <v>0.86868686868686873</v>
      </c>
      <c r="U383" s="39">
        <v>0</v>
      </c>
      <c r="V383" s="4">
        <v>25.15675779048976</v>
      </c>
      <c r="W383" s="37">
        <v>1</v>
      </c>
      <c r="X383">
        <v>7</v>
      </c>
      <c r="Y383" s="40">
        <v>0</v>
      </c>
      <c r="Z383" s="5">
        <v>6.8959999999999999</v>
      </c>
      <c r="AA383" s="5">
        <v>1.2290204444444444</v>
      </c>
      <c r="AB383" s="85">
        <v>0</v>
      </c>
      <c r="AC383" s="5">
        <v>4.01</v>
      </c>
      <c r="AD383" s="37">
        <v>0</v>
      </c>
      <c r="AE383">
        <v>11.4</v>
      </c>
      <c r="AF383" s="5">
        <v>5.16</v>
      </c>
      <c r="AG383" s="37">
        <v>1</v>
      </c>
      <c r="AH383" s="5">
        <v>0.8</v>
      </c>
      <c r="AI383" s="1">
        <v>1</v>
      </c>
      <c r="AJ383" s="13">
        <v>3.94</v>
      </c>
      <c r="AK383" s="1">
        <v>1</v>
      </c>
      <c r="AL383" s="13">
        <v>0.86</v>
      </c>
      <c r="AM383" s="1">
        <v>1</v>
      </c>
      <c r="AN383" s="82">
        <f t="shared" si="67"/>
        <v>6</v>
      </c>
      <c r="AO383" s="1">
        <v>1</v>
      </c>
      <c r="AP383">
        <v>120</v>
      </c>
      <c r="AQ383" s="37">
        <v>0</v>
      </c>
      <c r="AR383">
        <v>71</v>
      </c>
      <c r="AS383" s="37">
        <v>0</v>
      </c>
      <c r="AT383">
        <v>73</v>
      </c>
      <c r="AU383">
        <v>48</v>
      </c>
      <c r="AV383">
        <v>7.4</v>
      </c>
      <c r="AW383">
        <v>1</v>
      </c>
      <c r="AX383">
        <v>1642</v>
      </c>
      <c r="AY383">
        <v>48.2</v>
      </c>
      <c r="AZ383">
        <v>50</v>
      </c>
      <c r="BA383">
        <v>266.2</v>
      </c>
      <c r="BB383">
        <v>14.5</v>
      </c>
      <c r="BC383">
        <v>213.4</v>
      </c>
      <c r="BD383">
        <v>26.6</v>
      </c>
      <c r="BE383">
        <v>19.600000000000001</v>
      </c>
      <c r="BF383">
        <v>44.6</v>
      </c>
      <c r="BG383">
        <v>27.4</v>
      </c>
      <c r="BH383">
        <v>11.7</v>
      </c>
      <c r="BI383">
        <v>60.8</v>
      </c>
      <c r="BJ383">
        <v>19.899999999999999</v>
      </c>
      <c r="BK383">
        <v>4.5</v>
      </c>
      <c r="BL383">
        <v>36.299999999999997</v>
      </c>
      <c r="BM383">
        <v>4</v>
      </c>
      <c r="BN383">
        <v>2</v>
      </c>
      <c r="BO383">
        <v>1.25</v>
      </c>
      <c r="BP383">
        <v>0.09</v>
      </c>
      <c r="BQ383">
        <v>7.0000000000000007E-2</v>
      </c>
      <c r="BR383">
        <v>329</v>
      </c>
      <c r="BS383">
        <v>176</v>
      </c>
      <c r="BT383">
        <v>3516</v>
      </c>
      <c r="BU383">
        <v>1589</v>
      </c>
      <c r="BV383">
        <v>10.49</v>
      </c>
      <c r="BW383">
        <v>5.51</v>
      </c>
      <c r="BX383">
        <v>1.1100000000000001</v>
      </c>
      <c r="BY383">
        <v>48.9</v>
      </c>
      <c r="BZ383">
        <v>13.9</v>
      </c>
      <c r="CA383">
        <v>0.82</v>
      </c>
      <c r="CB383">
        <v>1.19</v>
      </c>
      <c r="CC383">
        <v>8.6999999999999993</v>
      </c>
      <c r="CD383">
        <v>0.44</v>
      </c>
      <c r="CE383">
        <v>1.06</v>
      </c>
      <c r="CF383">
        <v>119.7</v>
      </c>
      <c r="CG383">
        <v>24.1</v>
      </c>
      <c r="CH383">
        <v>130</v>
      </c>
      <c r="CI383">
        <v>2.21</v>
      </c>
      <c r="CJ383">
        <v>1</v>
      </c>
      <c r="CK383">
        <v>1</v>
      </c>
      <c r="CL383" s="42" t="str">
        <f t="shared" si="61"/>
        <v>1</v>
      </c>
      <c r="CM383" s="4">
        <v>78.666666666666671</v>
      </c>
      <c r="CN383" s="4">
        <f t="shared" si="68"/>
        <v>1.2</v>
      </c>
      <c r="CO383">
        <v>4</v>
      </c>
      <c r="CP383" s="42" t="str">
        <f t="shared" si="62"/>
        <v>1</v>
      </c>
      <c r="CQ383" s="4">
        <v>60</v>
      </c>
      <c r="CR383" s="4">
        <v>1.2469135802469136</v>
      </c>
      <c r="CS383" s="43" t="str">
        <f t="shared" si="63"/>
        <v>1</v>
      </c>
      <c r="CT383" s="4">
        <f t="shared" si="64"/>
        <v>138.66666666666669</v>
      </c>
      <c r="CU383" s="4">
        <f t="shared" si="65"/>
        <v>2.4469135802469135</v>
      </c>
      <c r="CV383" s="4">
        <v>2</v>
      </c>
    </row>
    <row r="384" spans="1:100" x14ac:dyDescent="0.3">
      <c r="A384" s="8" t="s">
        <v>177</v>
      </c>
      <c r="B384" s="18">
        <v>1</v>
      </c>
      <c r="C384">
        <v>54</v>
      </c>
      <c r="D384">
        <v>3</v>
      </c>
      <c r="E384">
        <v>3</v>
      </c>
      <c r="F384">
        <v>1</v>
      </c>
      <c r="G384">
        <v>0</v>
      </c>
      <c r="H384">
        <v>0</v>
      </c>
      <c r="I384">
        <v>0</v>
      </c>
      <c r="J384">
        <v>60.7</v>
      </c>
      <c r="K384">
        <v>1.53</v>
      </c>
      <c r="L384">
        <f t="shared" si="66"/>
        <v>153</v>
      </c>
      <c r="M384" s="82">
        <v>23.1267</v>
      </c>
      <c r="N384" s="4">
        <v>35.700000000000003</v>
      </c>
      <c r="O384" s="4">
        <v>38.1</v>
      </c>
      <c r="P384" s="39">
        <v>1</v>
      </c>
      <c r="Q384">
        <v>90</v>
      </c>
      <c r="R384" s="40">
        <v>1</v>
      </c>
      <c r="S384">
        <v>101</v>
      </c>
      <c r="T384" s="5">
        <v>0.8910891089108911</v>
      </c>
      <c r="U384" s="39">
        <v>1</v>
      </c>
      <c r="V384" s="4">
        <v>25.930197787175874</v>
      </c>
      <c r="W384" s="37">
        <v>1</v>
      </c>
      <c r="X384">
        <v>8</v>
      </c>
      <c r="Y384" s="40">
        <v>0</v>
      </c>
      <c r="Z384" s="5">
        <v>12.83</v>
      </c>
      <c r="AA384" s="5">
        <v>2.7883866666666663</v>
      </c>
      <c r="AB384" s="85">
        <v>0</v>
      </c>
      <c r="AC384" s="5">
        <v>4.8899999999999997</v>
      </c>
      <c r="AD384" s="37">
        <v>0</v>
      </c>
      <c r="AE384">
        <v>23.32</v>
      </c>
      <c r="AF384" s="5">
        <v>5.54</v>
      </c>
      <c r="AG384" s="37">
        <v>1</v>
      </c>
      <c r="AH384" s="5">
        <v>1.85</v>
      </c>
      <c r="AI384" s="1">
        <v>1</v>
      </c>
      <c r="AJ384" s="13">
        <v>3.63</v>
      </c>
      <c r="AK384" s="1">
        <v>1</v>
      </c>
      <c r="AL384" s="13">
        <v>1.06</v>
      </c>
      <c r="AM384" s="1">
        <v>1</v>
      </c>
      <c r="AN384" s="82">
        <f t="shared" si="67"/>
        <v>5.2264150943396226</v>
      </c>
      <c r="AO384" s="1">
        <v>1</v>
      </c>
      <c r="AP384">
        <v>111</v>
      </c>
      <c r="AQ384" s="37">
        <v>0</v>
      </c>
      <c r="AR384">
        <v>61</v>
      </c>
      <c r="AS384" s="37">
        <v>0</v>
      </c>
      <c r="AT384">
        <v>81</v>
      </c>
      <c r="AU384">
        <v>50</v>
      </c>
      <c r="AV384">
        <v>7.3</v>
      </c>
      <c r="AW384">
        <v>1</v>
      </c>
      <c r="AX384">
        <v>1484</v>
      </c>
      <c r="AY384">
        <v>48</v>
      </c>
      <c r="AZ384">
        <v>50.7</v>
      </c>
      <c r="BA384">
        <v>222.6</v>
      </c>
      <c r="BB384">
        <v>11</v>
      </c>
      <c r="BC384">
        <v>150.69999999999999</v>
      </c>
      <c r="BD384">
        <v>43.5</v>
      </c>
      <c r="BE384">
        <v>31.3</v>
      </c>
      <c r="BF384">
        <v>140.6</v>
      </c>
      <c r="BG384">
        <v>30.8</v>
      </c>
      <c r="BH384">
        <v>12.9</v>
      </c>
      <c r="BI384">
        <v>56.2</v>
      </c>
      <c r="BJ384">
        <v>17.7</v>
      </c>
      <c r="BK384">
        <v>7.9</v>
      </c>
      <c r="BL384">
        <v>29.2</v>
      </c>
      <c r="BM384">
        <v>9.1</v>
      </c>
      <c r="BN384">
        <v>4.2</v>
      </c>
      <c r="BO384">
        <v>3.8</v>
      </c>
      <c r="BP384">
        <v>0.28000000000000003</v>
      </c>
      <c r="BQ384">
        <v>0.26</v>
      </c>
      <c r="BR384">
        <v>385</v>
      </c>
      <c r="BS384">
        <v>212.7</v>
      </c>
      <c r="BT384">
        <v>3172</v>
      </c>
      <c r="BU384">
        <v>2085</v>
      </c>
      <c r="BV384">
        <v>10.84</v>
      </c>
      <c r="BW384">
        <v>6.39</v>
      </c>
      <c r="BX384">
        <v>1.36</v>
      </c>
      <c r="BY384">
        <v>22.2</v>
      </c>
      <c r="BZ384">
        <v>43.4</v>
      </c>
      <c r="CA384">
        <v>0.72</v>
      </c>
      <c r="CB384">
        <v>1.26</v>
      </c>
      <c r="CC384">
        <v>12.4</v>
      </c>
      <c r="CD384">
        <v>0.6</v>
      </c>
      <c r="CE384">
        <v>1.47</v>
      </c>
      <c r="CF384">
        <v>128.19999999999999</v>
      </c>
      <c r="CG384">
        <v>32.5</v>
      </c>
      <c r="CH384">
        <v>226</v>
      </c>
      <c r="CI384">
        <v>2.2400000000000002</v>
      </c>
      <c r="CJ384">
        <v>2.9</v>
      </c>
      <c r="CK384">
        <v>1</v>
      </c>
      <c r="CL384" s="42" t="str">
        <f t="shared" si="61"/>
        <v>2</v>
      </c>
      <c r="CM384" s="25">
        <v>105</v>
      </c>
      <c r="CN384" s="4">
        <f t="shared" si="68"/>
        <v>2.4133333333333336</v>
      </c>
      <c r="CO384">
        <v>7</v>
      </c>
      <c r="CP384" s="42" t="str">
        <f t="shared" si="62"/>
        <v>1</v>
      </c>
      <c r="CQ384" s="25">
        <v>120.66666666666667</v>
      </c>
      <c r="CR384" s="4">
        <v>1.8209876543209877</v>
      </c>
      <c r="CS384" s="43" t="str">
        <f t="shared" si="63"/>
        <v>2</v>
      </c>
      <c r="CT384" s="4">
        <f t="shared" si="64"/>
        <v>225.66666666666669</v>
      </c>
      <c r="CU384" s="4">
        <f t="shared" si="65"/>
        <v>4.2343209876543213</v>
      </c>
      <c r="CV384" s="4">
        <v>4</v>
      </c>
    </row>
    <row r="385" spans="1:100" x14ac:dyDescent="0.3">
      <c r="A385" s="8" t="s">
        <v>176</v>
      </c>
      <c r="B385" s="18">
        <v>1</v>
      </c>
      <c r="C385">
        <v>39</v>
      </c>
      <c r="D385">
        <v>1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71</v>
      </c>
      <c r="K385">
        <v>1.59</v>
      </c>
      <c r="L385">
        <f t="shared" si="66"/>
        <v>159</v>
      </c>
      <c r="M385" s="82">
        <v>29.11</v>
      </c>
      <c r="N385" s="4">
        <v>39.6</v>
      </c>
      <c r="O385" s="4">
        <v>41</v>
      </c>
      <c r="P385" s="39">
        <v>1</v>
      </c>
      <c r="Q385">
        <v>90</v>
      </c>
      <c r="R385" s="40">
        <v>1</v>
      </c>
      <c r="S385">
        <v>103</v>
      </c>
      <c r="T385" s="5">
        <v>0.87378640776699024</v>
      </c>
      <c r="U385" s="39">
        <v>0</v>
      </c>
      <c r="V385" s="4">
        <v>28.084332107116012</v>
      </c>
      <c r="W385" s="37">
        <v>1</v>
      </c>
      <c r="X385">
        <v>9</v>
      </c>
      <c r="Y385" s="40">
        <v>0</v>
      </c>
      <c r="Z385" s="5">
        <v>24.943000000000001</v>
      </c>
      <c r="AA385" s="5">
        <v>5.6759182222222222</v>
      </c>
      <c r="AB385" s="85">
        <v>1</v>
      </c>
      <c r="AC385" s="5">
        <v>5.12</v>
      </c>
      <c r="AD385" s="37">
        <v>0</v>
      </c>
      <c r="AE385">
        <v>3</v>
      </c>
      <c r="AF385" s="5">
        <v>5.95</v>
      </c>
      <c r="AG385" s="37">
        <v>1</v>
      </c>
      <c r="AH385" s="5">
        <v>0.89</v>
      </c>
      <c r="AI385" s="1">
        <v>1</v>
      </c>
      <c r="AJ385" s="13">
        <v>4.18</v>
      </c>
      <c r="AK385" s="1">
        <v>0</v>
      </c>
      <c r="AL385" s="13">
        <v>1.37</v>
      </c>
      <c r="AM385" s="1">
        <v>0</v>
      </c>
      <c r="AN385" s="82">
        <f t="shared" si="67"/>
        <v>4.3430656934306571</v>
      </c>
      <c r="AO385" s="1">
        <v>1</v>
      </c>
      <c r="AP385">
        <v>122</v>
      </c>
      <c r="AQ385" s="37">
        <v>0</v>
      </c>
      <c r="AR385">
        <v>83</v>
      </c>
      <c r="AS385" s="37">
        <v>0</v>
      </c>
      <c r="AT385">
        <v>86</v>
      </c>
      <c r="AU385">
        <v>38.6</v>
      </c>
      <c r="AV385">
        <v>5.9</v>
      </c>
      <c r="AW385">
        <v>1</v>
      </c>
      <c r="AX385">
        <v>1151</v>
      </c>
      <c r="AY385">
        <v>42.8</v>
      </c>
      <c r="AZ385">
        <v>40.9</v>
      </c>
      <c r="BA385">
        <v>162.5</v>
      </c>
      <c r="BB385">
        <v>7.6</v>
      </c>
      <c r="BC385">
        <v>119.4</v>
      </c>
      <c r="BD385">
        <v>34.4</v>
      </c>
      <c r="BE385">
        <v>19.2</v>
      </c>
      <c r="BF385">
        <v>158.30000000000001</v>
      </c>
      <c r="BG385">
        <v>32</v>
      </c>
      <c r="BH385">
        <v>14.9</v>
      </c>
      <c r="BI385">
        <v>52.9</v>
      </c>
      <c r="BJ385">
        <v>21.4</v>
      </c>
      <c r="BK385">
        <v>6.3</v>
      </c>
      <c r="BL385">
        <v>27.4</v>
      </c>
      <c r="BM385">
        <v>5.0999999999999996</v>
      </c>
      <c r="BN385">
        <v>1.9</v>
      </c>
      <c r="BO385">
        <v>0.84</v>
      </c>
      <c r="BP385">
        <v>7.0000000000000007E-2</v>
      </c>
      <c r="BQ385">
        <v>0.31</v>
      </c>
      <c r="BR385">
        <v>350</v>
      </c>
      <c r="BS385">
        <v>117.5</v>
      </c>
      <c r="BT385">
        <v>1500</v>
      </c>
      <c r="BU385">
        <v>1293</v>
      </c>
      <c r="BV385">
        <v>5.0199999999999996</v>
      </c>
      <c r="BW385">
        <v>3.52</v>
      </c>
      <c r="BX385">
        <v>0.77</v>
      </c>
      <c r="BY385">
        <v>30.1</v>
      </c>
      <c r="BZ385">
        <v>43.5</v>
      </c>
      <c r="CA385">
        <v>0.9</v>
      </c>
      <c r="CB385">
        <v>1.64</v>
      </c>
      <c r="CC385">
        <v>8.1</v>
      </c>
      <c r="CD385">
        <v>0.6</v>
      </c>
      <c r="CE385">
        <v>2.14</v>
      </c>
      <c r="CF385">
        <v>103</v>
      </c>
      <c r="CG385">
        <v>11</v>
      </c>
      <c r="CH385">
        <v>201</v>
      </c>
      <c r="CI385">
        <v>3.89</v>
      </c>
      <c r="CJ385">
        <v>1.1000000000000001</v>
      </c>
      <c r="CK385" s="9">
        <v>0</v>
      </c>
      <c r="CL385" s="42" t="str">
        <f t="shared" si="61"/>
        <v>1</v>
      </c>
      <c r="CM385" s="4">
        <v>0</v>
      </c>
      <c r="CN385" s="4">
        <f t="shared" si="68"/>
        <v>0.67333333333333334</v>
      </c>
      <c r="CO385" s="9">
        <v>5</v>
      </c>
      <c r="CP385" s="42" t="str">
        <f t="shared" si="62"/>
        <v>1</v>
      </c>
      <c r="CQ385" s="4">
        <v>33.666666666666664</v>
      </c>
      <c r="CR385" s="4">
        <v>1.4382716049382716</v>
      </c>
      <c r="CS385" s="43" t="str">
        <f t="shared" si="63"/>
        <v>1</v>
      </c>
      <c r="CT385" s="4">
        <f t="shared" si="64"/>
        <v>33.666666666666664</v>
      </c>
      <c r="CU385" s="4">
        <f t="shared" si="65"/>
        <v>2.1116049382716051</v>
      </c>
      <c r="CV385" s="4">
        <v>2</v>
      </c>
    </row>
    <row r="386" spans="1:100" x14ac:dyDescent="0.3">
      <c r="A386" s="8" t="s">
        <v>175</v>
      </c>
      <c r="B386" s="18">
        <v>1</v>
      </c>
      <c r="C386">
        <v>39</v>
      </c>
      <c r="D386">
        <v>1</v>
      </c>
      <c r="E386">
        <v>3</v>
      </c>
      <c r="F386">
        <v>0</v>
      </c>
      <c r="G386">
        <v>0</v>
      </c>
      <c r="H386">
        <v>0</v>
      </c>
      <c r="I386">
        <v>1</v>
      </c>
      <c r="J386">
        <v>62.3</v>
      </c>
      <c r="K386">
        <v>1.6080000000000001</v>
      </c>
      <c r="L386">
        <f t="shared" si="66"/>
        <v>160.80000000000001</v>
      </c>
      <c r="M386" s="82">
        <v>21.493499999999997</v>
      </c>
      <c r="N386" s="4">
        <v>38.5</v>
      </c>
      <c r="O386" s="4">
        <v>34.5</v>
      </c>
      <c r="P386" s="39">
        <v>1</v>
      </c>
      <c r="Q386">
        <v>76</v>
      </c>
      <c r="R386" s="40">
        <v>0</v>
      </c>
      <c r="S386">
        <v>94</v>
      </c>
      <c r="T386" s="5">
        <v>0.80851063829787229</v>
      </c>
      <c r="U386" s="39">
        <v>0</v>
      </c>
      <c r="V386" s="4">
        <v>24.094391227939898</v>
      </c>
      <c r="W386" s="37">
        <v>1</v>
      </c>
      <c r="X386">
        <v>6</v>
      </c>
      <c r="Y386" s="40">
        <v>0</v>
      </c>
      <c r="Z386" s="5">
        <v>10.989000000000001</v>
      </c>
      <c r="AA386" s="5">
        <v>2.4615360000000002</v>
      </c>
      <c r="AB386" s="85">
        <v>0</v>
      </c>
      <c r="AC386" s="5">
        <v>5.04</v>
      </c>
      <c r="AD386" s="37">
        <v>0</v>
      </c>
      <c r="AE386">
        <v>15.26</v>
      </c>
      <c r="AF386" s="5">
        <v>6.6</v>
      </c>
      <c r="AG386" s="37">
        <v>1</v>
      </c>
      <c r="AH386" s="5">
        <v>2.16</v>
      </c>
      <c r="AI386" s="1">
        <v>1</v>
      </c>
      <c r="AJ386" s="13">
        <v>4.45</v>
      </c>
      <c r="AK386" s="1">
        <v>1</v>
      </c>
      <c r="AL386" s="13">
        <v>1.19</v>
      </c>
      <c r="AM386" s="1">
        <v>1</v>
      </c>
      <c r="AN386" s="82">
        <f t="shared" si="67"/>
        <v>5.5462184873949578</v>
      </c>
      <c r="AO386" s="1">
        <v>1</v>
      </c>
      <c r="AP386">
        <v>115</v>
      </c>
      <c r="AQ386" s="37">
        <v>0</v>
      </c>
      <c r="AR386">
        <v>71</v>
      </c>
      <c r="AS386" s="37">
        <v>0</v>
      </c>
      <c r="AT386">
        <v>86</v>
      </c>
      <c r="AU386">
        <v>43.6</v>
      </c>
      <c r="AV386">
        <v>5.7</v>
      </c>
      <c r="AW386">
        <v>1</v>
      </c>
      <c r="AX386">
        <v>1391</v>
      </c>
      <c r="AY386">
        <v>26.9</v>
      </c>
      <c r="AZ386">
        <v>48.9</v>
      </c>
      <c r="BA386">
        <v>224.2</v>
      </c>
      <c r="BB386">
        <v>8.8000000000000007</v>
      </c>
      <c r="BC386">
        <v>158.80000000000001</v>
      </c>
      <c r="BD386">
        <v>49.9</v>
      </c>
      <c r="BE386">
        <v>41.8</v>
      </c>
      <c r="BF386">
        <v>127.6</v>
      </c>
      <c r="BG386">
        <v>31.7</v>
      </c>
      <c r="BH386">
        <v>7.7</v>
      </c>
      <c r="BI386">
        <v>60.4</v>
      </c>
      <c r="BJ386">
        <v>17.2</v>
      </c>
      <c r="BK386">
        <v>11.3</v>
      </c>
      <c r="BL386">
        <v>26.7</v>
      </c>
      <c r="BM386">
        <v>7</v>
      </c>
      <c r="BN386">
        <v>2.9</v>
      </c>
      <c r="BO386">
        <v>2.68</v>
      </c>
      <c r="BP386">
        <v>0.17</v>
      </c>
      <c r="BQ386">
        <v>0.05</v>
      </c>
      <c r="BR386">
        <v>212</v>
      </c>
      <c r="BS386">
        <v>122.5</v>
      </c>
      <c r="BT386">
        <v>2304</v>
      </c>
      <c r="BU386">
        <v>1271</v>
      </c>
      <c r="BV386">
        <v>6.86</v>
      </c>
      <c r="BW386">
        <v>4.75</v>
      </c>
      <c r="BX386">
        <v>1.03</v>
      </c>
      <c r="BY386">
        <v>23.6</v>
      </c>
      <c r="BZ386">
        <v>41.9</v>
      </c>
      <c r="CA386">
        <v>0.34</v>
      </c>
      <c r="CB386">
        <v>0.36</v>
      </c>
      <c r="CC386">
        <v>9.6</v>
      </c>
      <c r="CD386">
        <v>0.52</v>
      </c>
      <c r="CE386">
        <v>0.77</v>
      </c>
      <c r="CF386">
        <v>79.5</v>
      </c>
      <c r="CG386">
        <v>15.5</v>
      </c>
      <c r="CH386">
        <v>162</v>
      </c>
      <c r="CI386">
        <v>6.57</v>
      </c>
      <c r="CJ386">
        <v>1.8</v>
      </c>
      <c r="CK386">
        <v>2</v>
      </c>
      <c r="CL386" s="42" t="str">
        <f t="shared" si="61"/>
        <v>1</v>
      </c>
      <c r="CM386" s="4">
        <v>43</v>
      </c>
      <c r="CN386" s="4">
        <f t="shared" si="68"/>
        <v>2.4300000000000002</v>
      </c>
      <c r="CO386">
        <v>7</v>
      </c>
      <c r="CP386" s="42" t="str">
        <f t="shared" si="62"/>
        <v>1</v>
      </c>
      <c r="CQ386" s="4">
        <v>121.5</v>
      </c>
      <c r="CR386" s="4">
        <v>1.3765432098765431</v>
      </c>
      <c r="CS386" s="43" t="str">
        <f t="shared" si="63"/>
        <v>2</v>
      </c>
      <c r="CT386" s="4">
        <f t="shared" si="64"/>
        <v>164.5</v>
      </c>
      <c r="CU386" s="4">
        <f t="shared" si="65"/>
        <v>3.8065432098765433</v>
      </c>
      <c r="CV386" s="4">
        <v>3</v>
      </c>
    </row>
    <row r="387" spans="1:100" x14ac:dyDescent="0.3">
      <c r="A387" s="8" t="s">
        <v>174</v>
      </c>
      <c r="B387" s="18">
        <v>1</v>
      </c>
      <c r="C387">
        <v>34</v>
      </c>
      <c r="D387">
        <v>3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43.2</v>
      </c>
      <c r="K387">
        <v>1.42</v>
      </c>
      <c r="L387">
        <f t="shared" si="66"/>
        <v>142</v>
      </c>
      <c r="M387" s="82">
        <v>13.219200000000001</v>
      </c>
      <c r="N387" s="4">
        <v>28.5</v>
      </c>
      <c r="O387" s="4">
        <v>30.6</v>
      </c>
      <c r="P387" s="39">
        <v>0</v>
      </c>
      <c r="Q387">
        <v>72</v>
      </c>
      <c r="R387" s="40">
        <v>0</v>
      </c>
      <c r="S387">
        <v>87</v>
      </c>
      <c r="T387" s="5">
        <v>0.82758620689655171</v>
      </c>
      <c r="U387" s="39">
        <v>0</v>
      </c>
      <c r="V387" s="4">
        <v>21.424320571315217</v>
      </c>
      <c r="W387" s="37">
        <v>0</v>
      </c>
      <c r="X387">
        <v>4</v>
      </c>
      <c r="Y387" s="40">
        <v>0</v>
      </c>
      <c r="AA387" s="5"/>
      <c r="AB387" s="85">
        <v>0</v>
      </c>
      <c r="AC387" s="5">
        <v>5.44</v>
      </c>
      <c r="AD387" s="37">
        <v>0</v>
      </c>
      <c r="AE387">
        <v>30.4</v>
      </c>
      <c r="AF387" s="5">
        <v>6.66</v>
      </c>
      <c r="AG387" s="37">
        <v>1</v>
      </c>
      <c r="AH387" s="5">
        <v>1.22</v>
      </c>
      <c r="AI387" s="1">
        <v>1</v>
      </c>
      <c r="AJ387" s="13">
        <v>4.6900000000000004</v>
      </c>
      <c r="AK387" s="1">
        <v>0</v>
      </c>
      <c r="AL387" s="13">
        <v>1.41</v>
      </c>
      <c r="AM387" s="1">
        <v>0</v>
      </c>
      <c r="AN387" s="82">
        <f t="shared" si="67"/>
        <v>4.7234042553191493</v>
      </c>
      <c r="AO387" s="1">
        <v>1</v>
      </c>
      <c r="AP387">
        <v>115</v>
      </c>
      <c r="AQ387" s="37">
        <v>0</v>
      </c>
      <c r="AR387">
        <v>86</v>
      </c>
      <c r="AS387" s="37">
        <v>1</v>
      </c>
      <c r="AT387">
        <v>73</v>
      </c>
      <c r="AU387">
        <v>55</v>
      </c>
      <c r="AV387">
        <v>5.5</v>
      </c>
      <c r="AW387">
        <v>1</v>
      </c>
      <c r="AX387">
        <v>1519</v>
      </c>
      <c r="AY387">
        <v>42</v>
      </c>
      <c r="AZ387">
        <v>43.4</v>
      </c>
      <c r="BA387">
        <v>256</v>
      </c>
      <c r="BB387">
        <v>9.4</v>
      </c>
      <c r="BC387">
        <v>188.5</v>
      </c>
      <c r="BD387">
        <v>55.5</v>
      </c>
      <c r="BE387">
        <v>45.4</v>
      </c>
      <c r="BF387">
        <v>123.3</v>
      </c>
      <c r="BG387">
        <v>25.7</v>
      </c>
      <c r="BH387">
        <v>11</v>
      </c>
      <c r="BI387">
        <v>63.2</v>
      </c>
      <c r="BJ387">
        <v>15.7</v>
      </c>
      <c r="BK387">
        <v>11.2</v>
      </c>
      <c r="BL387">
        <v>26.5</v>
      </c>
      <c r="BM387">
        <v>6.6</v>
      </c>
      <c r="BN387">
        <v>2.5</v>
      </c>
      <c r="BO387">
        <v>1.91</v>
      </c>
      <c r="BP387">
        <v>0.46</v>
      </c>
      <c r="BQ387">
        <v>0.21</v>
      </c>
      <c r="BR387">
        <v>285</v>
      </c>
      <c r="BS387">
        <v>133.80000000000001</v>
      </c>
      <c r="BT387">
        <v>2443</v>
      </c>
      <c r="BU387">
        <v>1174</v>
      </c>
      <c r="BV387">
        <v>7.51</v>
      </c>
      <c r="BW387">
        <v>4.18</v>
      </c>
      <c r="BX387">
        <v>0.93</v>
      </c>
      <c r="BY387">
        <v>17.600000000000001</v>
      </c>
      <c r="BZ387">
        <v>40.799999999999997</v>
      </c>
      <c r="CA387">
        <v>4.0999999999999996</v>
      </c>
      <c r="CB387">
        <v>4.38</v>
      </c>
      <c r="CC387">
        <v>8.6</v>
      </c>
      <c r="CD387">
        <v>0.46</v>
      </c>
      <c r="CE387">
        <v>2.57</v>
      </c>
      <c r="CF387">
        <v>99.1</v>
      </c>
      <c r="CG387">
        <v>10.8</v>
      </c>
      <c r="CH387">
        <v>247</v>
      </c>
      <c r="CI387">
        <v>3.98</v>
      </c>
      <c r="CJ387">
        <v>17.100000000000001</v>
      </c>
      <c r="CK387">
        <v>1</v>
      </c>
      <c r="CL387" s="42" t="str">
        <f t="shared" si="61"/>
        <v>1</v>
      </c>
      <c r="CM387" s="4">
        <v>13.333333333333334</v>
      </c>
      <c r="CN387" s="4">
        <f t="shared" si="68"/>
        <v>1.1533333333333333</v>
      </c>
      <c r="CO387">
        <v>4</v>
      </c>
      <c r="CP387" s="42" t="str">
        <f t="shared" si="62"/>
        <v>1</v>
      </c>
      <c r="CQ387" s="4">
        <v>57.666666666666664</v>
      </c>
      <c r="CR387" s="4">
        <v>1.5024691358024691</v>
      </c>
      <c r="CS387" s="43" t="str">
        <f t="shared" si="63"/>
        <v>1</v>
      </c>
      <c r="CT387" s="4">
        <f t="shared" si="64"/>
        <v>71</v>
      </c>
      <c r="CU387" s="4">
        <f t="shared" si="65"/>
        <v>2.6558024691358026</v>
      </c>
      <c r="CV387" s="4">
        <v>2</v>
      </c>
    </row>
    <row r="388" spans="1:100" x14ac:dyDescent="0.3">
      <c r="A388" s="8" t="s">
        <v>173</v>
      </c>
      <c r="B388" s="18">
        <v>1</v>
      </c>
      <c r="C388">
        <v>30</v>
      </c>
      <c r="D388">
        <v>1</v>
      </c>
      <c r="E388">
        <v>2</v>
      </c>
      <c r="F388">
        <v>0</v>
      </c>
      <c r="G388">
        <v>0</v>
      </c>
      <c r="H388">
        <v>0</v>
      </c>
      <c r="I388">
        <v>0</v>
      </c>
      <c r="J388">
        <v>49.6</v>
      </c>
      <c r="K388">
        <v>1.5880000000000001</v>
      </c>
      <c r="L388">
        <f t="shared" si="66"/>
        <v>158.80000000000001</v>
      </c>
      <c r="M388" s="82">
        <v>13.0448</v>
      </c>
      <c r="N388" s="4">
        <v>34.6</v>
      </c>
      <c r="O388" s="4">
        <v>26.3</v>
      </c>
      <c r="P388" s="39">
        <v>0</v>
      </c>
      <c r="Q388">
        <v>67</v>
      </c>
      <c r="R388" s="40">
        <v>0</v>
      </c>
      <c r="S388">
        <v>89</v>
      </c>
      <c r="T388" s="5">
        <v>0.7528089887640449</v>
      </c>
      <c r="U388" s="39">
        <v>0</v>
      </c>
      <c r="V388" s="4">
        <v>19.668927535864064</v>
      </c>
      <c r="W388" s="37">
        <v>0</v>
      </c>
      <c r="X388">
        <v>3</v>
      </c>
      <c r="Y388" s="40">
        <v>0</v>
      </c>
      <c r="Z388" s="5">
        <v>7.9119999999999999</v>
      </c>
      <c r="AA388" s="5">
        <v>1.2307555555555556</v>
      </c>
      <c r="AB388" s="85">
        <v>0</v>
      </c>
      <c r="AC388" s="5">
        <v>3.5</v>
      </c>
      <c r="AD388" s="37">
        <v>0</v>
      </c>
      <c r="AE388">
        <v>3</v>
      </c>
      <c r="AF388" s="5">
        <v>3.93</v>
      </c>
      <c r="AG388" s="37">
        <v>0</v>
      </c>
      <c r="AH388" s="5">
        <v>1.58</v>
      </c>
      <c r="AI388" s="1">
        <v>0</v>
      </c>
      <c r="AJ388" s="13">
        <v>1.83</v>
      </c>
      <c r="AK388" s="1">
        <v>0</v>
      </c>
      <c r="AL388" s="13">
        <v>1.38</v>
      </c>
      <c r="AM388" s="1">
        <v>0</v>
      </c>
      <c r="AN388" s="82">
        <f t="shared" si="67"/>
        <v>2.847826086956522</v>
      </c>
      <c r="AO388" s="1">
        <v>0</v>
      </c>
      <c r="AP388">
        <v>100</v>
      </c>
      <c r="AQ388" s="37">
        <v>0</v>
      </c>
      <c r="AR388">
        <v>70</v>
      </c>
      <c r="AS388" s="37">
        <v>0</v>
      </c>
      <c r="AT388">
        <v>96</v>
      </c>
      <c r="AU388" s="1"/>
      <c r="AV388">
        <v>4.7</v>
      </c>
      <c r="AW388">
        <v>1</v>
      </c>
      <c r="AX388">
        <v>2265</v>
      </c>
      <c r="AY388">
        <v>55.3</v>
      </c>
      <c r="AZ388">
        <v>78.900000000000006</v>
      </c>
      <c r="BA388">
        <v>355</v>
      </c>
      <c r="BB388">
        <v>13.5</v>
      </c>
      <c r="BC388">
        <v>219.5</v>
      </c>
      <c r="BD388">
        <v>105.1</v>
      </c>
      <c r="BE388">
        <v>86.9</v>
      </c>
      <c r="BF388">
        <v>108.1</v>
      </c>
      <c r="BG388">
        <v>31.3</v>
      </c>
      <c r="BH388">
        <v>9.8000000000000007</v>
      </c>
      <c r="BI388">
        <v>58.8</v>
      </c>
      <c r="BJ388">
        <v>21.9</v>
      </c>
      <c r="BK388">
        <v>14.4</v>
      </c>
      <c r="BL388">
        <v>55</v>
      </c>
      <c r="BM388">
        <v>8.6999999999999993</v>
      </c>
      <c r="BN388">
        <v>4.9000000000000004</v>
      </c>
      <c r="BO388">
        <v>4.3899999999999997</v>
      </c>
      <c r="BP388">
        <v>0.3</v>
      </c>
      <c r="BQ388">
        <v>0.12</v>
      </c>
      <c r="BR388">
        <v>639</v>
      </c>
      <c r="BS388">
        <v>244.4</v>
      </c>
      <c r="BT388">
        <v>4256</v>
      </c>
      <c r="BU388">
        <v>2343</v>
      </c>
      <c r="BV388">
        <v>16.71</v>
      </c>
      <c r="BW388">
        <v>7.66</v>
      </c>
      <c r="BX388">
        <v>2.2200000000000002</v>
      </c>
      <c r="BY388">
        <v>28.9</v>
      </c>
      <c r="BZ388">
        <v>44</v>
      </c>
      <c r="CA388">
        <v>0.76</v>
      </c>
      <c r="CB388">
        <v>0.59</v>
      </c>
      <c r="CC388">
        <v>16.100000000000001</v>
      </c>
      <c r="CD388">
        <v>0.96</v>
      </c>
      <c r="CE388">
        <v>1.07</v>
      </c>
      <c r="CF388">
        <v>246.5</v>
      </c>
      <c r="CG388">
        <v>71.900000000000006</v>
      </c>
      <c r="CH388">
        <v>601</v>
      </c>
      <c r="CI388">
        <v>2.2599999999999998</v>
      </c>
      <c r="CJ388">
        <v>3.1</v>
      </c>
      <c r="CK388">
        <v>2</v>
      </c>
      <c r="CL388" s="42" t="str">
        <f t="shared" si="61"/>
        <v>2</v>
      </c>
      <c r="CM388" s="4">
        <v>110</v>
      </c>
      <c r="CN388" s="4">
        <f t="shared" si="68"/>
        <v>3.47</v>
      </c>
      <c r="CO388">
        <v>2</v>
      </c>
      <c r="CP388" s="42" t="str">
        <f t="shared" si="62"/>
        <v>2</v>
      </c>
      <c r="CQ388" s="4">
        <v>173.5</v>
      </c>
      <c r="CR388" s="4">
        <v>2.9</v>
      </c>
      <c r="CS388" s="43" t="str">
        <f t="shared" si="63"/>
        <v>2</v>
      </c>
      <c r="CT388" s="4">
        <f t="shared" si="64"/>
        <v>283.5</v>
      </c>
      <c r="CU388" s="4">
        <f t="shared" si="65"/>
        <v>6.37</v>
      </c>
      <c r="CV388" s="4">
        <v>4</v>
      </c>
    </row>
    <row r="389" spans="1:100" x14ac:dyDescent="0.3">
      <c r="A389" s="8" t="s">
        <v>172</v>
      </c>
      <c r="B389" s="18">
        <v>1</v>
      </c>
      <c r="C389">
        <v>41</v>
      </c>
      <c r="D389">
        <v>1</v>
      </c>
      <c r="E389">
        <v>3</v>
      </c>
      <c r="F389">
        <v>0</v>
      </c>
      <c r="G389">
        <v>0</v>
      </c>
      <c r="H389">
        <v>0</v>
      </c>
      <c r="I389">
        <v>1</v>
      </c>
      <c r="J389">
        <v>52.9</v>
      </c>
      <c r="K389">
        <v>1.474</v>
      </c>
      <c r="L389">
        <f t="shared" si="66"/>
        <v>147.4</v>
      </c>
      <c r="M389" s="82">
        <v>18.3034</v>
      </c>
      <c r="N389" s="4">
        <v>32.700000000000003</v>
      </c>
      <c r="O389" s="4">
        <v>34.6</v>
      </c>
      <c r="P389" s="39">
        <v>1</v>
      </c>
      <c r="Q389">
        <v>83</v>
      </c>
      <c r="R389" s="40">
        <v>1</v>
      </c>
      <c r="S389">
        <v>94</v>
      </c>
      <c r="T389" s="5">
        <v>0.88297872340425532</v>
      </c>
      <c r="U389" s="39">
        <v>1</v>
      </c>
      <c r="V389" s="4">
        <v>24.347854903354204</v>
      </c>
      <c r="W389" s="37">
        <v>1</v>
      </c>
      <c r="X389">
        <v>6</v>
      </c>
      <c r="Y389" s="40">
        <v>0</v>
      </c>
      <c r="Z389" s="5">
        <v>5.4420000000000002</v>
      </c>
      <c r="AA389" s="5">
        <v>1.1440293333333333</v>
      </c>
      <c r="AB389" s="85">
        <v>0</v>
      </c>
      <c r="AC389" s="5">
        <v>4.7300000000000004</v>
      </c>
      <c r="AD389" s="37">
        <v>0</v>
      </c>
      <c r="AE389">
        <v>3</v>
      </c>
      <c r="AF389" s="5">
        <v>5.75</v>
      </c>
      <c r="AG389" s="37">
        <v>1</v>
      </c>
      <c r="AH389" s="5">
        <v>1.24</v>
      </c>
      <c r="AI389" s="1">
        <v>1</v>
      </c>
      <c r="AJ389" s="13">
        <v>4.1100000000000003</v>
      </c>
      <c r="AK389" s="1">
        <v>1</v>
      </c>
      <c r="AL389" s="13">
        <v>1.08</v>
      </c>
      <c r="AM389" s="1">
        <v>1</v>
      </c>
      <c r="AN389" s="82">
        <f t="shared" si="67"/>
        <v>5.3240740740740735</v>
      </c>
      <c r="AO389" s="1">
        <v>1</v>
      </c>
      <c r="AP389">
        <v>124</v>
      </c>
      <c r="AQ389" s="37">
        <v>0</v>
      </c>
      <c r="AR389">
        <v>75</v>
      </c>
      <c r="AS389" s="37">
        <v>0</v>
      </c>
      <c r="AT389">
        <v>96</v>
      </c>
      <c r="AU389">
        <v>34</v>
      </c>
      <c r="AV389">
        <v>6.2</v>
      </c>
      <c r="AW389">
        <v>1</v>
      </c>
      <c r="AX389">
        <v>1417</v>
      </c>
      <c r="AY389">
        <v>37.700000000000003</v>
      </c>
      <c r="AZ389">
        <v>38.700000000000003</v>
      </c>
      <c r="BA389">
        <v>244.4</v>
      </c>
      <c r="BB389">
        <v>9.3000000000000007</v>
      </c>
      <c r="BC389">
        <v>185.4</v>
      </c>
      <c r="BD389">
        <v>46.8</v>
      </c>
      <c r="BE389">
        <v>32.200000000000003</v>
      </c>
      <c r="BF389">
        <v>108.6</v>
      </c>
      <c r="BG389">
        <v>24.6</v>
      </c>
      <c r="BH389">
        <v>10.7</v>
      </c>
      <c r="BI389">
        <v>64.7</v>
      </c>
      <c r="BJ389">
        <v>14.3</v>
      </c>
      <c r="BK389">
        <v>8.5</v>
      </c>
      <c r="BL389">
        <v>22.5</v>
      </c>
      <c r="BM389">
        <v>4.5999999999999996</v>
      </c>
      <c r="BN389">
        <v>2.8</v>
      </c>
      <c r="BO389">
        <v>2.58</v>
      </c>
      <c r="BP389">
        <v>0.15</v>
      </c>
      <c r="BQ389">
        <v>0.05</v>
      </c>
      <c r="BR389">
        <v>397</v>
      </c>
      <c r="BS389">
        <v>154.9</v>
      </c>
      <c r="BT389">
        <v>2143</v>
      </c>
      <c r="BU389">
        <v>1252</v>
      </c>
      <c r="BV389">
        <v>7.63</v>
      </c>
      <c r="BW389">
        <v>4.55</v>
      </c>
      <c r="BX389">
        <v>1.0900000000000001</v>
      </c>
      <c r="BY389">
        <v>38.700000000000003</v>
      </c>
      <c r="BZ389">
        <v>44.4</v>
      </c>
      <c r="CA389">
        <v>0.46</v>
      </c>
      <c r="CB389">
        <v>0.46</v>
      </c>
      <c r="CC389">
        <v>13.5</v>
      </c>
      <c r="CD389">
        <v>0.7</v>
      </c>
      <c r="CE389">
        <v>0.76</v>
      </c>
      <c r="CF389">
        <v>125.4</v>
      </c>
      <c r="CG389">
        <v>25</v>
      </c>
      <c r="CH389">
        <v>749</v>
      </c>
      <c r="CI389">
        <v>1.75</v>
      </c>
      <c r="CJ389">
        <v>4.9000000000000004</v>
      </c>
      <c r="CK389">
        <v>0</v>
      </c>
      <c r="CL389" s="42" t="str">
        <f t="shared" ref="CL389:CL404" si="69">IF(CM389&lt;=99,"1",IF(CM389&lt;=199,"2",IF(CM389&lt;=299,"3","4")))</f>
        <v>1</v>
      </c>
      <c r="CM389" s="4">
        <v>0</v>
      </c>
      <c r="CN389" s="4">
        <f t="shared" si="68"/>
        <v>2.7866666666666671</v>
      </c>
      <c r="CO389">
        <v>5</v>
      </c>
      <c r="CP389" s="42" t="str">
        <f t="shared" ref="CP389:CP404" si="70">IF(CQ389&lt;=149,"1",IF(CQ389&lt;=299,"2",IF(CQ389&lt;=399,"3","4")))</f>
        <v>1</v>
      </c>
      <c r="CQ389" s="4">
        <v>139.33333333333334</v>
      </c>
      <c r="CR389" s="4">
        <v>3.4135802469135803</v>
      </c>
      <c r="CS389" s="43" t="str">
        <f t="shared" ref="CS389:CS404" si="71">IF(CT389&lt;=149,"1",IF(CT389&lt;=299,"2",IF(CT389&lt;=399,"3","4")))</f>
        <v>1</v>
      </c>
      <c r="CT389" s="4">
        <f t="shared" ref="CT389:CT404" si="72">(CM389+CQ389)</f>
        <v>139.33333333333334</v>
      </c>
      <c r="CU389" s="4">
        <f t="shared" ref="CU389:CU404" si="73">(CN389+CR389)</f>
        <v>6.2002469135802478</v>
      </c>
      <c r="CV389" s="4">
        <v>4</v>
      </c>
    </row>
    <row r="390" spans="1:100" x14ac:dyDescent="0.3">
      <c r="A390" s="8" t="s">
        <v>171</v>
      </c>
      <c r="B390" s="18">
        <v>1</v>
      </c>
      <c r="C390">
        <v>40</v>
      </c>
      <c r="D390">
        <v>1</v>
      </c>
      <c r="E390">
        <v>2</v>
      </c>
      <c r="F390">
        <v>0</v>
      </c>
      <c r="G390">
        <v>0</v>
      </c>
      <c r="H390">
        <v>0</v>
      </c>
      <c r="I390">
        <v>1</v>
      </c>
      <c r="J390">
        <v>38.6</v>
      </c>
      <c r="K390">
        <v>1.4490000000000001</v>
      </c>
      <c r="L390">
        <f t="shared" si="66"/>
        <v>144.9</v>
      </c>
      <c r="M390" s="82">
        <v>8.4534000000000002</v>
      </c>
      <c r="N390" s="4">
        <v>28.6</v>
      </c>
      <c r="O390" s="4">
        <v>21.9</v>
      </c>
      <c r="P390" s="39">
        <v>0</v>
      </c>
      <c r="Q390">
        <v>59</v>
      </c>
      <c r="R390" s="40">
        <v>0</v>
      </c>
      <c r="S390">
        <v>80</v>
      </c>
      <c r="T390" s="5">
        <v>0.73750000000000004</v>
      </c>
      <c r="U390" s="39">
        <v>0</v>
      </c>
      <c r="V390" s="4">
        <v>18.384445425583241</v>
      </c>
      <c r="W390" s="37">
        <v>0</v>
      </c>
      <c r="X390">
        <v>1</v>
      </c>
      <c r="Y390" s="40">
        <v>0</v>
      </c>
      <c r="Z390" s="5">
        <v>5.1159999999999997</v>
      </c>
      <c r="AA390" s="5">
        <v>0.99136711111111109</v>
      </c>
      <c r="AB390" s="85">
        <v>0</v>
      </c>
      <c r="AC390" s="5">
        <v>4.3600000000000003</v>
      </c>
      <c r="AD390" s="37">
        <v>0</v>
      </c>
      <c r="AE390" s="21">
        <v>3</v>
      </c>
      <c r="AF390" s="5">
        <v>6.27</v>
      </c>
      <c r="AG390" s="37">
        <v>1</v>
      </c>
      <c r="AH390" s="5">
        <v>0.67</v>
      </c>
      <c r="AI390" s="1">
        <v>1</v>
      </c>
      <c r="AJ390" s="13">
        <v>4.12</v>
      </c>
      <c r="AK390" s="1">
        <v>0</v>
      </c>
      <c r="AL390" s="13">
        <v>1.85</v>
      </c>
      <c r="AM390" s="1">
        <v>0</v>
      </c>
      <c r="AN390" s="82">
        <f t="shared" si="67"/>
        <v>3.3891891891891888</v>
      </c>
      <c r="AO390" s="1">
        <v>0</v>
      </c>
      <c r="AP390">
        <v>103</v>
      </c>
      <c r="AQ390" s="37">
        <v>0</v>
      </c>
      <c r="AR390">
        <v>62</v>
      </c>
      <c r="AS390" s="37">
        <v>0</v>
      </c>
      <c r="AT390">
        <v>92</v>
      </c>
      <c r="AU390">
        <v>41</v>
      </c>
      <c r="AV390">
        <v>5.5</v>
      </c>
      <c r="AW390">
        <v>1</v>
      </c>
      <c r="AX390">
        <v>981</v>
      </c>
      <c r="AY390">
        <v>23</v>
      </c>
      <c r="AZ390">
        <v>26.9</v>
      </c>
      <c r="BA390">
        <v>172</v>
      </c>
      <c r="BB390">
        <v>5.4</v>
      </c>
      <c r="BC390">
        <v>146.69999999999999</v>
      </c>
      <c r="BD390">
        <v>20.8</v>
      </c>
      <c r="BE390">
        <v>16.100000000000001</v>
      </c>
      <c r="BF390">
        <v>74.7</v>
      </c>
      <c r="BG390">
        <v>24.7</v>
      </c>
      <c r="BH390">
        <v>9.4</v>
      </c>
      <c r="BI390">
        <v>65.7</v>
      </c>
      <c r="BJ390">
        <v>16.899999999999999</v>
      </c>
      <c r="BK390">
        <v>6.2</v>
      </c>
      <c r="BL390">
        <v>18.5</v>
      </c>
      <c r="BM390">
        <v>3.3</v>
      </c>
      <c r="BN390">
        <v>1.6</v>
      </c>
      <c r="BO390">
        <v>1.51</v>
      </c>
      <c r="BP390">
        <v>0.08</v>
      </c>
      <c r="BQ390">
        <v>0.03</v>
      </c>
      <c r="BR390">
        <v>117</v>
      </c>
      <c r="BS390">
        <v>74.900000000000006</v>
      </c>
      <c r="BT390">
        <v>1261</v>
      </c>
      <c r="BU390">
        <v>768</v>
      </c>
      <c r="BV390">
        <v>4.3899999999999997</v>
      </c>
      <c r="BW390">
        <v>3.35</v>
      </c>
      <c r="BX390">
        <v>0.63</v>
      </c>
      <c r="BY390">
        <v>17.5</v>
      </c>
      <c r="BZ390">
        <v>34.799999999999997</v>
      </c>
      <c r="CA390">
        <v>0.27</v>
      </c>
      <c r="CB390">
        <v>0.23</v>
      </c>
      <c r="CC390">
        <v>9</v>
      </c>
      <c r="CD390">
        <v>0.55000000000000004</v>
      </c>
      <c r="CE390">
        <v>0.66</v>
      </c>
      <c r="CF390">
        <v>70</v>
      </c>
      <c r="CG390">
        <v>4.4000000000000004</v>
      </c>
      <c r="CH390">
        <v>118</v>
      </c>
      <c r="CI390">
        <v>0.79</v>
      </c>
      <c r="CJ390">
        <v>1.2</v>
      </c>
      <c r="CK390">
        <v>0</v>
      </c>
      <c r="CL390" s="42" t="str">
        <f t="shared" si="69"/>
        <v>1</v>
      </c>
      <c r="CM390" s="4">
        <v>0</v>
      </c>
      <c r="CN390" s="4">
        <f t="shared" si="68"/>
        <v>0.9</v>
      </c>
      <c r="CO390">
        <v>1</v>
      </c>
      <c r="CP390" s="42" t="str">
        <f t="shared" si="70"/>
        <v>1</v>
      </c>
      <c r="CQ390" s="4">
        <v>45</v>
      </c>
      <c r="CR390" s="4">
        <v>0</v>
      </c>
      <c r="CS390" s="43" t="str">
        <f t="shared" si="71"/>
        <v>1</v>
      </c>
      <c r="CT390" s="4">
        <f t="shared" si="72"/>
        <v>45</v>
      </c>
      <c r="CU390" s="4">
        <f t="shared" si="73"/>
        <v>0.9</v>
      </c>
      <c r="CV390" s="4">
        <v>1</v>
      </c>
    </row>
    <row r="391" spans="1:100" x14ac:dyDescent="0.3">
      <c r="A391" s="8" t="s">
        <v>170</v>
      </c>
      <c r="B391" s="18">
        <v>1</v>
      </c>
      <c r="C391">
        <v>34</v>
      </c>
      <c r="D391">
        <v>1</v>
      </c>
      <c r="E391">
        <v>3</v>
      </c>
      <c r="F391">
        <v>0</v>
      </c>
      <c r="G391">
        <v>0</v>
      </c>
      <c r="H391">
        <v>0</v>
      </c>
      <c r="I391">
        <v>1</v>
      </c>
      <c r="J391">
        <v>67.5</v>
      </c>
      <c r="K391">
        <v>1.55</v>
      </c>
      <c r="L391">
        <f t="shared" si="66"/>
        <v>155</v>
      </c>
      <c r="M391" s="82">
        <v>26.73</v>
      </c>
      <c r="N391" s="4">
        <v>38.4</v>
      </c>
      <c r="O391" s="4">
        <v>39.6</v>
      </c>
      <c r="P391" s="39">
        <v>1</v>
      </c>
      <c r="Q391">
        <v>83</v>
      </c>
      <c r="R391" s="40">
        <v>1</v>
      </c>
      <c r="S391">
        <v>103</v>
      </c>
      <c r="T391" s="5">
        <v>0.80582524271844658</v>
      </c>
      <c r="U391" s="39">
        <v>0</v>
      </c>
      <c r="V391" s="4">
        <v>28.095733610822055</v>
      </c>
      <c r="W391" s="37">
        <v>1</v>
      </c>
      <c r="X391">
        <v>8</v>
      </c>
      <c r="Y391" s="40">
        <v>0</v>
      </c>
      <c r="AA391" s="5"/>
      <c r="AB391" s="85">
        <v>0</v>
      </c>
      <c r="AC391" s="5">
        <v>4.3</v>
      </c>
      <c r="AD391" s="37">
        <v>0</v>
      </c>
      <c r="AE391" s="21">
        <v>37.200000000000003</v>
      </c>
      <c r="AF391" s="11">
        <v>5.83</v>
      </c>
      <c r="AG391" s="37">
        <v>1</v>
      </c>
      <c r="AH391" s="5">
        <v>1.36</v>
      </c>
      <c r="AI391" s="1">
        <v>1</v>
      </c>
      <c r="AJ391" s="13">
        <v>3.66</v>
      </c>
      <c r="AK391" s="1">
        <v>0</v>
      </c>
      <c r="AL391" s="13">
        <v>1.55</v>
      </c>
      <c r="AM391" s="1">
        <v>0</v>
      </c>
      <c r="AN391" s="82">
        <f t="shared" si="67"/>
        <v>3.7612903225806451</v>
      </c>
      <c r="AO391" s="1">
        <v>0</v>
      </c>
      <c r="AP391">
        <v>117</v>
      </c>
      <c r="AQ391" s="37">
        <v>0</v>
      </c>
      <c r="AR391">
        <v>63</v>
      </c>
      <c r="AS391" s="37">
        <v>0</v>
      </c>
      <c r="AT391">
        <v>87</v>
      </c>
      <c r="AU391">
        <v>54</v>
      </c>
      <c r="AV391">
        <v>5.4</v>
      </c>
      <c r="AW391">
        <v>1</v>
      </c>
      <c r="AX391">
        <v>1650</v>
      </c>
      <c r="AY391">
        <v>108.6</v>
      </c>
      <c r="AZ391">
        <v>47.2</v>
      </c>
      <c r="BA391">
        <v>282.89999999999998</v>
      </c>
      <c r="BB391">
        <v>12</v>
      </c>
      <c r="BC391">
        <v>204.9</v>
      </c>
      <c r="BD391">
        <v>64.7</v>
      </c>
      <c r="BE391">
        <v>45.4</v>
      </c>
      <c r="BF391">
        <v>109.5</v>
      </c>
      <c r="BG391">
        <v>25.8</v>
      </c>
      <c r="BH391">
        <v>26.3</v>
      </c>
      <c r="BI391">
        <v>64.3</v>
      </c>
      <c r="BJ391">
        <v>15.8</v>
      </c>
      <c r="BK391">
        <v>10.3</v>
      </c>
      <c r="BL391">
        <v>29</v>
      </c>
      <c r="BM391">
        <v>5.7</v>
      </c>
      <c r="BN391">
        <v>2.2999999999999998</v>
      </c>
      <c r="BO391">
        <v>1.57</v>
      </c>
      <c r="BP391">
        <v>0.61</v>
      </c>
      <c r="BQ391">
        <v>0.19</v>
      </c>
      <c r="BR391">
        <v>344</v>
      </c>
      <c r="BS391">
        <v>176.2</v>
      </c>
      <c r="BT391">
        <v>2671</v>
      </c>
      <c r="BU391">
        <v>1525</v>
      </c>
      <c r="BV391">
        <v>8.34</v>
      </c>
      <c r="BW391">
        <v>4.2699999999999996</v>
      </c>
      <c r="BX391">
        <v>1.07</v>
      </c>
      <c r="BY391">
        <v>11.1</v>
      </c>
      <c r="BZ391">
        <v>37.1</v>
      </c>
      <c r="CA391">
        <v>14.51</v>
      </c>
      <c r="CB391">
        <v>13.93</v>
      </c>
      <c r="CC391">
        <v>10.7</v>
      </c>
      <c r="CD391">
        <v>0.85</v>
      </c>
      <c r="CE391">
        <v>3.59</v>
      </c>
      <c r="CF391">
        <v>164.2</v>
      </c>
      <c r="CG391">
        <v>19.100000000000001</v>
      </c>
      <c r="CH391">
        <v>363</v>
      </c>
      <c r="CI391">
        <v>6.35</v>
      </c>
      <c r="CJ391">
        <v>62.9</v>
      </c>
      <c r="CK391">
        <v>1</v>
      </c>
      <c r="CL391" s="42" t="str">
        <f t="shared" si="69"/>
        <v>1</v>
      </c>
      <c r="CM391" s="4">
        <v>53.333333333333336</v>
      </c>
      <c r="CN391" s="4">
        <f t="shared" si="68"/>
        <v>2.3266666666666667</v>
      </c>
      <c r="CO391">
        <v>7</v>
      </c>
      <c r="CP391" s="42" t="str">
        <f t="shared" si="70"/>
        <v>1</v>
      </c>
      <c r="CQ391" s="4">
        <v>116.33333333333333</v>
      </c>
      <c r="CR391" s="4">
        <v>4.238271604938272</v>
      </c>
      <c r="CS391" s="43" t="str">
        <f t="shared" si="71"/>
        <v>2</v>
      </c>
      <c r="CT391" s="4">
        <f t="shared" si="72"/>
        <v>169.66666666666666</v>
      </c>
      <c r="CU391" s="4">
        <f t="shared" si="73"/>
        <v>6.5649382716049391</v>
      </c>
      <c r="CV391" s="4">
        <v>4</v>
      </c>
    </row>
    <row r="392" spans="1:100" x14ac:dyDescent="0.3">
      <c r="A392" s="8" t="s">
        <v>169</v>
      </c>
      <c r="B392" s="18">
        <v>1</v>
      </c>
      <c r="C392">
        <v>39</v>
      </c>
      <c r="D392">
        <v>1</v>
      </c>
      <c r="E392">
        <v>3</v>
      </c>
      <c r="F392">
        <v>0</v>
      </c>
      <c r="G392">
        <v>0</v>
      </c>
      <c r="H392">
        <v>0</v>
      </c>
      <c r="I392">
        <v>1</v>
      </c>
      <c r="J392">
        <v>45.6</v>
      </c>
      <c r="K392">
        <v>1.446</v>
      </c>
      <c r="L392">
        <f t="shared" si="66"/>
        <v>144.6</v>
      </c>
      <c r="M392" s="82">
        <v>14.090399999999999</v>
      </c>
      <c r="N392" s="87">
        <v>29.6</v>
      </c>
      <c r="O392" s="4">
        <v>30.9</v>
      </c>
      <c r="P392" s="39">
        <v>0</v>
      </c>
      <c r="Q392">
        <v>77</v>
      </c>
      <c r="R392" s="40">
        <v>0</v>
      </c>
      <c r="S392">
        <v>89</v>
      </c>
      <c r="T392" s="5">
        <v>0.8651685393258427</v>
      </c>
      <c r="U392" s="39">
        <v>0</v>
      </c>
      <c r="V392" s="4">
        <v>21.808623588895969</v>
      </c>
      <c r="W392" s="37">
        <v>0</v>
      </c>
      <c r="X392">
        <v>4</v>
      </c>
      <c r="Y392" s="40">
        <v>0</v>
      </c>
      <c r="Z392" s="5">
        <v>8.1579999999999995</v>
      </c>
      <c r="AA392" s="5">
        <v>1.5482071111111109</v>
      </c>
      <c r="AB392" s="85">
        <v>0</v>
      </c>
      <c r="AC392" s="5">
        <v>4.2699999999999996</v>
      </c>
      <c r="AD392" s="37">
        <v>0</v>
      </c>
      <c r="AE392">
        <v>3</v>
      </c>
      <c r="AF392" s="5">
        <v>5.09</v>
      </c>
      <c r="AG392" s="37">
        <v>1</v>
      </c>
      <c r="AH392" s="5">
        <v>0.83</v>
      </c>
      <c r="AI392" s="1">
        <v>0</v>
      </c>
      <c r="AJ392" s="13">
        <v>2.99</v>
      </c>
      <c r="AK392" s="1">
        <v>0</v>
      </c>
      <c r="AL392" s="13">
        <v>1.72</v>
      </c>
      <c r="AM392" s="1">
        <v>0</v>
      </c>
      <c r="AN392" s="82">
        <f t="shared" si="67"/>
        <v>2.9593023255813953</v>
      </c>
      <c r="AO392" s="1">
        <v>0</v>
      </c>
      <c r="AP392">
        <v>109</v>
      </c>
      <c r="AQ392" s="37">
        <v>0</v>
      </c>
      <c r="AR392">
        <v>69</v>
      </c>
      <c r="AS392" s="37">
        <v>0</v>
      </c>
      <c r="AT392">
        <v>75</v>
      </c>
      <c r="AU392">
        <v>36</v>
      </c>
      <c r="AV392">
        <v>5.6</v>
      </c>
      <c r="AW392">
        <v>1</v>
      </c>
      <c r="AX392">
        <v>1104</v>
      </c>
      <c r="AY392">
        <v>39.6</v>
      </c>
      <c r="AZ392">
        <v>33.1</v>
      </c>
      <c r="BA392">
        <v>172.1</v>
      </c>
      <c r="BB392">
        <v>6.9</v>
      </c>
      <c r="BC392">
        <v>146.9</v>
      </c>
      <c r="BD392">
        <v>19.7</v>
      </c>
      <c r="BE392">
        <v>4.3</v>
      </c>
      <c r="BF392">
        <v>197.7</v>
      </c>
      <c r="BG392">
        <v>27</v>
      </c>
      <c r="BH392">
        <v>14.3</v>
      </c>
      <c r="BI392">
        <v>58.5</v>
      </c>
      <c r="BJ392">
        <v>16.8</v>
      </c>
      <c r="BK392">
        <v>1.5</v>
      </c>
      <c r="BL392">
        <v>20.6</v>
      </c>
      <c r="BM392">
        <v>4.2</v>
      </c>
      <c r="BN392">
        <v>2.4</v>
      </c>
      <c r="BO392">
        <v>2.15</v>
      </c>
      <c r="BP392">
        <v>0.16</v>
      </c>
      <c r="BQ392">
        <v>0</v>
      </c>
      <c r="BR392">
        <v>212</v>
      </c>
      <c r="BS392">
        <v>128.6</v>
      </c>
      <c r="BT392">
        <v>2303</v>
      </c>
      <c r="BU392">
        <v>1148</v>
      </c>
      <c r="BV392">
        <v>6.52</v>
      </c>
      <c r="BW392">
        <v>4.3</v>
      </c>
      <c r="BX392">
        <v>0.76</v>
      </c>
      <c r="BY392">
        <v>43.5</v>
      </c>
      <c r="BZ392">
        <v>48.3</v>
      </c>
      <c r="CA392">
        <v>0.44</v>
      </c>
      <c r="CB392">
        <v>0.38</v>
      </c>
      <c r="CC392">
        <v>16.399999999999999</v>
      </c>
      <c r="CD392">
        <v>0.87</v>
      </c>
      <c r="CE392">
        <v>1.23</v>
      </c>
      <c r="CF392">
        <v>131.4</v>
      </c>
      <c r="CG392">
        <v>16</v>
      </c>
      <c r="CH392">
        <v>496</v>
      </c>
      <c r="CI392">
        <v>1.27</v>
      </c>
      <c r="CJ392">
        <v>1.5</v>
      </c>
      <c r="CK392">
        <v>0</v>
      </c>
      <c r="CL392" s="42" t="str">
        <f t="shared" si="69"/>
        <v>1</v>
      </c>
      <c r="CM392" s="4">
        <v>0</v>
      </c>
      <c r="CN392" s="4">
        <f t="shared" si="68"/>
        <v>0.78666666666666674</v>
      </c>
      <c r="CO392">
        <v>6</v>
      </c>
      <c r="CP392" s="42" t="str">
        <f t="shared" si="70"/>
        <v>1</v>
      </c>
      <c r="CQ392" s="4">
        <v>39.333333333333336</v>
      </c>
      <c r="CR392" s="4">
        <v>1</v>
      </c>
      <c r="CS392" s="43" t="str">
        <f t="shared" si="71"/>
        <v>1</v>
      </c>
      <c r="CT392" s="4">
        <f t="shared" si="72"/>
        <v>39.333333333333336</v>
      </c>
      <c r="CU392" s="4">
        <f t="shared" si="73"/>
        <v>1.7866666666666666</v>
      </c>
      <c r="CV392" s="4">
        <v>1</v>
      </c>
    </row>
    <row r="393" spans="1:100" x14ac:dyDescent="0.3">
      <c r="A393" s="8" t="s">
        <v>168</v>
      </c>
      <c r="B393" s="18">
        <v>1</v>
      </c>
      <c r="C393">
        <v>35</v>
      </c>
      <c r="D393">
        <v>1</v>
      </c>
      <c r="E393">
        <v>3</v>
      </c>
      <c r="F393">
        <v>0</v>
      </c>
      <c r="G393">
        <v>0</v>
      </c>
      <c r="H393">
        <v>0</v>
      </c>
      <c r="I393">
        <v>1</v>
      </c>
      <c r="J393">
        <v>76.599999999999994</v>
      </c>
      <c r="K393">
        <v>1.587</v>
      </c>
      <c r="L393">
        <f t="shared" si="66"/>
        <v>158.69999999999999</v>
      </c>
      <c r="M393" s="82">
        <v>32.248599999999996</v>
      </c>
      <c r="N393" s="87">
        <v>41.8</v>
      </c>
      <c r="O393" s="4">
        <v>42.1</v>
      </c>
      <c r="P393" s="39">
        <v>1</v>
      </c>
      <c r="Q393">
        <v>93</v>
      </c>
      <c r="R393" s="40">
        <v>1</v>
      </c>
      <c r="S393">
        <v>102</v>
      </c>
      <c r="T393" s="5">
        <v>0.91176470588235292</v>
      </c>
      <c r="U393" s="39">
        <v>1</v>
      </c>
      <c r="V393" s="4">
        <v>30.414096258629403</v>
      </c>
      <c r="W393" s="37">
        <v>1</v>
      </c>
      <c r="X393">
        <v>9</v>
      </c>
      <c r="Y393" s="40">
        <v>0</v>
      </c>
      <c r="Z393" s="5">
        <v>11.752000000000001</v>
      </c>
      <c r="AA393" s="5">
        <v>2.0944675555555556</v>
      </c>
      <c r="AB393" s="85">
        <v>0</v>
      </c>
      <c r="AC393" s="5">
        <v>4.01</v>
      </c>
      <c r="AD393" s="37">
        <v>0</v>
      </c>
      <c r="AE393">
        <v>30.13</v>
      </c>
      <c r="AF393" s="5">
        <v>5.17</v>
      </c>
      <c r="AG393" s="37">
        <v>1</v>
      </c>
      <c r="AH393" s="5">
        <v>1.18</v>
      </c>
      <c r="AI393" s="1">
        <v>1</v>
      </c>
      <c r="AJ393" s="13">
        <v>3.52</v>
      </c>
      <c r="AK393" s="1">
        <v>1</v>
      </c>
      <c r="AL393" s="13">
        <v>1.1100000000000001</v>
      </c>
      <c r="AM393" s="1">
        <v>1</v>
      </c>
      <c r="AN393" s="82">
        <f t="shared" si="67"/>
        <v>4.6576576576576576</v>
      </c>
      <c r="AO393" s="1">
        <v>1</v>
      </c>
      <c r="AP393">
        <v>111</v>
      </c>
      <c r="AQ393" s="37">
        <v>0</v>
      </c>
      <c r="AR393">
        <v>76</v>
      </c>
      <c r="AS393" s="37">
        <v>0</v>
      </c>
      <c r="AT393">
        <v>83</v>
      </c>
      <c r="AU393">
        <v>35</v>
      </c>
      <c r="AV393">
        <v>5.4</v>
      </c>
      <c r="AW393">
        <v>1</v>
      </c>
      <c r="AX393">
        <v>2148</v>
      </c>
      <c r="AY393">
        <v>58.9</v>
      </c>
      <c r="AZ393">
        <v>76.099999999999994</v>
      </c>
      <c r="BA393">
        <v>325.89999999999998</v>
      </c>
      <c r="BB393">
        <v>8.8000000000000007</v>
      </c>
      <c r="BC393">
        <v>276</v>
      </c>
      <c r="BD393">
        <v>24.5</v>
      </c>
      <c r="BE393">
        <v>2.8</v>
      </c>
      <c r="BF393">
        <v>90.6</v>
      </c>
      <c r="BG393">
        <v>31.9</v>
      </c>
      <c r="BH393">
        <v>11</v>
      </c>
      <c r="BI393">
        <v>56.9</v>
      </c>
      <c r="BJ393">
        <v>21.8</v>
      </c>
      <c r="BK393">
        <v>0.5</v>
      </c>
      <c r="BL393">
        <v>52.1</v>
      </c>
      <c r="BM393">
        <v>7.6</v>
      </c>
      <c r="BN393">
        <v>2.8</v>
      </c>
      <c r="BO393">
        <v>2.41</v>
      </c>
      <c r="BP393">
        <v>0.15</v>
      </c>
      <c r="BQ393">
        <v>0.19</v>
      </c>
      <c r="BR393">
        <v>380</v>
      </c>
      <c r="BS393">
        <v>261.5</v>
      </c>
      <c r="BT393">
        <v>4023</v>
      </c>
      <c r="BU393">
        <v>2356</v>
      </c>
      <c r="BV393">
        <v>14.95</v>
      </c>
      <c r="BW393">
        <v>8.86</v>
      </c>
      <c r="BX393">
        <v>2.14</v>
      </c>
      <c r="BY393">
        <v>51.6</v>
      </c>
      <c r="BZ393">
        <v>53.3</v>
      </c>
      <c r="CA393">
        <v>0.71</v>
      </c>
      <c r="CB393">
        <v>0.53</v>
      </c>
      <c r="CC393">
        <v>15.9</v>
      </c>
      <c r="CD393">
        <v>1.1200000000000001</v>
      </c>
      <c r="CE393">
        <v>0.87</v>
      </c>
      <c r="CF393">
        <v>273.7</v>
      </c>
      <c r="CG393">
        <v>49.9</v>
      </c>
      <c r="CH393">
        <v>1150</v>
      </c>
      <c r="CI393">
        <v>3.74</v>
      </c>
      <c r="CJ393">
        <v>2.2999999999999998</v>
      </c>
      <c r="CL393" s="42" t="str">
        <f t="shared" si="69"/>
        <v>1</v>
      </c>
      <c r="CM393" s="4">
        <v>0</v>
      </c>
      <c r="CN393" s="4">
        <f t="shared" si="68"/>
        <v>0</v>
      </c>
      <c r="CP393" s="42" t="str">
        <f t="shared" si="70"/>
        <v>1</v>
      </c>
      <c r="CQ393" s="4">
        <v>0</v>
      </c>
      <c r="CR393" s="4">
        <v>0</v>
      </c>
      <c r="CS393" s="43" t="str">
        <f t="shared" si="71"/>
        <v>1</v>
      </c>
      <c r="CT393" s="4">
        <f t="shared" si="72"/>
        <v>0</v>
      </c>
      <c r="CU393" s="4">
        <f t="shared" si="73"/>
        <v>0</v>
      </c>
      <c r="CV393" s="4">
        <v>1</v>
      </c>
    </row>
    <row r="394" spans="1:100" x14ac:dyDescent="0.3">
      <c r="A394" s="8" t="s">
        <v>167</v>
      </c>
      <c r="B394" s="18">
        <v>1</v>
      </c>
      <c r="C394">
        <v>38</v>
      </c>
      <c r="D394">
        <v>1</v>
      </c>
      <c r="E394">
        <v>3</v>
      </c>
      <c r="F394">
        <v>1</v>
      </c>
      <c r="G394">
        <v>0</v>
      </c>
      <c r="H394">
        <v>0</v>
      </c>
      <c r="I394">
        <v>1</v>
      </c>
      <c r="J394">
        <v>74.5</v>
      </c>
      <c r="K394">
        <v>1.53</v>
      </c>
      <c r="L394">
        <f t="shared" si="66"/>
        <v>153</v>
      </c>
      <c r="M394" s="82">
        <v>32.705500000000001</v>
      </c>
      <c r="N394" s="87">
        <v>39.200000000000003</v>
      </c>
      <c r="O394" s="4">
        <v>43.9</v>
      </c>
      <c r="P394" s="39">
        <v>1</v>
      </c>
      <c r="Q394">
        <v>103</v>
      </c>
      <c r="R394" s="40">
        <v>1</v>
      </c>
      <c r="S394">
        <v>111</v>
      </c>
      <c r="T394" s="5">
        <v>0.92792792792792789</v>
      </c>
      <c r="U394" s="39">
        <v>1</v>
      </c>
      <c r="V394" s="4">
        <v>31.825366312102183</v>
      </c>
      <c r="W394" s="37">
        <v>1</v>
      </c>
      <c r="X394">
        <v>10</v>
      </c>
      <c r="Y394" s="40">
        <v>1</v>
      </c>
      <c r="Z394" s="5">
        <v>12.73</v>
      </c>
      <c r="AA394" s="5">
        <v>2.2065333333333332</v>
      </c>
      <c r="AB394" s="85">
        <v>0</v>
      </c>
      <c r="AC394" s="5">
        <v>3.9</v>
      </c>
      <c r="AD394" s="37">
        <v>0</v>
      </c>
      <c r="AE394">
        <v>5.64</v>
      </c>
      <c r="AF394" s="5">
        <v>6.13</v>
      </c>
      <c r="AG394" s="37">
        <v>1</v>
      </c>
      <c r="AH394" s="5">
        <v>1.05</v>
      </c>
      <c r="AI394" s="1">
        <v>1</v>
      </c>
      <c r="AJ394" s="13">
        <v>4.47</v>
      </c>
      <c r="AK394" s="1">
        <v>1</v>
      </c>
      <c r="AL394" s="13">
        <v>1.18</v>
      </c>
      <c r="AM394" s="1">
        <v>1</v>
      </c>
      <c r="AN394" s="82">
        <f t="shared" si="67"/>
        <v>5.1949152542372881</v>
      </c>
      <c r="AO394" s="1">
        <v>1</v>
      </c>
      <c r="AP394">
        <v>94</v>
      </c>
      <c r="AQ394" s="37">
        <v>0</v>
      </c>
      <c r="AR394">
        <v>70</v>
      </c>
      <c r="AS394" s="37">
        <v>0</v>
      </c>
      <c r="AT394">
        <v>96</v>
      </c>
      <c r="AU394">
        <v>24</v>
      </c>
      <c r="AV394">
        <v>5</v>
      </c>
      <c r="AW394">
        <v>1</v>
      </c>
      <c r="AX394">
        <v>1368</v>
      </c>
      <c r="AY394">
        <v>36.9</v>
      </c>
      <c r="AZ394">
        <v>38.799999999999997</v>
      </c>
      <c r="BA394">
        <v>231.9</v>
      </c>
      <c r="BB394">
        <v>8.3000000000000007</v>
      </c>
      <c r="BC394">
        <v>185.2</v>
      </c>
      <c r="BD394">
        <v>34.1</v>
      </c>
      <c r="BE394">
        <v>25.1</v>
      </c>
      <c r="BF394">
        <v>105.4</v>
      </c>
      <c r="BG394">
        <v>25.5</v>
      </c>
      <c r="BH394">
        <v>10.8</v>
      </c>
      <c r="BI394">
        <v>63.6</v>
      </c>
      <c r="BJ394">
        <v>13.8</v>
      </c>
      <c r="BK394">
        <v>6.9</v>
      </c>
      <c r="BL394">
        <v>20.9</v>
      </c>
      <c r="BM394">
        <v>6.1</v>
      </c>
      <c r="BN394">
        <v>3.8</v>
      </c>
      <c r="BO394">
        <v>3.14</v>
      </c>
      <c r="BP394">
        <v>0.54</v>
      </c>
      <c r="BQ394">
        <v>0.17</v>
      </c>
      <c r="BR394">
        <v>254</v>
      </c>
      <c r="BS394">
        <v>100.9</v>
      </c>
      <c r="BT394">
        <v>1813</v>
      </c>
      <c r="BU394">
        <v>930</v>
      </c>
      <c r="BV394">
        <v>5.29</v>
      </c>
      <c r="BW394">
        <v>2.84</v>
      </c>
      <c r="BX394">
        <v>0.76</v>
      </c>
      <c r="BY394">
        <v>44.5</v>
      </c>
      <c r="BZ394">
        <v>33</v>
      </c>
      <c r="CA394">
        <v>1.05</v>
      </c>
      <c r="CB394">
        <v>1.6</v>
      </c>
      <c r="CC394">
        <v>9.1999999999999993</v>
      </c>
      <c r="CD394">
        <v>0.48</v>
      </c>
      <c r="CE394">
        <v>2.87</v>
      </c>
      <c r="CF394">
        <v>86.7</v>
      </c>
      <c r="CG394">
        <v>4.2</v>
      </c>
      <c r="CH394">
        <v>195</v>
      </c>
      <c r="CI394">
        <v>4.3</v>
      </c>
      <c r="CJ394">
        <v>2.2000000000000002</v>
      </c>
      <c r="CK394">
        <v>0</v>
      </c>
      <c r="CL394" s="42" t="str">
        <f t="shared" si="69"/>
        <v>1</v>
      </c>
      <c r="CM394" s="4">
        <v>0</v>
      </c>
      <c r="CN394" s="4">
        <f t="shared" si="68"/>
        <v>0.6</v>
      </c>
      <c r="CO394">
        <v>3</v>
      </c>
      <c r="CP394" s="42" t="str">
        <f t="shared" si="70"/>
        <v>1</v>
      </c>
      <c r="CQ394" s="4">
        <v>30</v>
      </c>
      <c r="CR394" s="4">
        <v>0.51851851851851849</v>
      </c>
      <c r="CS394" s="43" t="str">
        <f t="shared" si="71"/>
        <v>1</v>
      </c>
      <c r="CT394" s="4">
        <f t="shared" si="72"/>
        <v>30</v>
      </c>
      <c r="CU394" s="4">
        <f t="shared" si="73"/>
        <v>1.1185185185185185</v>
      </c>
      <c r="CV394" s="4">
        <v>1</v>
      </c>
    </row>
    <row r="395" spans="1:100" x14ac:dyDescent="0.3">
      <c r="A395" s="8" t="s">
        <v>166</v>
      </c>
      <c r="B395" s="18">
        <v>1</v>
      </c>
      <c r="C395">
        <v>32</v>
      </c>
      <c r="D395">
        <v>1</v>
      </c>
      <c r="E395">
        <v>3</v>
      </c>
      <c r="F395">
        <v>0</v>
      </c>
      <c r="G395">
        <v>0</v>
      </c>
      <c r="H395">
        <v>0</v>
      </c>
      <c r="I395">
        <v>1</v>
      </c>
      <c r="J395">
        <v>68.3</v>
      </c>
      <c r="K395">
        <v>1.58</v>
      </c>
      <c r="L395">
        <f t="shared" si="66"/>
        <v>158</v>
      </c>
      <c r="M395" s="82">
        <v>26.295499999999997</v>
      </c>
      <c r="N395" s="87">
        <v>39.700000000000003</v>
      </c>
      <c r="O395" s="4">
        <v>38.5</v>
      </c>
      <c r="P395" s="39">
        <v>1</v>
      </c>
      <c r="Q395">
        <v>91</v>
      </c>
      <c r="R395" s="40">
        <v>1</v>
      </c>
      <c r="S395">
        <v>101</v>
      </c>
      <c r="T395" s="5">
        <v>0.90099009900990101</v>
      </c>
      <c r="U395" s="39">
        <v>1</v>
      </c>
      <c r="V395" s="4">
        <v>27.359397532446717</v>
      </c>
      <c r="W395" s="37">
        <v>1</v>
      </c>
      <c r="X395">
        <v>7</v>
      </c>
      <c r="Y395" s="40">
        <v>0</v>
      </c>
      <c r="Z395" s="5">
        <v>8.4260000000000002</v>
      </c>
      <c r="AA395" s="5">
        <v>1.8836791111111113</v>
      </c>
      <c r="AB395" s="85">
        <v>0</v>
      </c>
      <c r="AC395" s="5">
        <v>5.03</v>
      </c>
      <c r="AD395" s="37">
        <v>0</v>
      </c>
      <c r="AE395">
        <v>3</v>
      </c>
      <c r="AF395" s="5">
        <v>3.88</v>
      </c>
      <c r="AG395" s="37">
        <v>0</v>
      </c>
      <c r="AH395" s="5">
        <v>1.27</v>
      </c>
      <c r="AI395" s="1">
        <v>0</v>
      </c>
      <c r="AJ395" s="13">
        <v>2.29</v>
      </c>
      <c r="AK395" s="1">
        <v>1</v>
      </c>
      <c r="AL395" s="13">
        <v>1.02</v>
      </c>
      <c r="AM395" s="1">
        <v>1</v>
      </c>
      <c r="AN395" s="82">
        <f t="shared" si="67"/>
        <v>3.8039215686274508</v>
      </c>
      <c r="AO395" s="1">
        <v>0</v>
      </c>
      <c r="AP395">
        <v>107</v>
      </c>
      <c r="AQ395" s="37">
        <v>0</v>
      </c>
      <c r="AR395">
        <v>70</v>
      </c>
      <c r="AS395" s="37">
        <v>0</v>
      </c>
      <c r="AT395">
        <v>61</v>
      </c>
      <c r="AU395">
        <v>37</v>
      </c>
      <c r="AV395">
        <v>5.0999999999999996</v>
      </c>
      <c r="AW395">
        <v>1</v>
      </c>
      <c r="AX395">
        <v>1990</v>
      </c>
      <c r="AY395">
        <v>60.2</v>
      </c>
      <c r="AZ395">
        <v>55.3</v>
      </c>
      <c r="BA395">
        <v>332.6</v>
      </c>
      <c r="BB395">
        <v>13.3</v>
      </c>
      <c r="BC395">
        <v>233.7</v>
      </c>
      <c r="BD395">
        <v>67.400000000000006</v>
      </c>
      <c r="BE395">
        <v>42</v>
      </c>
      <c r="BF395">
        <v>78.400000000000006</v>
      </c>
      <c r="BG395">
        <v>25</v>
      </c>
      <c r="BH395">
        <v>12.1</v>
      </c>
      <c r="BI395">
        <v>62.7</v>
      </c>
      <c r="BJ395">
        <v>15.2</v>
      </c>
      <c r="BK395">
        <v>7.9</v>
      </c>
      <c r="BL395">
        <v>33.6</v>
      </c>
      <c r="BM395">
        <v>7.3</v>
      </c>
      <c r="BN395">
        <v>4.3</v>
      </c>
      <c r="BO395">
        <v>3.59</v>
      </c>
      <c r="BP395">
        <v>0.16</v>
      </c>
      <c r="BQ395">
        <v>0.19</v>
      </c>
      <c r="BR395">
        <v>621</v>
      </c>
      <c r="BS395">
        <v>232.8</v>
      </c>
      <c r="BT395">
        <v>2894</v>
      </c>
      <c r="BU395">
        <v>2136</v>
      </c>
      <c r="BV395">
        <v>12.81</v>
      </c>
      <c r="BW395">
        <v>8.2100000000000009</v>
      </c>
      <c r="BX395">
        <v>1.73</v>
      </c>
      <c r="BY395">
        <v>53.9</v>
      </c>
      <c r="BZ395">
        <v>72.3</v>
      </c>
      <c r="CA395">
        <v>0.8</v>
      </c>
      <c r="CB395">
        <v>0.98</v>
      </c>
      <c r="CC395">
        <v>15.8</v>
      </c>
      <c r="CD395">
        <v>1.1399999999999999</v>
      </c>
      <c r="CE395">
        <v>1.1100000000000001</v>
      </c>
      <c r="CF395">
        <v>340.4</v>
      </c>
      <c r="CG395">
        <v>35.299999999999997</v>
      </c>
      <c r="CH395">
        <v>455</v>
      </c>
      <c r="CI395">
        <v>6.86</v>
      </c>
      <c r="CJ395">
        <v>3.7</v>
      </c>
      <c r="CK395">
        <v>2</v>
      </c>
      <c r="CL395" s="42" t="str">
        <f t="shared" si="69"/>
        <v>1</v>
      </c>
      <c r="CM395" s="4">
        <v>53.666666666666664</v>
      </c>
      <c r="CN395" s="4">
        <f t="shared" si="68"/>
        <v>1.2066666666666668</v>
      </c>
      <c r="CO395">
        <v>3</v>
      </c>
      <c r="CP395" s="42" t="str">
        <f t="shared" si="70"/>
        <v>1</v>
      </c>
      <c r="CQ395" s="4">
        <v>60.333333333333336</v>
      </c>
      <c r="CR395" s="4">
        <v>1.9901234567901236</v>
      </c>
      <c r="CS395" s="43" t="str">
        <f t="shared" si="71"/>
        <v>1</v>
      </c>
      <c r="CT395" s="4">
        <f t="shared" si="72"/>
        <v>114</v>
      </c>
      <c r="CU395" s="4">
        <f t="shared" si="73"/>
        <v>3.1967901234567906</v>
      </c>
      <c r="CV395" s="4">
        <v>3</v>
      </c>
    </row>
    <row r="396" spans="1:100" x14ac:dyDescent="0.3">
      <c r="A396" s="8" t="s">
        <v>165</v>
      </c>
      <c r="B396" s="18">
        <v>1</v>
      </c>
      <c r="C396">
        <v>34</v>
      </c>
      <c r="D396">
        <v>1</v>
      </c>
      <c r="E396">
        <v>3</v>
      </c>
      <c r="F396">
        <v>0</v>
      </c>
      <c r="G396">
        <v>0</v>
      </c>
      <c r="H396">
        <v>0</v>
      </c>
      <c r="I396">
        <v>1</v>
      </c>
      <c r="J396">
        <v>69.7</v>
      </c>
      <c r="K396">
        <v>1.581</v>
      </c>
      <c r="L396">
        <f t="shared" si="66"/>
        <v>158.1</v>
      </c>
      <c r="M396" s="82">
        <v>27.183000000000003</v>
      </c>
      <c r="N396" s="87">
        <v>40</v>
      </c>
      <c r="O396" s="4">
        <v>39</v>
      </c>
      <c r="P396" s="39">
        <v>1</v>
      </c>
      <c r="Q396">
        <v>82</v>
      </c>
      <c r="R396" s="40">
        <v>1</v>
      </c>
      <c r="S396">
        <v>103</v>
      </c>
      <c r="T396" s="5">
        <v>0.79611650485436891</v>
      </c>
      <c r="U396" s="39">
        <v>0</v>
      </c>
      <c r="V396" s="4">
        <v>27.884896587840828</v>
      </c>
      <c r="W396" s="37">
        <v>1</v>
      </c>
      <c r="X396">
        <v>8</v>
      </c>
      <c r="Y396" s="40">
        <v>0</v>
      </c>
      <c r="Z396" s="5">
        <v>10.536</v>
      </c>
      <c r="AA396" s="5">
        <v>2.0416426666666667</v>
      </c>
      <c r="AB396" s="85">
        <v>0</v>
      </c>
      <c r="AC396" s="5">
        <v>4.3600000000000003</v>
      </c>
      <c r="AD396" s="37">
        <v>0</v>
      </c>
      <c r="AE396" s="21">
        <v>3</v>
      </c>
      <c r="AF396" s="5">
        <v>5.36</v>
      </c>
      <c r="AG396" s="37">
        <v>1</v>
      </c>
      <c r="AH396" s="5">
        <v>0.46</v>
      </c>
      <c r="AI396" s="1">
        <v>1</v>
      </c>
      <c r="AJ396" s="13">
        <v>3.5</v>
      </c>
      <c r="AK396" s="1">
        <v>0</v>
      </c>
      <c r="AL396" s="13">
        <v>1.65</v>
      </c>
      <c r="AM396" s="1">
        <v>0</v>
      </c>
      <c r="AN396" s="82">
        <f t="shared" si="67"/>
        <v>3.248484848484849</v>
      </c>
      <c r="AO396" s="1">
        <v>0</v>
      </c>
      <c r="AP396">
        <v>110</v>
      </c>
      <c r="AQ396" s="37">
        <v>0</v>
      </c>
      <c r="AR396">
        <v>75</v>
      </c>
      <c r="AS396" s="37">
        <v>0</v>
      </c>
      <c r="AT396">
        <v>73</v>
      </c>
      <c r="AU396">
        <v>35</v>
      </c>
      <c r="AV396">
        <v>5.3</v>
      </c>
      <c r="AW396">
        <v>1</v>
      </c>
      <c r="AX396">
        <v>2644</v>
      </c>
      <c r="AY396">
        <v>59.8</v>
      </c>
      <c r="AZ396">
        <v>92.6</v>
      </c>
      <c r="BA396">
        <v>416.6</v>
      </c>
      <c r="BB396">
        <v>18.7</v>
      </c>
      <c r="BC396">
        <v>315.10000000000002</v>
      </c>
      <c r="BD396">
        <v>64.5</v>
      </c>
      <c r="BE396">
        <v>50.1</v>
      </c>
      <c r="BF396">
        <v>15.1</v>
      </c>
      <c r="BG396">
        <v>31.5</v>
      </c>
      <c r="BH396">
        <v>9</v>
      </c>
      <c r="BI396">
        <v>59.1</v>
      </c>
      <c r="BJ396">
        <v>19.7</v>
      </c>
      <c r="BK396">
        <v>7.1</v>
      </c>
      <c r="BL396">
        <v>58</v>
      </c>
      <c r="BM396">
        <v>5.9</v>
      </c>
      <c r="BN396">
        <v>2.7</v>
      </c>
      <c r="BO396">
        <v>2.4900000000000002</v>
      </c>
      <c r="BP396">
        <v>0.14000000000000001</v>
      </c>
      <c r="BQ396">
        <v>0</v>
      </c>
      <c r="BR396">
        <v>514</v>
      </c>
      <c r="BS396">
        <v>250.3</v>
      </c>
      <c r="BT396">
        <v>5909</v>
      </c>
      <c r="BU396">
        <v>2116</v>
      </c>
      <c r="BV396">
        <v>18.72</v>
      </c>
      <c r="BW396">
        <v>7.15</v>
      </c>
      <c r="BX396">
        <v>2.5099999999999998</v>
      </c>
      <c r="BY396">
        <v>55.4</v>
      </c>
      <c r="BZ396">
        <v>24.2</v>
      </c>
      <c r="CA396">
        <v>0.78</v>
      </c>
      <c r="CB396">
        <v>0.57999999999999996</v>
      </c>
      <c r="CC396">
        <v>18.899999999999999</v>
      </c>
      <c r="CD396">
        <v>2.09</v>
      </c>
      <c r="CE396">
        <v>1.79</v>
      </c>
      <c r="CF396">
        <v>208.6</v>
      </c>
      <c r="CG396">
        <v>36.1</v>
      </c>
      <c r="CH396">
        <v>166</v>
      </c>
      <c r="CI396">
        <v>6.48</v>
      </c>
      <c r="CJ396">
        <v>1.7</v>
      </c>
      <c r="CK396">
        <v>0</v>
      </c>
      <c r="CL396" s="42" t="str">
        <f t="shared" si="69"/>
        <v>1</v>
      </c>
      <c r="CM396" s="4">
        <v>0</v>
      </c>
      <c r="CN396" s="4">
        <f t="shared" si="68"/>
        <v>5.18</v>
      </c>
      <c r="CO396">
        <v>7</v>
      </c>
      <c r="CP396" s="42" t="str">
        <f t="shared" si="70"/>
        <v>2</v>
      </c>
      <c r="CQ396" s="4">
        <v>259</v>
      </c>
      <c r="CR396" s="4">
        <v>4.0802469135802468</v>
      </c>
      <c r="CS396" s="43" t="str">
        <f t="shared" si="71"/>
        <v>2</v>
      </c>
      <c r="CT396" s="4">
        <f t="shared" si="72"/>
        <v>259</v>
      </c>
      <c r="CU396" s="4">
        <f t="shared" si="73"/>
        <v>9.2602469135802465</v>
      </c>
      <c r="CV396" s="4">
        <v>4</v>
      </c>
    </row>
    <row r="397" spans="1:100" x14ac:dyDescent="0.3">
      <c r="A397" s="8" t="s">
        <v>164</v>
      </c>
      <c r="B397" s="18">
        <v>1</v>
      </c>
      <c r="C397">
        <v>44</v>
      </c>
      <c r="D397">
        <v>1</v>
      </c>
      <c r="E397">
        <v>3</v>
      </c>
      <c r="F397">
        <v>0</v>
      </c>
      <c r="G397">
        <v>0</v>
      </c>
      <c r="H397">
        <v>0</v>
      </c>
      <c r="I397">
        <v>0</v>
      </c>
      <c r="J397">
        <v>67.400000000000006</v>
      </c>
      <c r="K397">
        <v>1.55</v>
      </c>
      <c r="L397">
        <f t="shared" si="66"/>
        <v>155</v>
      </c>
      <c r="M397" s="82">
        <v>26.892600000000002</v>
      </c>
      <c r="N397" s="87">
        <v>38.299999999999997</v>
      </c>
      <c r="O397" s="4">
        <v>39.9</v>
      </c>
      <c r="P397" s="39">
        <v>1</v>
      </c>
      <c r="Q397">
        <v>88.5</v>
      </c>
      <c r="R397" s="40">
        <v>1</v>
      </c>
      <c r="S397">
        <v>105</v>
      </c>
      <c r="T397" s="5">
        <v>0.84285714285714286</v>
      </c>
      <c r="U397" s="39">
        <v>0</v>
      </c>
      <c r="V397" s="4">
        <v>28.05411030176899</v>
      </c>
      <c r="W397" s="37">
        <v>1</v>
      </c>
      <c r="X397">
        <v>9</v>
      </c>
      <c r="Y397" s="40">
        <v>0</v>
      </c>
      <c r="Z397" s="5">
        <v>13.869</v>
      </c>
      <c r="AA397" s="5">
        <v>3.0265239999999998</v>
      </c>
      <c r="AB397" s="85">
        <v>0</v>
      </c>
      <c r="AC397" s="5">
        <v>4.91</v>
      </c>
      <c r="AD397" s="37">
        <v>0</v>
      </c>
      <c r="AE397">
        <v>3</v>
      </c>
      <c r="AF397" s="5">
        <v>4.04</v>
      </c>
      <c r="AG397" s="37">
        <v>0</v>
      </c>
      <c r="AH397" s="5">
        <v>0.91</v>
      </c>
      <c r="AI397" s="1">
        <v>0</v>
      </c>
      <c r="AJ397" s="13">
        <v>2.62</v>
      </c>
      <c r="AK397" s="1">
        <v>1</v>
      </c>
      <c r="AL397" s="13">
        <v>1.01</v>
      </c>
      <c r="AM397" s="1">
        <v>1</v>
      </c>
      <c r="AN397" s="82">
        <f t="shared" si="67"/>
        <v>4</v>
      </c>
      <c r="AO397" s="1">
        <v>0</v>
      </c>
      <c r="AP397">
        <v>121</v>
      </c>
      <c r="AQ397" s="37">
        <v>0</v>
      </c>
      <c r="AR397">
        <v>72</v>
      </c>
      <c r="AS397" s="37">
        <v>0</v>
      </c>
      <c r="AT397">
        <v>78</v>
      </c>
      <c r="AU397">
        <v>49</v>
      </c>
      <c r="AV397">
        <v>6.5</v>
      </c>
      <c r="AW397">
        <v>1</v>
      </c>
      <c r="AX397">
        <v>1165</v>
      </c>
      <c r="AY397">
        <v>27.3</v>
      </c>
      <c r="AZ397">
        <v>29.4</v>
      </c>
      <c r="BA397">
        <v>209.8</v>
      </c>
      <c r="BB397">
        <v>4.9000000000000004</v>
      </c>
      <c r="BC397">
        <v>147.30000000000001</v>
      </c>
      <c r="BD397">
        <v>51.6</v>
      </c>
      <c r="BE397">
        <v>34</v>
      </c>
      <c r="BF397">
        <v>25</v>
      </c>
      <c r="BG397">
        <v>22.7</v>
      </c>
      <c r="BH397">
        <v>9.4</v>
      </c>
      <c r="BI397">
        <v>67.5</v>
      </c>
      <c r="BJ397">
        <v>15.1</v>
      </c>
      <c r="BK397">
        <v>10.9</v>
      </c>
      <c r="BL397">
        <v>19.5</v>
      </c>
      <c r="BM397">
        <v>4</v>
      </c>
      <c r="BN397">
        <v>2.7</v>
      </c>
      <c r="BO397">
        <v>2.2200000000000002</v>
      </c>
      <c r="BP397">
        <v>0.13</v>
      </c>
      <c r="BQ397">
        <v>0</v>
      </c>
      <c r="BR397">
        <v>244</v>
      </c>
      <c r="BS397">
        <v>130.4</v>
      </c>
      <c r="BT397">
        <v>2133</v>
      </c>
      <c r="BU397">
        <v>1146</v>
      </c>
      <c r="BV397">
        <v>5.43</v>
      </c>
      <c r="BW397">
        <v>3.91</v>
      </c>
      <c r="BX397">
        <v>1.01</v>
      </c>
      <c r="BY397">
        <v>15.1</v>
      </c>
      <c r="BZ397">
        <v>21.3</v>
      </c>
      <c r="CA397">
        <v>0.5</v>
      </c>
      <c r="CB397">
        <v>0.46</v>
      </c>
      <c r="CC397">
        <v>10.199999999999999</v>
      </c>
      <c r="CD397">
        <v>0.54</v>
      </c>
      <c r="CE397">
        <v>0.59</v>
      </c>
      <c r="CF397">
        <v>105.2</v>
      </c>
      <c r="CG397">
        <v>15</v>
      </c>
      <c r="CH397">
        <v>300</v>
      </c>
      <c r="CI397">
        <v>1.1100000000000001</v>
      </c>
      <c r="CJ397">
        <v>0.8</v>
      </c>
      <c r="CK397">
        <v>0</v>
      </c>
      <c r="CL397" s="42" t="str">
        <f t="shared" si="69"/>
        <v>1</v>
      </c>
      <c r="CM397" s="4">
        <v>0</v>
      </c>
      <c r="CN397" s="4">
        <f t="shared" si="68"/>
        <v>0.73333333333333328</v>
      </c>
      <c r="CO397">
        <v>4</v>
      </c>
      <c r="CP397" s="42" t="str">
        <f t="shared" si="70"/>
        <v>1</v>
      </c>
      <c r="CQ397" s="4">
        <v>36.666666666666664</v>
      </c>
      <c r="CR397" s="4">
        <v>1.3308641975308642</v>
      </c>
      <c r="CS397" s="43" t="str">
        <f t="shared" si="71"/>
        <v>1</v>
      </c>
      <c r="CT397" s="4">
        <f t="shared" si="72"/>
        <v>36.666666666666664</v>
      </c>
      <c r="CU397" s="4">
        <f t="shared" si="73"/>
        <v>2.0641975308641975</v>
      </c>
      <c r="CV397" s="4">
        <v>2</v>
      </c>
    </row>
    <row r="398" spans="1:100" x14ac:dyDescent="0.3">
      <c r="A398" s="8" t="s">
        <v>163</v>
      </c>
      <c r="B398" s="18">
        <v>1</v>
      </c>
      <c r="C398">
        <v>34</v>
      </c>
      <c r="D398">
        <v>1</v>
      </c>
      <c r="E398">
        <v>3</v>
      </c>
      <c r="F398">
        <v>0</v>
      </c>
      <c r="G398">
        <v>0</v>
      </c>
      <c r="H398">
        <v>0</v>
      </c>
      <c r="I398">
        <v>0</v>
      </c>
      <c r="J398">
        <v>55.9</v>
      </c>
      <c r="K398">
        <v>1.5609999999999999</v>
      </c>
      <c r="L398">
        <f t="shared" si="66"/>
        <v>156.1</v>
      </c>
      <c r="M398" s="82">
        <v>18.894199999999998</v>
      </c>
      <c r="N398" s="87">
        <v>35</v>
      </c>
      <c r="O398" s="4">
        <v>33.799999999999997</v>
      </c>
      <c r="P398" s="39">
        <v>1</v>
      </c>
      <c r="Q398">
        <v>82</v>
      </c>
      <c r="R398" s="40">
        <v>1</v>
      </c>
      <c r="S398">
        <v>93</v>
      </c>
      <c r="T398" s="5">
        <v>0.88172043010752688</v>
      </c>
      <c r="U398" s="39">
        <v>1</v>
      </c>
      <c r="V398" s="4">
        <v>22.940664934557546</v>
      </c>
      <c r="W398" s="37">
        <v>0</v>
      </c>
      <c r="X398">
        <v>5</v>
      </c>
      <c r="Y398" s="40">
        <v>0</v>
      </c>
      <c r="Z398" s="5">
        <v>6.06</v>
      </c>
      <c r="AA398" s="5">
        <v>1.1850666666666667</v>
      </c>
      <c r="AB398" s="85">
        <v>0</v>
      </c>
      <c r="AC398" s="5">
        <v>4.4000000000000004</v>
      </c>
      <c r="AD398" s="37">
        <v>0</v>
      </c>
      <c r="AE398">
        <v>43.42</v>
      </c>
      <c r="AF398" s="5">
        <v>5.71</v>
      </c>
      <c r="AG398" s="37">
        <v>1</v>
      </c>
      <c r="AH398" s="5">
        <v>0.95</v>
      </c>
      <c r="AI398" s="1">
        <v>1</v>
      </c>
      <c r="AJ398" s="13">
        <v>3.68</v>
      </c>
      <c r="AK398" s="1">
        <v>0</v>
      </c>
      <c r="AL398" s="13">
        <v>1.6</v>
      </c>
      <c r="AM398" s="1">
        <v>0</v>
      </c>
      <c r="AN398" s="82">
        <f t="shared" si="67"/>
        <v>3.5687499999999996</v>
      </c>
      <c r="AO398" s="1">
        <v>0</v>
      </c>
      <c r="AP398">
        <v>102</v>
      </c>
      <c r="AQ398" s="37">
        <v>0</v>
      </c>
      <c r="AR398">
        <v>71</v>
      </c>
      <c r="AS398" s="37">
        <v>0</v>
      </c>
      <c r="AT398">
        <v>61</v>
      </c>
      <c r="AU398">
        <v>31</v>
      </c>
      <c r="AV398">
        <v>5</v>
      </c>
      <c r="AW398">
        <v>1</v>
      </c>
      <c r="AX398">
        <v>1367</v>
      </c>
      <c r="AY398">
        <v>37</v>
      </c>
      <c r="AZ398">
        <v>37.9</v>
      </c>
      <c r="BA398">
        <v>233.9</v>
      </c>
      <c r="BB398">
        <v>7.3</v>
      </c>
      <c r="BC398">
        <v>170.2</v>
      </c>
      <c r="BD398">
        <v>56.8</v>
      </c>
      <c r="BE398">
        <v>50.8</v>
      </c>
      <c r="BF398">
        <v>134.80000000000001</v>
      </c>
      <c r="BG398">
        <v>24.9</v>
      </c>
      <c r="BH398">
        <v>10.8</v>
      </c>
      <c r="BI398">
        <v>64.2</v>
      </c>
      <c r="BJ398">
        <v>14.5</v>
      </c>
      <c r="BK398">
        <v>13.9</v>
      </c>
      <c r="BL398">
        <v>22.1</v>
      </c>
      <c r="BM398">
        <v>5</v>
      </c>
      <c r="BN398">
        <v>2.4</v>
      </c>
      <c r="BO398">
        <v>1.71</v>
      </c>
      <c r="BP398">
        <v>0.55000000000000004</v>
      </c>
      <c r="BQ398">
        <v>0</v>
      </c>
      <c r="BR398">
        <v>208</v>
      </c>
      <c r="BS398">
        <v>166.1</v>
      </c>
      <c r="BT398">
        <v>3326</v>
      </c>
      <c r="BU398">
        <v>1491</v>
      </c>
      <c r="BV398">
        <v>8.5299999999999994</v>
      </c>
      <c r="BW398">
        <v>5.32</v>
      </c>
      <c r="BX398">
        <v>1.58</v>
      </c>
      <c r="BY398">
        <v>21.6</v>
      </c>
      <c r="BZ398">
        <v>46.1</v>
      </c>
      <c r="CA398">
        <v>0.39</v>
      </c>
      <c r="CB398">
        <v>0.46</v>
      </c>
      <c r="CC398">
        <v>13.2</v>
      </c>
      <c r="CD398">
        <v>0.73</v>
      </c>
      <c r="CE398">
        <v>3.44</v>
      </c>
      <c r="CF398">
        <v>171.1</v>
      </c>
      <c r="CG398">
        <v>12.7</v>
      </c>
      <c r="CH398">
        <v>296</v>
      </c>
      <c r="CI398">
        <v>5.89</v>
      </c>
      <c r="CJ398">
        <v>1.8</v>
      </c>
      <c r="CK398">
        <v>0</v>
      </c>
      <c r="CL398" s="42" t="str">
        <f t="shared" si="69"/>
        <v>1</v>
      </c>
      <c r="CM398" s="4">
        <v>0</v>
      </c>
      <c r="CN398" s="4">
        <f t="shared" si="68"/>
        <v>1.3</v>
      </c>
      <c r="CO398">
        <v>3</v>
      </c>
      <c r="CP398" s="42" t="str">
        <f t="shared" si="70"/>
        <v>1</v>
      </c>
      <c r="CQ398" s="4">
        <v>65</v>
      </c>
      <c r="CR398" s="4">
        <v>0.66666666666666663</v>
      </c>
      <c r="CS398" s="43" t="str">
        <f t="shared" si="71"/>
        <v>1</v>
      </c>
      <c r="CT398" s="4">
        <f t="shared" si="72"/>
        <v>65</v>
      </c>
      <c r="CU398" s="4">
        <f t="shared" si="73"/>
        <v>1.9666666666666668</v>
      </c>
      <c r="CV398" s="4">
        <v>2</v>
      </c>
    </row>
    <row r="399" spans="1:100" x14ac:dyDescent="0.3">
      <c r="A399" s="8" t="s">
        <v>162</v>
      </c>
      <c r="B399" s="18">
        <v>1</v>
      </c>
      <c r="C399">
        <v>34</v>
      </c>
      <c r="D399">
        <v>1</v>
      </c>
      <c r="E399">
        <v>3</v>
      </c>
      <c r="F399">
        <v>0</v>
      </c>
      <c r="G399">
        <v>0</v>
      </c>
      <c r="H399">
        <v>0</v>
      </c>
      <c r="I399">
        <v>1</v>
      </c>
      <c r="J399">
        <v>63.7</v>
      </c>
      <c r="K399">
        <v>1.52</v>
      </c>
      <c r="L399">
        <f t="shared" si="66"/>
        <v>152</v>
      </c>
      <c r="M399" s="82">
        <v>24.715599999999998</v>
      </c>
      <c r="N399" s="87">
        <v>36.799999999999997</v>
      </c>
      <c r="O399" s="4">
        <v>38.799999999999997</v>
      </c>
      <c r="P399" s="39">
        <v>1</v>
      </c>
      <c r="Q399">
        <v>85</v>
      </c>
      <c r="R399" s="40">
        <v>1</v>
      </c>
      <c r="S399">
        <v>101</v>
      </c>
      <c r="T399" s="5">
        <v>0.84158415841584155</v>
      </c>
      <c r="U399" s="39">
        <v>0</v>
      </c>
      <c r="V399" s="4">
        <v>27.570983379501385</v>
      </c>
      <c r="W399" s="37">
        <v>1</v>
      </c>
      <c r="X399">
        <v>7</v>
      </c>
      <c r="Y399" s="40">
        <v>0</v>
      </c>
      <c r="Z399" s="5">
        <v>14.284000000000001</v>
      </c>
      <c r="AA399" s="5">
        <v>2.6536497777777774</v>
      </c>
      <c r="AB399" s="85">
        <v>0</v>
      </c>
      <c r="AC399" s="5">
        <v>4.18</v>
      </c>
      <c r="AD399" s="37">
        <v>0</v>
      </c>
      <c r="AE399">
        <v>12.36</v>
      </c>
      <c r="AF399" s="5">
        <v>5.84</v>
      </c>
      <c r="AG399" s="37">
        <v>1</v>
      </c>
      <c r="AH399" s="5">
        <v>0.6</v>
      </c>
      <c r="AI399" s="1">
        <v>1</v>
      </c>
      <c r="AJ399" s="13">
        <v>4.0599999999999996</v>
      </c>
      <c r="AK399" s="1">
        <v>0</v>
      </c>
      <c r="AL399" s="13">
        <v>1.5</v>
      </c>
      <c r="AM399" s="1">
        <v>0</v>
      </c>
      <c r="AN399" s="82">
        <f t="shared" si="67"/>
        <v>3.8933333333333331</v>
      </c>
      <c r="AO399" s="1">
        <v>0</v>
      </c>
      <c r="AP399">
        <v>116</v>
      </c>
      <c r="AQ399" s="37">
        <v>0</v>
      </c>
      <c r="AR399">
        <v>85</v>
      </c>
      <c r="AS399" s="37">
        <v>1</v>
      </c>
      <c r="AT399">
        <v>77</v>
      </c>
      <c r="AU399">
        <v>31</v>
      </c>
      <c r="AV399">
        <v>5.5</v>
      </c>
      <c r="AW399">
        <v>1</v>
      </c>
      <c r="AX399">
        <v>1133</v>
      </c>
      <c r="AY399">
        <v>153.9</v>
      </c>
      <c r="AZ399">
        <v>47.4</v>
      </c>
      <c r="BA399">
        <v>151.30000000000001</v>
      </c>
      <c r="BB399">
        <v>9.8000000000000007</v>
      </c>
      <c r="BC399">
        <v>105.5</v>
      </c>
      <c r="BD399">
        <v>33.299999999999997</v>
      </c>
      <c r="BE399">
        <v>16.600000000000001</v>
      </c>
      <c r="BF399">
        <v>60.7</v>
      </c>
      <c r="BG399">
        <v>37.6</v>
      </c>
      <c r="BH399">
        <v>54.3</v>
      </c>
      <c r="BI399">
        <v>50.1</v>
      </c>
      <c r="BJ399">
        <v>24</v>
      </c>
      <c r="BK399">
        <v>5.5</v>
      </c>
      <c r="BL399">
        <v>30.2</v>
      </c>
      <c r="BM399">
        <v>5.8</v>
      </c>
      <c r="BN399">
        <v>2.2000000000000002</v>
      </c>
      <c r="BO399">
        <v>1.41</v>
      </c>
      <c r="BP399">
        <v>0.77</v>
      </c>
      <c r="BQ399">
        <v>0.25</v>
      </c>
      <c r="BR399">
        <v>485</v>
      </c>
      <c r="BS399">
        <v>157.19999999999999</v>
      </c>
      <c r="BT399">
        <v>3228</v>
      </c>
      <c r="BU399">
        <v>1497</v>
      </c>
      <c r="BV399">
        <v>7.76</v>
      </c>
      <c r="BW399">
        <v>3.71</v>
      </c>
      <c r="BX399">
        <v>0.83</v>
      </c>
      <c r="BY399">
        <v>23.5</v>
      </c>
      <c r="BZ399">
        <v>36.9</v>
      </c>
      <c r="CA399">
        <v>14.61</v>
      </c>
      <c r="CB399">
        <v>13.69</v>
      </c>
      <c r="CC399">
        <v>12.6</v>
      </c>
      <c r="CD399">
        <v>0.73</v>
      </c>
      <c r="CE399">
        <v>4.51</v>
      </c>
      <c r="CF399">
        <v>148.4</v>
      </c>
      <c r="CG399">
        <v>27</v>
      </c>
      <c r="CH399">
        <v>583</v>
      </c>
      <c r="CI399">
        <v>7.42</v>
      </c>
      <c r="CJ399">
        <v>63.4</v>
      </c>
      <c r="CK399">
        <v>1</v>
      </c>
      <c r="CL399" s="42" t="str">
        <f t="shared" si="69"/>
        <v>1</v>
      </c>
      <c r="CM399" s="4">
        <v>13.333333333333334</v>
      </c>
      <c r="CN399" s="4">
        <f t="shared" si="68"/>
        <v>1.2466666666666668</v>
      </c>
      <c r="CO399">
        <v>3</v>
      </c>
      <c r="CP399" s="42" t="str">
        <f t="shared" si="70"/>
        <v>1</v>
      </c>
      <c r="CQ399" s="4">
        <v>62.333333333333336</v>
      </c>
      <c r="CR399" s="4">
        <v>3.8703703703703707</v>
      </c>
      <c r="CS399" s="43" t="str">
        <f t="shared" si="71"/>
        <v>1</v>
      </c>
      <c r="CT399" s="4">
        <f t="shared" si="72"/>
        <v>75.666666666666671</v>
      </c>
      <c r="CU399" s="4">
        <f t="shared" si="73"/>
        <v>5.1170370370370373</v>
      </c>
      <c r="CV399" s="4">
        <v>4</v>
      </c>
    </row>
    <row r="400" spans="1:100" x14ac:dyDescent="0.3">
      <c r="A400" s="8" t="s">
        <v>161</v>
      </c>
      <c r="B400" s="18">
        <v>1</v>
      </c>
      <c r="C400">
        <v>37</v>
      </c>
      <c r="D400">
        <v>1</v>
      </c>
      <c r="E400">
        <v>3</v>
      </c>
      <c r="F400">
        <v>0</v>
      </c>
      <c r="G400">
        <v>0</v>
      </c>
      <c r="H400">
        <v>0</v>
      </c>
      <c r="I400">
        <v>1</v>
      </c>
      <c r="J400">
        <v>72.3</v>
      </c>
      <c r="K400">
        <v>1.57</v>
      </c>
      <c r="L400">
        <f t="shared" si="66"/>
        <v>157</v>
      </c>
      <c r="M400" s="82">
        <v>30.149100000000004</v>
      </c>
      <c r="N400" s="87">
        <v>39.799999999999997</v>
      </c>
      <c r="O400" s="4">
        <v>41.7</v>
      </c>
      <c r="P400" s="39">
        <v>1</v>
      </c>
      <c r="Q400">
        <v>97</v>
      </c>
      <c r="R400" s="40">
        <v>1</v>
      </c>
      <c r="S400">
        <v>102</v>
      </c>
      <c r="T400" s="5">
        <v>0.9509803921568627</v>
      </c>
      <c r="U400" s="39">
        <v>1</v>
      </c>
      <c r="V400" s="4">
        <v>29.33181873503996</v>
      </c>
      <c r="W400" s="37">
        <v>1</v>
      </c>
      <c r="X400">
        <v>9</v>
      </c>
      <c r="Y400" s="40">
        <v>0</v>
      </c>
      <c r="Z400" s="5">
        <v>20.59</v>
      </c>
      <c r="AA400" s="5">
        <v>3.5689333333333333</v>
      </c>
      <c r="AB400" s="85">
        <v>1</v>
      </c>
      <c r="AC400" s="5">
        <v>3.9</v>
      </c>
      <c r="AD400" s="37">
        <v>0</v>
      </c>
      <c r="AE400">
        <v>18.809999999999999</v>
      </c>
      <c r="AF400" s="5">
        <v>7.5</v>
      </c>
      <c r="AG400" s="37">
        <v>1</v>
      </c>
      <c r="AH400" s="5">
        <v>1.19</v>
      </c>
      <c r="AI400" s="1">
        <v>1</v>
      </c>
      <c r="AJ400" s="13">
        <v>5.65</v>
      </c>
      <c r="AK400" s="1">
        <v>0</v>
      </c>
      <c r="AL400" s="13">
        <v>1.32</v>
      </c>
      <c r="AM400" s="1">
        <v>0</v>
      </c>
      <c r="AN400" s="82">
        <f t="shared" si="67"/>
        <v>5.6818181818181817</v>
      </c>
      <c r="AO400" s="1">
        <v>1</v>
      </c>
      <c r="AP400">
        <v>110</v>
      </c>
      <c r="AQ400" s="37">
        <v>0</v>
      </c>
      <c r="AR400">
        <v>71</v>
      </c>
      <c r="AS400" s="37">
        <v>0</v>
      </c>
      <c r="AT400">
        <v>68</v>
      </c>
      <c r="AU400">
        <v>39</v>
      </c>
      <c r="AV400">
        <v>5.4</v>
      </c>
      <c r="AW400">
        <v>1</v>
      </c>
      <c r="AX400">
        <v>1599</v>
      </c>
      <c r="AY400">
        <v>49.9</v>
      </c>
      <c r="AZ400">
        <v>45.1</v>
      </c>
      <c r="BA400">
        <v>264.10000000000002</v>
      </c>
      <c r="BB400">
        <v>10.5</v>
      </c>
      <c r="BC400">
        <v>212.1</v>
      </c>
      <c r="BD400">
        <v>30</v>
      </c>
      <c r="BE400">
        <v>17.399999999999999</v>
      </c>
      <c r="BF400">
        <v>60.1</v>
      </c>
      <c r="BG400">
        <v>25.4</v>
      </c>
      <c r="BH400">
        <v>12.5</v>
      </c>
      <c r="BI400">
        <v>62</v>
      </c>
      <c r="BJ400">
        <v>17.100000000000001</v>
      </c>
      <c r="BK400">
        <v>4.0999999999999996</v>
      </c>
      <c r="BL400">
        <v>30.3</v>
      </c>
      <c r="BM400">
        <v>7.7</v>
      </c>
      <c r="BN400">
        <v>2.7</v>
      </c>
      <c r="BO400">
        <v>2.38</v>
      </c>
      <c r="BP400">
        <v>0.14000000000000001</v>
      </c>
      <c r="BQ400">
        <v>0.05</v>
      </c>
      <c r="BR400">
        <v>355</v>
      </c>
      <c r="BS400">
        <v>194.1</v>
      </c>
      <c r="BT400">
        <v>3552</v>
      </c>
      <c r="BU400">
        <v>1813</v>
      </c>
      <c r="BV400">
        <v>9.3800000000000008</v>
      </c>
      <c r="BW400">
        <v>6.63</v>
      </c>
      <c r="BX400">
        <v>1.35</v>
      </c>
      <c r="BY400">
        <v>37.299999999999997</v>
      </c>
      <c r="BZ400">
        <v>52.3</v>
      </c>
      <c r="CA400">
        <v>0.62</v>
      </c>
      <c r="CB400">
        <v>0.49</v>
      </c>
      <c r="CC400">
        <v>16.5</v>
      </c>
      <c r="CD400">
        <v>1.03</v>
      </c>
      <c r="CE400">
        <v>1.39</v>
      </c>
      <c r="CF400">
        <v>251.5</v>
      </c>
      <c r="CG400">
        <v>25.8</v>
      </c>
      <c r="CH400">
        <v>361</v>
      </c>
      <c r="CI400">
        <v>1.28</v>
      </c>
      <c r="CJ400">
        <v>2.4</v>
      </c>
      <c r="CK400">
        <v>1</v>
      </c>
      <c r="CL400" s="42" t="str">
        <f t="shared" si="69"/>
        <v>1</v>
      </c>
      <c r="CM400" s="4">
        <v>26.333333333333332</v>
      </c>
      <c r="CN400" s="4">
        <f t="shared" si="68"/>
        <v>1.7466666666666666</v>
      </c>
      <c r="CO400">
        <v>8</v>
      </c>
      <c r="CP400" s="42" t="str">
        <f t="shared" si="70"/>
        <v>1</v>
      </c>
      <c r="CQ400" s="4">
        <v>87.333333333333329</v>
      </c>
      <c r="CR400" s="4">
        <v>1.2901234567901234</v>
      </c>
      <c r="CS400" s="43" t="str">
        <f t="shared" si="71"/>
        <v>1</v>
      </c>
      <c r="CT400" s="4">
        <f t="shared" si="72"/>
        <v>113.66666666666666</v>
      </c>
      <c r="CU400" s="4">
        <f t="shared" si="73"/>
        <v>3.03679012345679</v>
      </c>
      <c r="CV400" s="4">
        <v>3</v>
      </c>
    </row>
    <row r="401" spans="1:100" x14ac:dyDescent="0.3">
      <c r="A401" s="8" t="s">
        <v>160</v>
      </c>
      <c r="B401" s="18">
        <v>1</v>
      </c>
      <c r="C401">
        <v>33</v>
      </c>
      <c r="D401">
        <v>1</v>
      </c>
      <c r="E401">
        <v>3</v>
      </c>
      <c r="F401">
        <v>0</v>
      </c>
      <c r="G401">
        <v>0</v>
      </c>
      <c r="H401">
        <v>0</v>
      </c>
      <c r="I401">
        <v>1</v>
      </c>
      <c r="J401">
        <v>50.1</v>
      </c>
      <c r="K401">
        <v>1.51</v>
      </c>
      <c r="L401">
        <f t="shared" si="66"/>
        <v>151</v>
      </c>
      <c r="M401" s="82">
        <v>14.979900000000001</v>
      </c>
      <c r="N401" s="87">
        <v>33.299999999999997</v>
      </c>
      <c r="O401" s="4">
        <v>29.9</v>
      </c>
      <c r="P401" s="39">
        <v>0</v>
      </c>
      <c r="Q401">
        <v>77</v>
      </c>
      <c r="R401" s="40">
        <v>0</v>
      </c>
      <c r="S401">
        <v>85</v>
      </c>
      <c r="T401" s="5">
        <v>0.90588235294117647</v>
      </c>
      <c r="U401" s="39">
        <v>1</v>
      </c>
      <c r="V401" s="4">
        <v>21.972720494715144</v>
      </c>
      <c r="W401" s="37">
        <v>0</v>
      </c>
      <c r="X401">
        <v>4</v>
      </c>
      <c r="Y401" s="40">
        <v>0</v>
      </c>
      <c r="Z401" s="5">
        <v>5.9290000000000003</v>
      </c>
      <c r="AA401" s="5">
        <v>1.1199222222222223</v>
      </c>
      <c r="AB401" s="85">
        <v>0</v>
      </c>
      <c r="AC401" s="5">
        <v>4.25</v>
      </c>
      <c r="AD401" s="37">
        <v>0</v>
      </c>
      <c r="AE401">
        <v>3</v>
      </c>
      <c r="AF401" s="5">
        <v>5.56</v>
      </c>
      <c r="AG401" s="37">
        <v>1</v>
      </c>
      <c r="AH401" s="5">
        <v>0.81</v>
      </c>
      <c r="AI401" s="1">
        <v>1</v>
      </c>
      <c r="AJ401" s="13">
        <v>3.51</v>
      </c>
      <c r="AK401" s="1">
        <v>0</v>
      </c>
      <c r="AL401" s="13">
        <v>1.69</v>
      </c>
      <c r="AM401" s="1">
        <v>0</v>
      </c>
      <c r="AN401" s="82">
        <f t="shared" si="67"/>
        <v>3.2899408284023668</v>
      </c>
      <c r="AO401" s="1">
        <v>0</v>
      </c>
      <c r="AP401">
        <v>101</v>
      </c>
      <c r="AQ401" s="37">
        <v>0</v>
      </c>
      <c r="AR401">
        <v>70</v>
      </c>
      <c r="AS401" s="37">
        <v>0</v>
      </c>
      <c r="AT401">
        <v>80</v>
      </c>
      <c r="AU401">
        <v>32</v>
      </c>
      <c r="AV401">
        <v>4.9000000000000004</v>
      </c>
      <c r="AW401">
        <v>1</v>
      </c>
      <c r="AX401">
        <v>1452</v>
      </c>
      <c r="AY401">
        <v>47.8</v>
      </c>
      <c r="AZ401">
        <v>39.9</v>
      </c>
      <c r="BA401">
        <v>240</v>
      </c>
      <c r="BB401">
        <v>8.3000000000000007</v>
      </c>
      <c r="BC401">
        <v>183.4</v>
      </c>
      <c r="BD401">
        <v>39.799999999999997</v>
      </c>
      <c r="BE401">
        <v>25.1</v>
      </c>
      <c r="BF401">
        <v>174.5</v>
      </c>
      <c r="BG401">
        <v>24.7</v>
      </c>
      <c r="BH401">
        <v>13.2</v>
      </c>
      <c r="BI401">
        <v>62</v>
      </c>
      <c r="BJ401">
        <v>12.8</v>
      </c>
      <c r="BK401">
        <v>6.5</v>
      </c>
      <c r="BL401">
        <v>20.6</v>
      </c>
      <c r="BM401">
        <v>4.7</v>
      </c>
      <c r="BN401">
        <v>2.2999999999999998</v>
      </c>
      <c r="BO401">
        <v>1.63</v>
      </c>
      <c r="BP401">
        <v>0.15</v>
      </c>
      <c r="BQ401">
        <v>0.12</v>
      </c>
      <c r="BR401">
        <v>475</v>
      </c>
      <c r="BS401">
        <v>205.6</v>
      </c>
      <c r="BT401">
        <v>12552</v>
      </c>
      <c r="BU401">
        <v>1751</v>
      </c>
      <c r="BV401">
        <v>14.63</v>
      </c>
      <c r="BW401">
        <v>5.55</v>
      </c>
      <c r="BX401">
        <v>1.1200000000000001</v>
      </c>
      <c r="BY401">
        <v>33.200000000000003</v>
      </c>
      <c r="BZ401">
        <v>90.3</v>
      </c>
      <c r="CA401">
        <v>12.94</v>
      </c>
      <c r="CB401">
        <v>13.03</v>
      </c>
      <c r="CC401">
        <v>15.2</v>
      </c>
      <c r="CD401">
        <v>0.83</v>
      </c>
      <c r="CE401">
        <v>1.44</v>
      </c>
      <c r="CF401">
        <v>171.1</v>
      </c>
      <c r="CG401">
        <v>21.8</v>
      </c>
      <c r="CH401">
        <v>691</v>
      </c>
      <c r="CI401">
        <v>6.17</v>
      </c>
      <c r="CJ401">
        <v>72.099999999999994</v>
      </c>
      <c r="CK401">
        <v>2</v>
      </c>
      <c r="CL401" s="42" t="str">
        <f t="shared" si="69"/>
        <v>1</v>
      </c>
      <c r="CM401" s="4">
        <v>49</v>
      </c>
      <c r="CN401" s="4">
        <f t="shared" si="68"/>
        <v>2.4933333333333336</v>
      </c>
      <c r="CO401">
        <v>6</v>
      </c>
      <c r="CP401" s="42" t="str">
        <f t="shared" si="70"/>
        <v>1</v>
      </c>
      <c r="CQ401" s="4">
        <v>124.66666666666667</v>
      </c>
      <c r="CR401" s="4">
        <v>3.9641975308641975</v>
      </c>
      <c r="CS401" s="43" t="str">
        <f t="shared" si="71"/>
        <v>2</v>
      </c>
      <c r="CT401" s="4">
        <f t="shared" si="72"/>
        <v>173.66666666666669</v>
      </c>
      <c r="CU401" s="4">
        <f t="shared" si="73"/>
        <v>6.4575308641975315</v>
      </c>
      <c r="CV401" s="4">
        <v>4</v>
      </c>
    </row>
    <row r="402" spans="1:100" x14ac:dyDescent="0.3">
      <c r="A402" s="8" t="s">
        <v>159</v>
      </c>
      <c r="B402" s="18">
        <v>1</v>
      </c>
      <c r="C402">
        <v>34</v>
      </c>
      <c r="D402">
        <v>1</v>
      </c>
      <c r="E402">
        <v>3</v>
      </c>
      <c r="F402">
        <v>0</v>
      </c>
      <c r="G402">
        <v>0</v>
      </c>
      <c r="H402">
        <v>0</v>
      </c>
      <c r="I402">
        <v>1</v>
      </c>
      <c r="J402">
        <v>77.099999999999994</v>
      </c>
      <c r="K402">
        <v>1.54</v>
      </c>
      <c r="L402">
        <f t="shared" si="66"/>
        <v>154</v>
      </c>
      <c r="M402" s="82">
        <v>34.3095</v>
      </c>
      <c r="N402" s="87">
        <v>40.200000000000003</v>
      </c>
      <c r="O402" s="4">
        <v>44.5</v>
      </c>
      <c r="P402" s="39">
        <v>1</v>
      </c>
      <c r="Q402">
        <v>100</v>
      </c>
      <c r="R402" s="40">
        <v>1</v>
      </c>
      <c r="S402">
        <v>106</v>
      </c>
      <c r="T402" s="5">
        <v>0.94339622641509435</v>
      </c>
      <c r="U402" s="39">
        <v>1</v>
      </c>
      <c r="V402" s="4">
        <v>32.509698094113681</v>
      </c>
      <c r="W402" s="37">
        <v>1</v>
      </c>
      <c r="X402">
        <v>10</v>
      </c>
      <c r="Y402" s="40">
        <v>1</v>
      </c>
      <c r="Z402" s="5">
        <v>15.68</v>
      </c>
      <c r="AA402" s="5">
        <v>3.0663111111111112</v>
      </c>
      <c r="AB402" s="85">
        <v>1</v>
      </c>
      <c r="AC402" s="5">
        <v>4.4000000000000004</v>
      </c>
      <c r="AD402" s="37">
        <v>0</v>
      </c>
      <c r="AE402">
        <v>30.79</v>
      </c>
      <c r="AF402" s="5">
        <v>6.88</v>
      </c>
      <c r="AG402" s="37">
        <v>1</v>
      </c>
      <c r="AH402" s="5">
        <v>2</v>
      </c>
      <c r="AI402" s="1">
        <v>1</v>
      </c>
      <c r="AJ402" s="13">
        <v>5.05</v>
      </c>
      <c r="AK402" s="1">
        <v>1</v>
      </c>
      <c r="AL402" s="13">
        <v>0.92</v>
      </c>
      <c r="AM402" s="1">
        <v>1</v>
      </c>
      <c r="AN402" s="82">
        <f t="shared" si="67"/>
        <v>7.4782608695652169</v>
      </c>
      <c r="AO402" s="1">
        <v>1</v>
      </c>
      <c r="AP402">
        <v>127</v>
      </c>
      <c r="AQ402" s="37">
        <v>0</v>
      </c>
      <c r="AR402">
        <v>90</v>
      </c>
      <c r="AS402" s="37">
        <v>1</v>
      </c>
      <c r="AT402">
        <v>81</v>
      </c>
      <c r="AU402">
        <v>37</v>
      </c>
      <c r="AV402">
        <v>5.8</v>
      </c>
      <c r="AW402">
        <v>1</v>
      </c>
      <c r="AX402">
        <v>1078</v>
      </c>
      <c r="AY402">
        <v>30.1</v>
      </c>
      <c r="AZ402">
        <v>26.9</v>
      </c>
      <c r="BA402">
        <v>190</v>
      </c>
      <c r="BB402">
        <v>4.4000000000000004</v>
      </c>
      <c r="BC402">
        <v>132.5</v>
      </c>
      <c r="BD402">
        <v>49.1</v>
      </c>
      <c r="BE402">
        <v>36</v>
      </c>
      <c r="BF402">
        <v>118</v>
      </c>
      <c r="BG402">
        <v>22.4</v>
      </c>
      <c r="BH402">
        <v>11.2</v>
      </c>
      <c r="BI402">
        <v>66.099999999999994</v>
      </c>
      <c r="BJ402">
        <v>15.7</v>
      </c>
      <c r="BK402">
        <v>12.5</v>
      </c>
      <c r="BL402">
        <v>18.899999999999999</v>
      </c>
      <c r="BM402">
        <v>3.7</v>
      </c>
      <c r="BN402">
        <v>1.6</v>
      </c>
      <c r="BO402">
        <v>1.21</v>
      </c>
      <c r="BP402">
        <v>0.08</v>
      </c>
      <c r="BQ402">
        <v>0.2</v>
      </c>
      <c r="BR402">
        <v>327</v>
      </c>
      <c r="BS402">
        <v>117.9</v>
      </c>
      <c r="BT402">
        <v>1787</v>
      </c>
      <c r="BU402">
        <v>1052</v>
      </c>
      <c r="BV402">
        <v>5.48</v>
      </c>
      <c r="BW402">
        <v>3.92</v>
      </c>
      <c r="BX402">
        <v>0.78</v>
      </c>
      <c r="BY402">
        <v>37.6</v>
      </c>
      <c r="BZ402">
        <v>47.5</v>
      </c>
      <c r="CA402">
        <v>0.36</v>
      </c>
      <c r="CB402">
        <v>0.5</v>
      </c>
      <c r="CC402">
        <v>8.6</v>
      </c>
      <c r="CD402">
        <v>0.51</v>
      </c>
      <c r="CE402">
        <v>1.46</v>
      </c>
      <c r="CF402">
        <v>108.2</v>
      </c>
      <c r="CG402">
        <v>8.5</v>
      </c>
      <c r="CH402">
        <v>185</v>
      </c>
      <c r="CI402">
        <v>0.69</v>
      </c>
      <c r="CJ402">
        <v>0.9</v>
      </c>
      <c r="CK402">
        <v>0</v>
      </c>
      <c r="CL402" s="42" t="str">
        <f t="shared" si="69"/>
        <v>1</v>
      </c>
      <c r="CM402" s="4">
        <v>0</v>
      </c>
      <c r="CN402" s="4">
        <f t="shared" si="68"/>
        <v>1.18</v>
      </c>
      <c r="CO402">
        <v>4</v>
      </c>
      <c r="CP402" s="42" t="str">
        <f t="shared" si="70"/>
        <v>1</v>
      </c>
      <c r="CQ402" s="4">
        <v>59</v>
      </c>
      <c r="CR402" s="4">
        <v>1.382716049382716</v>
      </c>
      <c r="CS402" s="43" t="str">
        <f t="shared" si="71"/>
        <v>1</v>
      </c>
      <c r="CT402" s="4">
        <f t="shared" si="72"/>
        <v>59</v>
      </c>
      <c r="CU402" s="4">
        <f t="shared" si="73"/>
        <v>2.5627160493827157</v>
      </c>
      <c r="CV402" s="4">
        <v>2</v>
      </c>
    </row>
    <row r="403" spans="1:100" x14ac:dyDescent="0.3">
      <c r="A403" s="8" t="s">
        <v>158</v>
      </c>
      <c r="B403" s="18">
        <v>1</v>
      </c>
      <c r="C403">
        <v>34</v>
      </c>
      <c r="D403">
        <v>1</v>
      </c>
      <c r="E403">
        <v>3</v>
      </c>
      <c r="F403">
        <v>0</v>
      </c>
      <c r="G403">
        <v>0</v>
      </c>
      <c r="H403">
        <v>0</v>
      </c>
      <c r="I403">
        <v>1</v>
      </c>
      <c r="J403">
        <v>64.7</v>
      </c>
      <c r="K403">
        <v>1.55</v>
      </c>
      <c r="L403">
        <f t="shared" si="66"/>
        <v>155</v>
      </c>
      <c r="M403" s="82">
        <v>24.650700000000001</v>
      </c>
      <c r="N403" s="87">
        <v>37.799999999999997</v>
      </c>
      <c r="O403" s="4">
        <v>38.1</v>
      </c>
      <c r="P403" s="39">
        <v>1</v>
      </c>
      <c r="Q403">
        <v>80</v>
      </c>
      <c r="R403" s="40">
        <v>0</v>
      </c>
      <c r="S403">
        <v>100</v>
      </c>
      <c r="T403" s="5">
        <v>0.8</v>
      </c>
      <c r="U403" s="39">
        <v>0</v>
      </c>
      <c r="V403" s="4">
        <v>26.930280957336105</v>
      </c>
      <c r="W403" s="37">
        <v>1</v>
      </c>
      <c r="X403">
        <v>7</v>
      </c>
      <c r="Y403" s="40">
        <v>0</v>
      </c>
      <c r="Z403" s="5">
        <v>7.1070000000000002</v>
      </c>
      <c r="AA403" s="5">
        <v>1.2950533333333334</v>
      </c>
      <c r="AB403" s="85">
        <v>0</v>
      </c>
      <c r="AC403" s="5">
        <v>4.0999999999999996</v>
      </c>
      <c r="AD403" s="37">
        <v>0</v>
      </c>
      <c r="AE403">
        <v>4.42</v>
      </c>
      <c r="AF403" s="5">
        <v>5.13</v>
      </c>
      <c r="AG403" s="37">
        <v>1</v>
      </c>
      <c r="AH403" s="5">
        <v>0.99</v>
      </c>
      <c r="AI403" s="1">
        <v>1</v>
      </c>
      <c r="AJ403" s="13">
        <v>3.54</v>
      </c>
      <c r="AK403" s="1">
        <v>1</v>
      </c>
      <c r="AL403" s="13">
        <v>1.1399999999999999</v>
      </c>
      <c r="AM403" s="1">
        <v>1</v>
      </c>
      <c r="AN403" s="82">
        <f t="shared" si="67"/>
        <v>4.5</v>
      </c>
      <c r="AO403" s="1">
        <v>1</v>
      </c>
      <c r="AP403">
        <v>101</v>
      </c>
      <c r="AQ403" s="37">
        <v>0</v>
      </c>
      <c r="AR403">
        <v>74</v>
      </c>
      <c r="AS403" s="37">
        <v>0</v>
      </c>
      <c r="AT403">
        <v>86</v>
      </c>
      <c r="AU403">
        <v>27</v>
      </c>
      <c r="AV403">
        <v>4.9000000000000004</v>
      </c>
      <c r="AW403">
        <v>1</v>
      </c>
      <c r="AX403">
        <v>2037</v>
      </c>
      <c r="AY403">
        <v>65.8</v>
      </c>
      <c r="AZ403">
        <v>41.6</v>
      </c>
      <c r="BA403">
        <v>369.1</v>
      </c>
      <c r="BB403">
        <v>4.4000000000000004</v>
      </c>
      <c r="BC403">
        <v>251.3</v>
      </c>
      <c r="BD403">
        <v>90.8</v>
      </c>
      <c r="BE403">
        <v>73</v>
      </c>
      <c r="BF403">
        <v>63.3</v>
      </c>
      <c r="BG403">
        <v>18.399999999999999</v>
      </c>
      <c r="BH403">
        <v>12.9</v>
      </c>
      <c r="BI403">
        <v>67.900000000000006</v>
      </c>
      <c r="BJ403">
        <v>12.7</v>
      </c>
      <c r="BK403">
        <v>13.4</v>
      </c>
      <c r="BL403">
        <v>28.8</v>
      </c>
      <c r="BM403">
        <v>4.4000000000000004</v>
      </c>
      <c r="BN403">
        <v>2.9</v>
      </c>
      <c r="BO403">
        <v>1.68</v>
      </c>
      <c r="BP403">
        <v>0.72</v>
      </c>
      <c r="BQ403">
        <v>0</v>
      </c>
      <c r="BR403">
        <v>451</v>
      </c>
      <c r="BS403">
        <v>403.2</v>
      </c>
      <c r="BT403">
        <v>6008</v>
      </c>
      <c r="BU403">
        <v>2719</v>
      </c>
      <c r="BV403">
        <v>15.08</v>
      </c>
      <c r="BW403">
        <v>9.69</v>
      </c>
      <c r="BX403">
        <v>1.89</v>
      </c>
      <c r="BY403">
        <v>38.299999999999997</v>
      </c>
      <c r="BZ403">
        <v>22.7</v>
      </c>
      <c r="CA403">
        <v>4.04</v>
      </c>
      <c r="CB403">
        <v>3.51</v>
      </c>
      <c r="CC403">
        <v>18.7</v>
      </c>
      <c r="CD403">
        <v>0.89</v>
      </c>
      <c r="CE403">
        <v>3.83</v>
      </c>
      <c r="CF403">
        <v>545.20000000000005</v>
      </c>
      <c r="CG403">
        <v>55.9</v>
      </c>
      <c r="CH403">
        <v>466</v>
      </c>
      <c r="CI403">
        <v>10.66</v>
      </c>
      <c r="CJ403">
        <v>1.3</v>
      </c>
      <c r="CK403">
        <v>3</v>
      </c>
      <c r="CL403" s="42" t="str">
        <f t="shared" si="69"/>
        <v>2</v>
      </c>
      <c r="CM403" s="4">
        <v>125.33333333333333</v>
      </c>
      <c r="CN403" s="4">
        <f t="shared" si="68"/>
        <v>0.5066666666666666</v>
      </c>
      <c r="CO403">
        <v>2</v>
      </c>
      <c r="CP403" s="42" t="str">
        <f t="shared" si="70"/>
        <v>1</v>
      </c>
      <c r="CQ403" s="4">
        <v>25.333333333333332</v>
      </c>
      <c r="CR403" s="4">
        <v>2.0987654320987654</v>
      </c>
      <c r="CS403" s="43" t="str">
        <f t="shared" si="71"/>
        <v>2</v>
      </c>
      <c r="CT403" s="4">
        <f t="shared" si="72"/>
        <v>150.66666666666666</v>
      </c>
      <c r="CU403" s="4">
        <f t="shared" si="73"/>
        <v>2.6054320987654318</v>
      </c>
      <c r="CV403" s="4">
        <v>2</v>
      </c>
    </row>
    <row r="404" spans="1:100" x14ac:dyDescent="0.3">
      <c r="A404" s="8" t="s">
        <v>157</v>
      </c>
      <c r="B404" s="18">
        <v>1</v>
      </c>
      <c r="C404">
        <v>50</v>
      </c>
      <c r="D404">
        <v>1</v>
      </c>
      <c r="E404">
        <v>3</v>
      </c>
      <c r="F404">
        <v>1</v>
      </c>
      <c r="G404">
        <v>0</v>
      </c>
      <c r="H404">
        <v>0</v>
      </c>
      <c r="I404">
        <v>1</v>
      </c>
      <c r="J404">
        <v>78.5</v>
      </c>
      <c r="K404">
        <v>1.51</v>
      </c>
      <c r="L404">
        <f t="shared" si="66"/>
        <v>151</v>
      </c>
      <c r="M404" s="82">
        <v>37.601500000000001</v>
      </c>
      <c r="N404" s="87">
        <v>36.700000000000003</v>
      </c>
      <c r="O404" s="4">
        <v>47.9</v>
      </c>
      <c r="P404" s="39">
        <v>1</v>
      </c>
      <c r="Q404">
        <v>96</v>
      </c>
      <c r="R404" s="40">
        <v>1</v>
      </c>
      <c r="S404">
        <v>110</v>
      </c>
      <c r="T404" s="5">
        <v>0.87272727272727268</v>
      </c>
      <c r="U404" s="39">
        <v>0</v>
      </c>
      <c r="V404" s="4">
        <v>34.428314547607563</v>
      </c>
      <c r="W404" s="37">
        <v>1</v>
      </c>
      <c r="X404">
        <v>14</v>
      </c>
      <c r="Y404" s="40">
        <v>1</v>
      </c>
      <c r="AA404" s="5"/>
      <c r="AB404" s="85">
        <v>0</v>
      </c>
      <c r="AC404" s="5">
        <v>16.399999999999999</v>
      </c>
      <c r="AD404" s="5"/>
      <c r="AE404">
        <v>19.62</v>
      </c>
      <c r="AF404" s="5">
        <v>6.63</v>
      </c>
      <c r="AG404" s="37">
        <v>1</v>
      </c>
      <c r="AH404" s="5">
        <v>1.34</v>
      </c>
      <c r="AI404" s="1">
        <v>0</v>
      </c>
      <c r="AJ404" s="13">
        <v>4.1900000000000004</v>
      </c>
      <c r="AK404" s="13">
        <v>1</v>
      </c>
      <c r="AL404" s="1">
        <v>1.83</v>
      </c>
      <c r="AM404" s="1">
        <v>0</v>
      </c>
      <c r="AN404" s="82">
        <f t="shared" si="67"/>
        <v>3.622950819672131</v>
      </c>
      <c r="AO404" s="1">
        <v>0</v>
      </c>
      <c r="AP404">
        <v>148</v>
      </c>
      <c r="AQ404" s="37">
        <v>1</v>
      </c>
      <c r="AR404">
        <v>91</v>
      </c>
      <c r="AS404" s="37">
        <v>1</v>
      </c>
      <c r="AT404">
        <v>80</v>
      </c>
      <c r="AU404">
        <v>57</v>
      </c>
      <c r="AV404">
        <v>7.5</v>
      </c>
      <c r="AW404">
        <v>1</v>
      </c>
      <c r="AX404">
        <v>1151</v>
      </c>
      <c r="AY404">
        <v>41.2</v>
      </c>
      <c r="AZ404">
        <v>34.4</v>
      </c>
      <c r="BA404">
        <v>180.3</v>
      </c>
      <c r="BB404">
        <v>4.5</v>
      </c>
      <c r="BC404">
        <v>143.9</v>
      </c>
      <c r="BD404">
        <v>7.4</v>
      </c>
      <c r="BE404">
        <v>0.2</v>
      </c>
      <c r="BF404">
        <v>240.9</v>
      </c>
      <c r="BG404">
        <v>26.9</v>
      </c>
      <c r="BH404">
        <v>14.3</v>
      </c>
      <c r="BI404">
        <v>58.8</v>
      </c>
      <c r="BJ404">
        <v>15.6</v>
      </c>
      <c r="BK404">
        <v>0.1</v>
      </c>
      <c r="BL404">
        <v>19.899999999999999</v>
      </c>
      <c r="BM404">
        <v>4.4000000000000004</v>
      </c>
      <c r="BN404">
        <v>1.8</v>
      </c>
      <c r="BO404">
        <v>1.55</v>
      </c>
      <c r="BP404">
        <v>0.19</v>
      </c>
      <c r="BQ404">
        <v>0.05</v>
      </c>
      <c r="BR404">
        <v>559</v>
      </c>
      <c r="BS404">
        <v>216.9</v>
      </c>
      <c r="BT404">
        <v>30940</v>
      </c>
      <c r="BU404">
        <v>1422</v>
      </c>
      <c r="BV404">
        <v>11.49</v>
      </c>
      <c r="BW404">
        <v>4.82</v>
      </c>
      <c r="BX404">
        <v>1.03</v>
      </c>
      <c r="BY404">
        <v>34.4</v>
      </c>
      <c r="BZ404">
        <v>88.6</v>
      </c>
      <c r="CA404">
        <v>19.37</v>
      </c>
      <c r="CB404">
        <v>21.44</v>
      </c>
      <c r="CC404">
        <v>13</v>
      </c>
      <c r="CD404">
        <v>0.42</v>
      </c>
      <c r="CE404">
        <v>1.1499999999999999</v>
      </c>
      <c r="CF404">
        <v>127.5</v>
      </c>
      <c r="CG404">
        <v>21.8</v>
      </c>
      <c r="CH404">
        <v>719</v>
      </c>
      <c r="CI404">
        <v>5.04</v>
      </c>
      <c r="CJ404">
        <v>130.1</v>
      </c>
      <c r="CK404">
        <v>2</v>
      </c>
      <c r="CL404" s="42" t="str">
        <f t="shared" si="69"/>
        <v>1</v>
      </c>
      <c r="CM404">
        <v>56</v>
      </c>
      <c r="CN404" s="4">
        <f t="shared" si="68"/>
        <v>1.9466666666666665</v>
      </c>
      <c r="CO404">
        <v>4</v>
      </c>
      <c r="CP404" s="42" t="str">
        <f t="shared" si="70"/>
        <v>1</v>
      </c>
      <c r="CQ404" s="4">
        <v>97.333333333333329</v>
      </c>
      <c r="CR404" s="4">
        <v>5.3703703703703702</v>
      </c>
      <c r="CS404" s="43" t="str">
        <f t="shared" si="71"/>
        <v>2</v>
      </c>
      <c r="CT404" s="4">
        <f t="shared" si="72"/>
        <v>153.33333333333331</v>
      </c>
      <c r="CU404" s="4">
        <f t="shared" si="73"/>
        <v>7.3170370370370366</v>
      </c>
      <c r="CV404" s="4">
        <v>4</v>
      </c>
    </row>
    <row r="405" spans="1:100" x14ac:dyDescent="0.3">
      <c r="P405" s="4"/>
    </row>
    <row r="406" spans="1:100" x14ac:dyDescent="0.3">
      <c r="A406" s="27" t="s">
        <v>487</v>
      </c>
      <c r="P406" s="4"/>
      <c r="CM406">
        <f t="shared" ref="CM406:CT406" si="74">AVERAGE(CM4:CM404)</f>
        <v>34.09243557772237</v>
      </c>
      <c r="CN406" t="e">
        <f t="shared" si="74"/>
        <v>#DIV/0!</v>
      </c>
      <c r="CO406">
        <f t="shared" si="74"/>
        <v>4.8</v>
      </c>
      <c r="CQ406">
        <f t="shared" si="74"/>
        <v>102.43225270157944</v>
      </c>
      <c r="CR406">
        <f t="shared" si="74"/>
        <v>1.843220652073519</v>
      </c>
      <c r="CT406" s="4">
        <f t="shared" si="74"/>
        <v>136.52468827930164</v>
      </c>
    </row>
    <row r="407" spans="1:100" x14ac:dyDescent="0.3">
      <c r="A407" s="27" t="s">
        <v>488</v>
      </c>
      <c r="P407" s="4"/>
      <c r="CM407">
        <f>MAX(CM4:CM404)</f>
        <v>338</v>
      </c>
      <c r="CN407" t="e">
        <f t="shared" ref="CN407:CT407" si="75">MAX(CN4:CN404)</f>
        <v>#DIV/0!</v>
      </c>
      <c r="CO407">
        <f t="shared" si="75"/>
        <v>12</v>
      </c>
      <c r="CQ407">
        <f t="shared" si="75"/>
        <v>431</v>
      </c>
      <c r="CR407">
        <f t="shared" si="75"/>
        <v>8.7728395061728399</v>
      </c>
      <c r="CT407" s="4">
        <f t="shared" si="75"/>
        <v>559.66666666666663</v>
      </c>
    </row>
    <row r="408" spans="1:100" x14ac:dyDescent="0.3">
      <c r="A408" s="27" t="s">
        <v>489</v>
      </c>
      <c r="P408" s="4"/>
      <c r="CM408">
        <f>MIN(CM4:CM404)</f>
        <v>0</v>
      </c>
      <c r="CN408" t="e">
        <f t="shared" ref="CN408:CT408" si="76">MIN(CN4:CN404)</f>
        <v>#DIV/0!</v>
      </c>
      <c r="CO408">
        <f t="shared" si="76"/>
        <v>0</v>
      </c>
      <c r="CQ408">
        <f t="shared" si="76"/>
        <v>0</v>
      </c>
      <c r="CR408">
        <f t="shared" si="76"/>
        <v>0</v>
      </c>
      <c r="CT408">
        <f t="shared" si="76"/>
        <v>0</v>
      </c>
    </row>
    <row r="409" spans="1:100" x14ac:dyDescent="0.3">
      <c r="A409" s="27" t="s">
        <v>490</v>
      </c>
      <c r="P409" s="4"/>
      <c r="CM409" s="4">
        <f>STDEV(CM4:CM404)</f>
        <v>49.991611528255582</v>
      </c>
      <c r="CN409" t="e">
        <f t="shared" ref="CN409:CT409" si="77">STDEV(CN4:CN404)</f>
        <v>#DIV/0!</v>
      </c>
      <c r="CO409">
        <f t="shared" si="77"/>
        <v>1.8576597489665836</v>
      </c>
      <c r="CQ409">
        <f t="shared" si="77"/>
        <v>60.954269483554015</v>
      </c>
      <c r="CR409">
        <f t="shared" si="77"/>
        <v>1.2034032415749092</v>
      </c>
      <c r="CT409" s="4">
        <f t="shared" si="77"/>
        <v>84.989705079619398</v>
      </c>
    </row>
  </sheetData>
  <mergeCells count="93">
    <mergeCell ref="H2:H3"/>
    <mergeCell ref="I2:I3"/>
    <mergeCell ref="N2:N3"/>
    <mergeCell ref="O2:O3"/>
    <mergeCell ref="J2:J3"/>
    <mergeCell ref="L2:L3"/>
    <mergeCell ref="B1:I1"/>
    <mergeCell ref="A1:A3"/>
    <mergeCell ref="K2:K3"/>
    <mergeCell ref="M2:M3"/>
    <mergeCell ref="J1:X1"/>
    <mergeCell ref="X2:X3"/>
    <mergeCell ref="Q2:Q3"/>
    <mergeCell ref="S2:S3"/>
    <mergeCell ref="T2:T3"/>
    <mergeCell ref="V2:V3"/>
    <mergeCell ref="B2:B3"/>
    <mergeCell ref="C2:C3"/>
    <mergeCell ref="D2:D3"/>
    <mergeCell ref="E2:E3"/>
    <mergeCell ref="F2:F3"/>
    <mergeCell ref="G2:G3"/>
    <mergeCell ref="Z1:AN1"/>
    <mergeCell ref="Z2:Z3"/>
    <mergeCell ref="AA2:AA3"/>
    <mergeCell ref="AC2:AC3"/>
    <mergeCell ref="AE2:AE3"/>
    <mergeCell ref="AF2:AF3"/>
    <mergeCell ref="AH2:AH3"/>
    <mergeCell ref="AJ2:AJ3"/>
    <mergeCell ref="AL2:AL3"/>
    <mergeCell ref="AN2:AN3"/>
    <mergeCell ref="AP1:AV1"/>
    <mergeCell ref="AP2:AP3"/>
    <mergeCell ref="AR2:AR3"/>
    <mergeCell ref="AT2:AT3"/>
    <mergeCell ref="AU2:AU3"/>
    <mergeCell ref="AV2:AV3"/>
    <mergeCell ref="BQ2:BQ3"/>
    <mergeCell ref="AX1:BK1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O2:BO3"/>
    <mergeCell ref="BN2:BN3"/>
    <mergeCell ref="BM2:BM3"/>
    <mergeCell ref="BP2:BP3"/>
    <mergeCell ref="BR2:BR3"/>
    <mergeCell ref="BS2:BS3"/>
    <mergeCell ref="BT2:BT3"/>
    <mergeCell ref="BU2:BU3"/>
    <mergeCell ref="BV2:BV3"/>
    <mergeCell ref="CG2:CG3"/>
    <mergeCell ref="CH2:CH3"/>
    <mergeCell ref="CI2:CI3"/>
    <mergeCell ref="CJ2:CJ3"/>
    <mergeCell ref="BL1:BQ1"/>
    <mergeCell ref="BR1:CJ1"/>
    <mergeCell ref="CB2:CB3"/>
    <mergeCell ref="CC2:CC3"/>
    <mergeCell ref="CD2:CD3"/>
    <mergeCell ref="CE2:CE3"/>
    <mergeCell ref="CF2:CF3"/>
    <mergeCell ref="BW2:BW3"/>
    <mergeCell ref="BX2:BX3"/>
    <mergeCell ref="BY2:BY3"/>
    <mergeCell ref="BZ2:BZ3"/>
    <mergeCell ref="CA2:CA3"/>
    <mergeCell ref="CV1:CV3"/>
    <mergeCell ref="CK2:CK3"/>
    <mergeCell ref="CM2:CM3"/>
    <mergeCell ref="CN2:CN3"/>
    <mergeCell ref="CK1:CN1"/>
    <mergeCell ref="CO1:CR1"/>
    <mergeCell ref="CO2:CO3"/>
    <mergeCell ref="CQ2:CQ3"/>
    <mergeCell ref="CR2:CR3"/>
    <mergeCell ref="CL2:CL3"/>
    <mergeCell ref="CP2:CP3"/>
    <mergeCell ref="CS2:CS3"/>
    <mergeCell ref="CS1:CU1"/>
  </mergeCells>
  <dataValidations count="1">
    <dataValidation type="list" allowBlank="1" showInputMessage="1" showErrorMessage="1" sqref="G2 G4:G404" xr:uid="{C8D9D946-69F2-4743-8105-53FFD26F52E5}">
      <formula1>"Non, Ex-smoker, Light smoker, Moderate, Heavy"</formula1>
    </dataValidation>
  </dataValidations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CoCo heart 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madushika</dc:creator>
  <cp:lastModifiedBy>LENOVO</cp:lastModifiedBy>
  <dcterms:created xsi:type="dcterms:W3CDTF">2021-12-13T16:35:17Z</dcterms:created>
  <dcterms:modified xsi:type="dcterms:W3CDTF">2026-03-30T04:07:36Z</dcterms:modified>
</cp:coreProperties>
</file>